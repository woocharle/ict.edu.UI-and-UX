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wcjung\Desktop\프로젝트\0.프로그래밍\1. BALANCE\17.11.07_Tank Heat Loss 프로그래밍\"/>
    </mc:Choice>
  </mc:AlternateContent>
  <xr:revisionPtr revIDLastSave="0" documentId="13_ncr:1_{4C11BFC5-45F0-419A-9AF5-6D65D0DD0473}" xr6:coauthVersionLast="43" xr6:coauthVersionMax="43" xr10:uidLastSave="{00000000-0000-0000-0000-000000000000}"/>
  <bookViews>
    <workbookView xWindow="-120" yWindow="-120" windowWidth="29040" windowHeight="15840" xr2:uid="{B5277B32-B511-4117-A193-825275D25D3D}"/>
  </bookViews>
  <sheets>
    <sheet name="Tank Heat Trans" sheetId="1" r:id="rId1"/>
    <sheet name="Data" sheetId="2" r:id="rId2"/>
    <sheet name="참고" sheetId="3" state="hidden" r:id="rId3"/>
  </sheets>
  <functionGroups builtInGroupCount="19"/>
  <definedNames>
    <definedName name="Body_0">Data!$C$5:$C$8</definedName>
    <definedName name="Body_1">Data!$C$5:$E$8</definedName>
    <definedName name="Choice">Data!$B$5:$B$6</definedName>
    <definedName name="Emissivity_0">Data!$I$4:$I$15</definedName>
    <definedName name="Emissivity_1">Data!$I$4:$L$15</definedName>
    <definedName name="Head">Data!$F$5:$F$8</definedName>
    <definedName name="Head_1">Data!$F$5:$G$8</definedName>
    <definedName name="_xlnm.Print_Area" localSheetId="0">'Tank Heat Trans'!$A$1:$Y$111</definedName>
    <definedName name="UTIL">'Tank Heat Trans'!$AY$83:$AY$86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G95" i="1" l="1"/>
  <c r="AG99" i="1"/>
  <c r="X5" i="2" l="1"/>
  <c r="O5" i="2"/>
  <c r="P5" i="2"/>
  <c r="Q5" i="2"/>
  <c r="R5" i="2"/>
  <c r="S5" i="2"/>
  <c r="T5" i="2"/>
  <c r="U5" i="2"/>
  <c r="V5" i="2"/>
  <c r="W5" i="2"/>
  <c r="N5" i="2"/>
  <c r="AE109" i="1" l="1"/>
  <c r="AZ133" i="1"/>
  <c r="AY128" i="1" l="1"/>
  <c r="P77" i="1" l="1"/>
  <c r="P76" i="1"/>
  <c r="L78" i="1"/>
  <c r="P78" i="1" s="1"/>
  <c r="AR94" i="1"/>
  <c r="AR95" i="1" s="1"/>
  <c r="AR96" i="1" s="1"/>
  <c r="AR97" i="1" s="1"/>
  <c r="AO94" i="1"/>
  <c r="AK94" i="1"/>
  <c r="AK97" i="1" s="1"/>
  <c r="AG94" i="1"/>
  <c r="AR87" i="1"/>
  <c r="AR86" i="1"/>
  <c r="AR85" i="1"/>
  <c r="AO87" i="1"/>
  <c r="AO86" i="1"/>
  <c r="AO85" i="1"/>
  <c r="AK87" i="1"/>
  <c r="AK86" i="1"/>
  <c r="AK85" i="1"/>
  <c r="AY86" i="1"/>
  <c r="AY85" i="1"/>
  <c r="AY84" i="1"/>
  <c r="AY83" i="1"/>
  <c r="AO28" i="1"/>
  <c r="AO27" i="1"/>
  <c r="P27" i="1"/>
  <c r="P28" i="1"/>
  <c r="AO97" i="1" l="1"/>
  <c r="AO96" i="1"/>
  <c r="AO95" i="1"/>
  <c r="AK96" i="1"/>
  <c r="AK95" i="1"/>
  <c r="E49" i="1"/>
  <c r="H78" i="1" l="1"/>
  <c r="S28" i="1"/>
  <c r="S25" i="1"/>
  <c r="S27" i="1"/>
  <c r="S26" i="1"/>
  <c r="S103" i="1"/>
  <c r="S102" i="1"/>
  <c r="S100" i="1"/>
  <c r="S98" i="1"/>
  <c r="S97" i="1"/>
  <c r="S96" i="1"/>
  <c r="S95" i="1"/>
  <c r="AR93" i="1" l="1"/>
  <c r="AP17" i="1" l="1"/>
  <c r="S101" i="1"/>
  <c r="S99" i="1"/>
  <c r="S52" i="1"/>
  <c r="P52" i="1"/>
  <c r="AR77" i="1" l="1"/>
  <c r="AO77" i="1"/>
  <c r="AK77" i="1"/>
  <c r="AK76" i="1"/>
  <c r="AG76" i="1"/>
  <c r="AR78" i="1"/>
  <c r="AO78" i="1"/>
  <c r="AK78" i="1"/>
  <c r="AG78" i="1"/>
  <c r="AG25" i="1"/>
  <c r="AP18" i="1"/>
  <c r="AR76" i="1" l="1"/>
  <c r="AO76" i="1" l="1"/>
  <c r="AG77" i="1" l="1"/>
  <c r="AG86" i="1"/>
  <c r="AG96" i="1" s="1"/>
  <c r="AR98" i="1" l="1"/>
  <c r="BA46" i="1" l="1"/>
  <c r="AG38" i="1"/>
  <c r="BA38" i="1" s="1"/>
  <c r="BA47" i="1"/>
  <c r="BB42" i="1"/>
  <c r="BA48" i="1"/>
  <c r="P39" i="1" l="1"/>
  <c r="AO39" i="1" s="1"/>
  <c r="AR151" i="1" l="1"/>
  <c r="AR180" i="1" s="1"/>
  <c r="AR209" i="1" s="1"/>
  <c r="AR238" i="1" s="1"/>
  <c r="AR267" i="1" s="1"/>
  <c r="AR296" i="1" s="1"/>
  <c r="AR325" i="1" s="1"/>
  <c r="AR354" i="1" s="1"/>
  <c r="AR383" i="1" s="1"/>
  <c r="AR153" i="1"/>
  <c r="AR182" i="1" s="1"/>
  <c r="AR211" i="1" s="1"/>
  <c r="AR240" i="1" s="1"/>
  <c r="AR269" i="1" s="1"/>
  <c r="AR298" i="1" s="1"/>
  <c r="AR327" i="1" s="1"/>
  <c r="AR356" i="1" s="1"/>
  <c r="AR385" i="1" s="1"/>
  <c r="AR154" i="1"/>
  <c r="AR183" i="1" s="1"/>
  <c r="AR212" i="1" s="1"/>
  <c r="AR241" i="1" s="1"/>
  <c r="AR270" i="1" s="1"/>
  <c r="AR299" i="1" s="1"/>
  <c r="AR328" i="1" s="1"/>
  <c r="AR357" i="1" s="1"/>
  <c r="AR386" i="1" s="1"/>
  <c r="AK151" i="1"/>
  <c r="AK180" i="1" s="1"/>
  <c r="AK209" i="1" s="1"/>
  <c r="AK238" i="1" s="1"/>
  <c r="AK267" i="1" s="1"/>
  <c r="AK296" i="1" s="1"/>
  <c r="AK325" i="1" s="1"/>
  <c r="AK354" i="1" s="1"/>
  <c r="AK383" i="1" s="1"/>
  <c r="AK153" i="1"/>
  <c r="AK182" i="1" s="1"/>
  <c r="AK211" i="1" s="1"/>
  <c r="AK240" i="1" s="1"/>
  <c r="AK269" i="1" s="1"/>
  <c r="AK298" i="1" s="1"/>
  <c r="AK327" i="1" s="1"/>
  <c r="AK356" i="1" s="1"/>
  <c r="AK385" i="1" s="1"/>
  <c r="AK154" i="1"/>
  <c r="AK183" i="1" s="1"/>
  <c r="AK212" i="1" s="1"/>
  <c r="AK241" i="1" s="1"/>
  <c r="AK270" i="1" s="1"/>
  <c r="AK299" i="1" s="1"/>
  <c r="AK328" i="1" s="1"/>
  <c r="AK357" i="1" s="1"/>
  <c r="AK386" i="1" s="1"/>
  <c r="P44" i="1"/>
  <c r="AO44" i="1" s="1"/>
  <c r="AR44" i="1"/>
  <c r="AR47" i="1" l="1"/>
  <c r="AO47" i="1"/>
  <c r="AK47" i="1"/>
  <c r="AG47" i="1"/>
  <c r="AR46" i="1"/>
  <c r="AO46" i="1"/>
  <c r="AK46" i="1"/>
  <c r="AG46" i="1"/>
  <c r="AR45" i="1"/>
  <c r="AO45" i="1"/>
  <c r="AK45" i="1"/>
  <c r="AG45" i="1"/>
  <c r="AS37" i="1"/>
  <c r="AS38" i="1"/>
  <c r="AS36" i="1"/>
  <c r="AK123" i="1" s="1"/>
  <c r="AK152" i="1" s="1"/>
  <c r="AK181" i="1" s="1"/>
  <c r="AK210" i="1" s="1"/>
  <c r="AK239" i="1" s="1"/>
  <c r="AK268" i="1" s="1"/>
  <c r="AK297" i="1" s="1"/>
  <c r="AK326" i="1" s="1"/>
  <c r="AK355" i="1" s="1"/>
  <c r="AR27" i="1"/>
  <c r="AG87" i="1"/>
  <c r="AG97" i="1" s="1"/>
  <c r="AG85" i="1"/>
  <c r="AG31" i="1"/>
  <c r="AG30" i="1"/>
  <c r="AP20" i="1"/>
  <c r="AL20" i="1"/>
  <c r="AG20" i="1"/>
  <c r="AP19" i="1"/>
  <c r="AL19" i="1"/>
  <c r="AG19" i="1"/>
  <c r="AP16" i="1"/>
  <c r="AL16" i="1"/>
  <c r="AG16" i="1"/>
  <c r="AP15" i="1"/>
  <c r="AL15" i="1"/>
  <c r="AG15" i="1"/>
  <c r="BB40" i="1"/>
  <c r="BA40" i="1"/>
  <c r="BA39" i="1"/>
  <c r="BB39" i="1"/>
  <c r="AR307" i="1" l="1"/>
  <c r="AR365" i="1"/>
  <c r="AR278" i="1"/>
  <c r="AR336" i="1"/>
  <c r="AR162" i="1"/>
  <c r="AR394" i="1"/>
  <c r="AR220" i="1"/>
  <c r="AR249" i="1"/>
  <c r="AK313" i="1"/>
  <c r="AK255" i="1"/>
  <c r="AK400" i="1"/>
  <c r="AG371" i="1"/>
  <c r="AK371" i="1"/>
  <c r="AG313" i="1"/>
  <c r="AG255" i="1"/>
  <c r="AK226" i="1"/>
  <c r="AK342" i="1"/>
  <c r="AG342" i="1"/>
  <c r="AK284" i="1"/>
  <c r="AG400" i="1"/>
  <c r="AG284" i="1"/>
  <c r="AG168" i="1"/>
  <c r="AK168" i="1"/>
  <c r="AG226" i="1"/>
  <c r="AO372" i="1"/>
  <c r="AO169" i="1"/>
  <c r="AO227" i="1"/>
  <c r="AO401" i="1"/>
  <c r="AO343" i="1"/>
  <c r="AO285" i="1"/>
  <c r="AO314" i="1"/>
  <c r="AO256" i="1"/>
  <c r="AR399" i="1"/>
  <c r="AO370" i="1"/>
  <c r="AR341" i="1"/>
  <c r="AK312" i="1"/>
  <c r="AR283" i="1"/>
  <c r="AO167" i="1"/>
  <c r="AK254" i="1"/>
  <c r="AO225" i="1"/>
  <c r="AK399" i="1"/>
  <c r="AG370" i="1"/>
  <c r="AO399" i="1"/>
  <c r="AK370" i="1"/>
  <c r="AO341" i="1"/>
  <c r="AG312" i="1"/>
  <c r="AO283" i="1"/>
  <c r="AR167" i="1"/>
  <c r="AG254" i="1"/>
  <c r="AK225" i="1"/>
  <c r="AK341" i="1"/>
  <c r="AR370" i="1"/>
  <c r="AR312" i="1"/>
  <c r="AG341" i="1"/>
  <c r="AO312" i="1"/>
  <c r="AK167" i="1"/>
  <c r="AR225" i="1"/>
  <c r="AG399" i="1"/>
  <c r="AK283" i="1"/>
  <c r="AR254" i="1"/>
  <c r="AG225" i="1"/>
  <c r="AG283" i="1"/>
  <c r="AO254" i="1"/>
  <c r="AG167" i="1"/>
  <c r="AK384" i="1"/>
  <c r="AO371" i="1"/>
  <c r="AO168" i="1"/>
  <c r="AO226" i="1"/>
  <c r="AO400" i="1"/>
  <c r="AO342" i="1"/>
  <c r="AO284" i="1"/>
  <c r="AO255" i="1"/>
  <c r="AO313" i="1"/>
  <c r="AR400" i="1"/>
  <c r="AR342" i="1"/>
  <c r="AR284" i="1"/>
  <c r="AR168" i="1"/>
  <c r="AR255" i="1"/>
  <c r="AR313" i="1"/>
  <c r="AR371" i="1"/>
  <c r="AR226" i="1"/>
  <c r="AK120" i="1"/>
  <c r="AK149" i="1" s="1"/>
  <c r="AK178" i="1" s="1"/>
  <c r="AK207" i="1" s="1"/>
  <c r="AK236" i="1" s="1"/>
  <c r="AK265" i="1" s="1"/>
  <c r="AK294" i="1" s="1"/>
  <c r="AK323" i="1" s="1"/>
  <c r="AK352" i="1" s="1"/>
  <c r="BD37" i="1"/>
  <c r="BD38" i="1"/>
  <c r="BA37" i="1"/>
  <c r="AS39" i="1"/>
  <c r="BC38" i="1" s="1"/>
  <c r="AK197" i="1"/>
  <c r="AG197" i="1"/>
  <c r="AG139" i="1"/>
  <c r="AK139" i="1"/>
  <c r="AK134" i="1"/>
  <c r="AK163" i="1" s="1"/>
  <c r="AR191" i="1"/>
  <c r="AO198" i="1"/>
  <c r="AO140" i="1"/>
  <c r="AO196" i="1"/>
  <c r="AK196" i="1"/>
  <c r="AR196" i="1"/>
  <c r="AG196" i="1"/>
  <c r="AO138" i="1"/>
  <c r="AR138" i="1"/>
  <c r="AK138" i="1"/>
  <c r="AG138" i="1"/>
  <c r="AG117" i="1"/>
  <c r="AG121" i="1" s="1"/>
  <c r="AO134" i="1"/>
  <c r="AG134" i="1"/>
  <c r="AG163" i="1" s="1"/>
  <c r="AR123" i="1"/>
  <c r="AR121" i="1"/>
  <c r="AR150" i="1" s="1"/>
  <c r="AR179" i="1" s="1"/>
  <c r="AR208" i="1" s="1"/>
  <c r="AR237" i="1" s="1"/>
  <c r="AR266" i="1" s="1"/>
  <c r="AR295" i="1" s="1"/>
  <c r="AR324" i="1" s="1"/>
  <c r="AR353" i="1" s="1"/>
  <c r="AR382" i="1" s="1"/>
  <c r="AG123" i="1"/>
  <c r="AO123" i="1" s="1"/>
  <c r="AG122" i="1"/>
  <c r="AO197" i="1"/>
  <c r="AO139" i="1"/>
  <c r="AG120" i="1"/>
  <c r="AR197" i="1"/>
  <c r="AR139" i="1"/>
  <c r="AG118" i="1"/>
  <c r="AR133" i="1"/>
  <c r="AG125" i="1"/>
  <c r="AK121" i="1"/>
  <c r="AK150" i="1" s="1"/>
  <c r="AK179" i="1" s="1"/>
  <c r="AK208" i="1" s="1"/>
  <c r="AK237" i="1" s="1"/>
  <c r="AK266" i="1" s="1"/>
  <c r="AK295" i="1" s="1"/>
  <c r="AK324" i="1" s="1"/>
  <c r="AK353" i="1" s="1"/>
  <c r="AG124" i="1"/>
  <c r="AK119" i="1"/>
  <c r="AK148" i="1" s="1"/>
  <c r="AK177" i="1" s="1"/>
  <c r="AK206" i="1" s="1"/>
  <c r="AK235" i="1" s="1"/>
  <c r="AK264" i="1" s="1"/>
  <c r="AK293" i="1" s="1"/>
  <c r="AK322" i="1" s="1"/>
  <c r="AK351" i="1" s="1"/>
  <c r="AL17" i="1"/>
  <c r="AL18" i="1"/>
  <c r="AG17" i="1"/>
  <c r="AG18" i="1"/>
  <c r="AG39" i="1"/>
  <c r="AG36" i="1"/>
  <c r="AG28" i="1"/>
  <c r="AG26" i="1"/>
  <c r="AG37" i="1"/>
  <c r="AR28" i="1"/>
  <c r="AR26" i="1"/>
  <c r="AR25" i="1"/>
  <c r="F29" i="1"/>
  <c r="H27" i="1"/>
  <c r="AG27" i="1" s="1"/>
  <c r="AE51" i="3"/>
  <c r="I106" i="2"/>
  <c r="I105" i="2"/>
  <c r="F87" i="2"/>
  <c r="F86" i="2"/>
  <c r="I75" i="2"/>
  <c r="W44" i="2"/>
  <c r="W43" i="2"/>
  <c r="U43" i="2"/>
  <c r="W42" i="2"/>
  <c r="U42" i="2"/>
  <c r="W41" i="2"/>
  <c r="U41" i="2"/>
  <c r="U40" i="2"/>
  <c r="U39" i="2"/>
  <c r="AS36" i="2"/>
  <c r="AT36" i="2" s="1"/>
  <c r="AP36" i="2"/>
  <c r="AQ36" i="2" s="1"/>
  <c r="AN36" i="2"/>
  <c r="AM36" i="2"/>
  <c r="AI36" i="2"/>
  <c r="AG36" i="2"/>
  <c r="AF36" i="2"/>
  <c r="AB36" i="2"/>
  <c r="AS35" i="2"/>
  <c r="AT35" i="2" s="1"/>
  <c r="AN35" i="2"/>
  <c r="AM35" i="2"/>
  <c r="AI35" i="2"/>
  <c r="AG35" i="2"/>
  <c r="AF35" i="2"/>
  <c r="AB35" i="2"/>
  <c r="AP35" i="2" s="1"/>
  <c r="I35" i="2"/>
  <c r="AS34" i="2"/>
  <c r="AU34" i="2" s="1"/>
  <c r="AN34" i="2"/>
  <c r="AM34" i="2"/>
  <c r="AI34" i="2"/>
  <c r="AG34" i="2"/>
  <c r="AF34" i="2"/>
  <c r="AB34" i="2"/>
  <c r="AP34" i="2" s="1"/>
  <c r="P34" i="2"/>
  <c r="I34" i="2"/>
  <c r="B34" i="2"/>
  <c r="AS33" i="2"/>
  <c r="AU33" i="2" s="1"/>
  <c r="AP33" i="2"/>
  <c r="AN33" i="2"/>
  <c r="AM33" i="2"/>
  <c r="AI33" i="2"/>
  <c r="AG33" i="2"/>
  <c r="AF33" i="2"/>
  <c r="AB33" i="2"/>
  <c r="M33" i="2"/>
  <c r="J33" i="2"/>
  <c r="G33" i="2"/>
  <c r="D33" i="2"/>
  <c r="AS32" i="2"/>
  <c r="AT32" i="2" s="1"/>
  <c r="AN32" i="2"/>
  <c r="AM32" i="2"/>
  <c r="AI32" i="2"/>
  <c r="AG32" i="2"/>
  <c r="AF32" i="2"/>
  <c r="AB32" i="2"/>
  <c r="AP32" i="2" s="1"/>
  <c r="J32" i="2"/>
  <c r="G32" i="2"/>
  <c r="D32" i="2"/>
  <c r="AS31" i="2"/>
  <c r="AU31" i="2" s="1"/>
  <c r="AN31" i="2"/>
  <c r="AM31" i="2"/>
  <c r="AI31" i="2"/>
  <c r="AG31" i="2"/>
  <c r="AF31" i="2"/>
  <c r="AB31" i="2"/>
  <c r="AP31" i="2" s="1"/>
  <c r="I31" i="2"/>
  <c r="G31" i="2"/>
  <c r="D31" i="2"/>
  <c r="AS30" i="2"/>
  <c r="AU30" i="2" s="1"/>
  <c r="AN30" i="2"/>
  <c r="AM30" i="2"/>
  <c r="AI30" i="2"/>
  <c r="AG30" i="2"/>
  <c r="AF30" i="2"/>
  <c r="AB30" i="2"/>
  <c r="AP30" i="2" s="1"/>
  <c r="P30" i="2"/>
  <c r="O31" i="2" s="1"/>
  <c r="M30" i="2"/>
  <c r="L35" i="2" s="1"/>
  <c r="J30" i="2"/>
  <c r="G30" i="2"/>
  <c r="D30" i="2"/>
  <c r="AQ28" i="2"/>
  <c r="AQ31" i="2" s="1"/>
  <c r="AJ28" i="2"/>
  <c r="AJ36" i="2" s="1"/>
  <c r="AC28" i="2"/>
  <c r="AD36" i="2" s="1"/>
  <c r="AK137" i="1"/>
  <c r="AK99" i="1"/>
  <c r="AG137" i="1"/>
  <c r="AO137" i="1"/>
  <c r="AO99" i="1"/>
  <c r="AK136" i="1"/>
  <c r="AG136" i="1"/>
  <c r="AR99" i="1"/>
  <c r="P59" i="1"/>
  <c r="P58" i="1"/>
  <c r="L59" i="1"/>
  <c r="L58" i="1"/>
  <c r="H58" i="1"/>
  <c r="AZ119" i="1"/>
  <c r="S58" i="1"/>
  <c r="H59" i="1"/>
  <c r="S59" i="1"/>
  <c r="AK382" i="1" l="1"/>
  <c r="AK381" i="1"/>
  <c r="AK314" i="1"/>
  <c r="AK256" i="1"/>
  <c r="AK372" i="1"/>
  <c r="AK227" i="1"/>
  <c r="AK401" i="1"/>
  <c r="AK343" i="1"/>
  <c r="AK169" i="1"/>
  <c r="AK285" i="1"/>
  <c r="AR401" i="1"/>
  <c r="AR343" i="1"/>
  <c r="AR285" i="1"/>
  <c r="AR169" i="1"/>
  <c r="AR314" i="1"/>
  <c r="AR227" i="1"/>
  <c r="AR372" i="1"/>
  <c r="AR256" i="1"/>
  <c r="AG314" i="1"/>
  <c r="AG256" i="1"/>
  <c r="AG372" i="1"/>
  <c r="AG401" i="1"/>
  <c r="AG227" i="1"/>
  <c r="AG343" i="1"/>
  <c r="AG285" i="1"/>
  <c r="AG169" i="1"/>
  <c r="AK380" i="1"/>
  <c r="AO192" i="1"/>
  <c r="AO221" i="1" s="1"/>
  <c r="AO250" i="1" s="1"/>
  <c r="AO279" i="1" s="1"/>
  <c r="AO308" i="1" s="1"/>
  <c r="AO337" i="1" s="1"/>
  <c r="AO366" i="1" s="1"/>
  <c r="AO395" i="1" s="1"/>
  <c r="AO163" i="1"/>
  <c r="S55" i="1"/>
  <c r="P55" i="1"/>
  <c r="AG100" i="1"/>
  <c r="AR100" i="1"/>
  <c r="AO100" i="1"/>
  <c r="AK100" i="1"/>
  <c r="AR102" i="1"/>
  <c r="AO102" i="1"/>
  <c r="AK102" i="1"/>
  <c r="AR101" i="1"/>
  <c r="AG101" i="1"/>
  <c r="AR152" i="1"/>
  <c r="AR181" i="1" s="1"/>
  <c r="AR210" i="1" s="1"/>
  <c r="AR239" i="1" s="1"/>
  <c r="AR268" i="1" s="1"/>
  <c r="AR297" i="1" s="1"/>
  <c r="AR326" i="1" s="1"/>
  <c r="AR355" i="1" s="1"/>
  <c r="AK101" i="1"/>
  <c r="AO101" i="1"/>
  <c r="H55" i="1"/>
  <c r="AK117" i="1"/>
  <c r="BC37" i="1"/>
  <c r="P37" i="1"/>
  <c r="AO37" i="1" s="1"/>
  <c r="AE29" i="1"/>
  <c r="BB38" i="1"/>
  <c r="L55" i="1" s="1"/>
  <c r="BB37" i="1"/>
  <c r="AG198" i="1"/>
  <c r="AG140" i="1"/>
  <c r="AG119" i="1"/>
  <c r="AO119" i="1" s="1"/>
  <c r="AK198" i="1"/>
  <c r="AK140" i="1"/>
  <c r="AR140" i="1"/>
  <c r="AR198" i="1"/>
  <c r="AR117" i="1"/>
  <c r="AR146" i="1" s="1"/>
  <c r="AO121" i="1"/>
  <c r="AR120" i="1"/>
  <c r="AR149" i="1" s="1"/>
  <c r="AR178" i="1" s="1"/>
  <c r="AR207" i="1" s="1"/>
  <c r="AR236" i="1" s="1"/>
  <c r="AR265" i="1" s="1"/>
  <c r="AR294" i="1" s="1"/>
  <c r="AR323" i="1" s="1"/>
  <c r="AR352" i="1" s="1"/>
  <c r="AR118" i="1"/>
  <c r="AR147" i="1" s="1"/>
  <c r="AR176" i="1" s="1"/>
  <c r="AR205" i="1" s="1"/>
  <c r="AR234" i="1" s="1"/>
  <c r="AR263" i="1" s="1"/>
  <c r="AR292" i="1" s="1"/>
  <c r="AR321" i="1" s="1"/>
  <c r="AR350" i="1" s="1"/>
  <c r="AR379" i="1" s="1"/>
  <c r="AR119" i="1"/>
  <c r="AR148" i="1" s="1"/>
  <c r="AR177" i="1" s="1"/>
  <c r="AR206" i="1" s="1"/>
  <c r="AR235" i="1" s="1"/>
  <c r="AR264" i="1" s="1"/>
  <c r="AR293" i="1" s="1"/>
  <c r="AR322" i="1" s="1"/>
  <c r="AR351" i="1" s="1"/>
  <c r="AO120" i="1"/>
  <c r="AD34" i="2"/>
  <c r="AT34" i="2"/>
  <c r="AT31" i="2"/>
  <c r="L34" i="2"/>
  <c r="AC30" i="2"/>
  <c r="AU32" i="2"/>
  <c r="AU35" i="2"/>
  <c r="AR31" i="2"/>
  <c r="O32" i="2"/>
  <c r="AQ32" i="2"/>
  <c r="AD33" i="2"/>
  <c r="AT33" i="2"/>
  <c r="O35" i="2"/>
  <c r="AQ35" i="2"/>
  <c r="AU36" i="2"/>
  <c r="P38" i="1"/>
  <c r="AO38" i="1" s="1"/>
  <c r="P36" i="1"/>
  <c r="AO36" i="1" s="1"/>
  <c r="AJ33" i="2"/>
  <c r="AJ34" i="2"/>
  <c r="AK35" i="2"/>
  <c r="AK36" i="2"/>
  <c r="AD30" i="2"/>
  <c r="AJ30" i="2"/>
  <c r="AT30" i="2"/>
  <c r="AC31" i="2"/>
  <c r="AR32" i="2"/>
  <c r="O33" i="2"/>
  <c r="AK33" i="2"/>
  <c r="AQ33" i="2"/>
  <c r="AK34" i="2"/>
  <c r="AQ34" i="2"/>
  <c r="AR35" i="2"/>
  <c r="AR36" i="2"/>
  <c r="AK30" i="2"/>
  <c r="AQ30" i="2"/>
  <c r="L31" i="2"/>
  <c r="AD31" i="2"/>
  <c r="AJ31" i="2"/>
  <c r="AC32" i="2"/>
  <c r="AR33" i="2"/>
  <c r="AR34" i="2"/>
  <c r="AC35" i="2"/>
  <c r="AC36" i="2"/>
  <c r="AK32" i="2"/>
  <c r="AR30" i="2"/>
  <c r="AK31" i="2"/>
  <c r="L32" i="2"/>
  <c r="AD32" i="2"/>
  <c r="AJ32" i="2"/>
  <c r="AC33" i="2"/>
  <c r="AC34" i="2"/>
  <c r="AD35" i="2"/>
  <c r="AJ35" i="2"/>
  <c r="AO135" i="1"/>
  <c r="AO103" i="1"/>
  <c r="AR132" i="1"/>
  <c r="AR103" i="1"/>
  <c r="AO131" i="1"/>
  <c r="AK103" i="1"/>
  <c r="AR384" i="1" l="1"/>
  <c r="AR381" i="1"/>
  <c r="AR380" i="1"/>
  <c r="AO141" i="1"/>
  <c r="AG148" i="1" s="1"/>
  <c r="AK118" i="1"/>
  <c r="AO118" i="1" s="1"/>
  <c r="AO117" i="1"/>
  <c r="AR141" i="1"/>
  <c r="AG149" i="1" s="1"/>
  <c r="AO149" i="1" s="1"/>
  <c r="AO104" i="1"/>
  <c r="AR104" i="1"/>
  <c r="AR105" i="1" s="1"/>
  <c r="AR106" i="1" s="1"/>
  <c r="AK104" i="1"/>
  <c r="AK146" i="1"/>
  <c r="AR175" i="1"/>
  <c r="AR204" i="1" s="1"/>
  <c r="AR233" i="1" s="1"/>
  <c r="AR262" i="1" s="1"/>
  <c r="AR291" i="1" s="1"/>
  <c r="AR320" i="1" s="1"/>
  <c r="AR349" i="1" s="1"/>
  <c r="AR378" i="1" s="1"/>
  <c r="AG192" i="1"/>
  <c r="AG221" i="1" s="1"/>
  <c r="AG250" i="1" s="1"/>
  <c r="AG279" i="1" s="1"/>
  <c r="AG308" i="1" s="1"/>
  <c r="AG337" i="1" s="1"/>
  <c r="AG366" i="1" s="1"/>
  <c r="AG395" i="1" s="1"/>
  <c r="AK192" i="1"/>
  <c r="AK221" i="1" s="1"/>
  <c r="AK250" i="1" s="1"/>
  <c r="AK279" i="1" s="1"/>
  <c r="AK308" i="1" s="1"/>
  <c r="AK337" i="1" s="1"/>
  <c r="AK366" i="1" s="1"/>
  <c r="AK395" i="1" s="1"/>
  <c r="AR161" i="1"/>
  <c r="AE108" i="1"/>
  <c r="AG129" i="1"/>
  <c r="AK130" i="1"/>
  <c r="AR170" i="1" l="1"/>
  <c r="AK147" i="1"/>
  <c r="AK176" i="1" s="1"/>
  <c r="AK205" i="1" s="1"/>
  <c r="AK234" i="1" s="1"/>
  <c r="AK263" i="1" s="1"/>
  <c r="AK292" i="1" s="1"/>
  <c r="AK321" i="1" s="1"/>
  <c r="AK350" i="1" s="1"/>
  <c r="AK141" i="1"/>
  <c r="AG147" i="1" s="1"/>
  <c r="AG141" i="1"/>
  <c r="AG146" i="1" s="1"/>
  <c r="AO146" i="1" s="1"/>
  <c r="AK175" i="1"/>
  <c r="AK204" i="1" s="1"/>
  <c r="AK233" i="1" s="1"/>
  <c r="AK262" i="1" s="1"/>
  <c r="AK291" i="1" s="1"/>
  <c r="AK320" i="1" s="1"/>
  <c r="AK349" i="1" s="1"/>
  <c r="AO148" i="1"/>
  <c r="AG151" i="1"/>
  <c r="AG150" i="1"/>
  <c r="AO150" i="1" s="1"/>
  <c r="AO160" i="1"/>
  <c r="AO166" i="1"/>
  <c r="AO164" i="1"/>
  <c r="AG158" i="1"/>
  <c r="AK379" i="1" l="1"/>
  <c r="AK378" i="1"/>
  <c r="AO170" i="1"/>
  <c r="AG153" i="1"/>
  <c r="AG178" i="1"/>
  <c r="AO147" i="1"/>
  <c r="AG154" i="1"/>
  <c r="AK166" i="1"/>
  <c r="AK159" i="1"/>
  <c r="AG166" i="1"/>
  <c r="AO178" i="1" l="1"/>
  <c r="AG152" i="1"/>
  <c r="AO152" i="1" s="1"/>
  <c r="AG179" i="1"/>
  <c r="AO179" i="1" s="1"/>
  <c r="AG180" i="1"/>
  <c r="AG177" i="1"/>
  <c r="AR190" i="1"/>
  <c r="AO195" i="1"/>
  <c r="AO193" i="1"/>
  <c r="AG165" i="1"/>
  <c r="AK165" i="1"/>
  <c r="AG170" i="1" l="1"/>
  <c r="AK170" i="1"/>
  <c r="AR199" i="1"/>
  <c r="AG207" i="1" s="1"/>
  <c r="AO207" i="1" s="1"/>
  <c r="P53" i="1"/>
  <c r="AO177" i="1"/>
  <c r="AR219" i="1"/>
  <c r="AO189" i="1"/>
  <c r="AR228" i="1" l="1"/>
  <c r="AG236" i="1" s="1"/>
  <c r="AO236" i="1" s="1"/>
  <c r="AO199" i="1"/>
  <c r="AG175" i="1"/>
  <c r="AG183" i="1"/>
  <c r="AG176" i="1"/>
  <c r="AG182" i="1"/>
  <c r="AR248" i="1"/>
  <c r="AG195" i="1"/>
  <c r="AK195" i="1"/>
  <c r="AR257" i="1" l="1"/>
  <c r="AG265" i="1" s="1"/>
  <c r="AO265" i="1" s="1"/>
  <c r="AG206" i="1"/>
  <c r="AO206" i="1" s="1"/>
  <c r="AG208" i="1"/>
  <c r="AO208" i="1" s="1"/>
  <c r="AG209" i="1"/>
  <c r="AO176" i="1"/>
  <c r="AO175" i="1"/>
  <c r="AG181" i="1"/>
  <c r="AO181" i="1" s="1"/>
  <c r="AR277" i="1"/>
  <c r="AO224" i="1"/>
  <c r="AO218" i="1"/>
  <c r="AO222" i="1"/>
  <c r="AG194" i="1"/>
  <c r="AK194" i="1"/>
  <c r="AG187" i="1"/>
  <c r="AK188" i="1"/>
  <c r="AR286" i="1" l="1"/>
  <c r="AG294" i="1" s="1"/>
  <c r="AO294" i="1" s="1"/>
  <c r="AO228" i="1"/>
  <c r="AG199" i="1"/>
  <c r="AK199" i="1"/>
  <c r="AR306" i="1"/>
  <c r="AR315" i="1" l="1"/>
  <c r="AG323" i="1" s="1"/>
  <c r="AG235" i="1"/>
  <c r="AO235" i="1" s="1"/>
  <c r="AG237" i="1"/>
  <c r="AO237" i="1" s="1"/>
  <c r="AG238" i="1"/>
  <c r="AG205" i="1"/>
  <c r="AO205" i="1" s="1"/>
  <c r="AG212" i="1"/>
  <c r="AG211" i="1"/>
  <c r="AG204" i="1"/>
  <c r="AO204" i="1" s="1"/>
  <c r="AO247" i="1"/>
  <c r="AO251" i="1"/>
  <c r="AO253" i="1"/>
  <c r="AG216" i="1"/>
  <c r="AK224" i="1"/>
  <c r="AG224" i="1"/>
  <c r="AK217" i="1"/>
  <c r="AO323" i="1" l="1"/>
  <c r="S53" i="1"/>
  <c r="AO257" i="1"/>
  <c r="AG210" i="1"/>
  <c r="AO210" i="1" s="1"/>
  <c r="AR335" i="1"/>
  <c r="AG223" i="1"/>
  <c r="AK223" i="1"/>
  <c r="AR344" i="1" l="1"/>
  <c r="AG266" i="1"/>
  <c r="AO266" i="1" s="1"/>
  <c r="AG264" i="1"/>
  <c r="AO264" i="1" s="1"/>
  <c r="AG267" i="1"/>
  <c r="AK228" i="1"/>
  <c r="AG228" i="1"/>
  <c r="AO276" i="1"/>
  <c r="AO280" i="1"/>
  <c r="AO282" i="1"/>
  <c r="S54" i="1" l="1"/>
  <c r="S56" i="1" s="1"/>
  <c r="AG352" i="1"/>
  <c r="AO352" i="1" s="1"/>
  <c r="AO286" i="1"/>
  <c r="AG234" i="1"/>
  <c r="AO234" i="1" s="1"/>
  <c r="AG241" i="1"/>
  <c r="AG240" i="1"/>
  <c r="AG233" i="1"/>
  <c r="AO233" i="1" s="1"/>
  <c r="AR364" i="1"/>
  <c r="AG245" i="1"/>
  <c r="AK253" i="1"/>
  <c r="AK246" i="1"/>
  <c r="AG253" i="1"/>
  <c r="AR373" i="1" l="1"/>
  <c r="AG381" i="1" s="1"/>
  <c r="AO381" i="1" s="1"/>
  <c r="AG296" i="1"/>
  <c r="AG293" i="1"/>
  <c r="AO293" i="1" s="1"/>
  <c r="AG295" i="1"/>
  <c r="AO295" i="1" s="1"/>
  <c r="AG239" i="1"/>
  <c r="AO239" i="1" s="1"/>
  <c r="AR393" i="1"/>
  <c r="AO309" i="1"/>
  <c r="AO305" i="1"/>
  <c r="AO311" i="1"/>
  <c r="AG252" i="1"/>
  <c r="AK252" i="1"/>
  <c r="AR402" i="1" l="1"/>
  <c r="AO315" i="1"/>
  <c r="AG257" i="1"/>
  <c r="AK257" i="1"/>
  <c r="AG269" i="1" l="1"/>
  <c r="AG262" i="1"/>
  <c r="AO262" i="1" s="1"/>
  <c r="AG270" i="1"/>
  <c r="AG263" i="1"/>
  <c r="AO263" i="1" s="1"/>
  <c r="AG324" i="1"/>
  <c r="AO324" i="1" s="1"/>
  <c r="AG325" i="1"/>
  <c r="AG322" i="1"/>
  <c r="AO322" i="1" s="1"/>
  <c r="AO340" i="1"/>
  <c r="AO338" i="1"/>
  <c r="AO334" i="1"/>
  <c r="AG282" i="1"/>
  <c r="AK282" i="1"/>
  <c r="AK275" i="1"/>
  <c r="AG274" i="1"/>
  <c r="AO344" i="1" l="1"/>
  <c r="AG268" i="1"/>
  <c r="AO268" i="1" s="1"/>
  <c r="AK281" i="1"/>
  <c r="AG281" i="1"/>
  <c r="P54" i="1" l="1"/>
  <c r="P56" i="1" s="1"/>
  <c r="AG354" i="1"/>
  <c r="AG353" i="1"/>
  <c r="AO353" i="1" s="1"/>
  <c r="AG351" i="1"/>
  <c r="AO351" i="1" s="1"/>
  <c r="AK286" i="1"/>
  <c r="AG286" i="1"/>
  <c r="AO369" i="1"/>
  <c r="AO367" i="1"/>
  <c r="AO363" i="1"/>
  <c r="AO373" i="1" l="1"/>
  <c r="AG298" i="1"/>
  <c r="AG291" i="1"/>
  <c r="AO291" i="1" s="1"/>
  <c r="AG299" i="1"/>
  <c r="AG292" i="1"/>
  <c r="AO292" i="1" s="1"/>
  <c r="AG311" i="1"/>
  <c r="AK304" i="1"/>
  <c r="AK311" i="1"/>
  <c r="AG303" i="1"/>
  <c r="AG380" i="1" l="1"/>
  <c r="AO380" i="1" s="1"/>
  <c r="AG382" i="1"/>
  <c r="AO382" i="1" s="1"/>
  <c r="AG383" i="1"/>
  <c r="AG297" i="1"/>
  <c r="AO297" i="1" s="1"/>
  <c r="AO398" i="1"/>
  <c r="AO392" i="1"/>
  <c r="AO396" i="1"/>
  <c r="AG310" i="1"/>
  <c r="AK310" i="1"/>
  <c r="AO402" i="1" l="1"/>
  <c r="AK315" i="1"/>
  <c r="AG315" i="1"/>
  <c r="AG321" i="1" l="1"/>
  <c r="AG328" i="1"/>
  <c r="AG320" i="1"/>
  <c r="AG327" i="1"/>
  <c r="AK340" i="1"/>
  <c r="AG340" i="1"/>
  <c r="AO320" i="1" l="1"/>
  <c r="H53" i="1"/>
  <c r="AO321" i="1"/>
  <c r="L53" i="1"/>
  <c r="AG326" i="1"/>
  <c r="AO326" i="1" s="1"/>
  <c r="AG332" i="1"/>
  <c r="AK339" i="1"/>
  <c r="AG339" i="1"/>
  <c r="AK333" i="1"/>
  <c r="AK344" i="1" l="1"/>
  <c r="AG344" i="1"/>
  <c r="H54" i="1" l="1"/>
  <c r="H56" i="1" s="1"/>
  <c r="AG356" i="1"/>
  <c r="AG349" i="1"/>
  <c r="AO349" i="1" s="1"/>
  <c r="L54" i="1"/>
  <c r="L56" i="1" s="1"/>
  <c r="AG357" i="1"/>
  <c r="AG350" i="1"/>
  <c r="AO350" i="1" s="1"/>
  <c r="AG369" i="1"/>
  <c r="AK362" i="1"/>
  <c r="AG361" i="1"/>
  <c r="AK369" i="1"/>
  <c r="AG355" i="1" l="1"/>
  <c r="AO355" i="1" s="1"/>
  <c r="S50" i="1"/>
  <c r="H93" i="1" s="1"/>
  <c r="AG368" i="1"/>
  <c r="AK368" i="1"/>
  <c r="AK373" i="1" l="1"/>
  <c r="AG373" i="1"/>
  <c r="AG102" i="1"/>
  <c r="H99" i="1"/>
  <c r="L93" i="1"/>
  <c r="AG93" i="1"/>
  <c r="AG98" i="1" s="1"/>
  <c r="H95" i="1" s="1"/>
  <c r="H96" i="1"/>
  <c r="H97" i="1"/>
  <c r="H98" i="1"/>
  <c r="AG103" i="1"/>
  <c r="AG104" i="1" l="1"/>
  <c r="H100" i="1"/>
  <c r="AG385" i="1"/>
  <c r="AG378" i="1"/>
  <c r="AO378" i="1" s="1"/>
  <c r="P93" i="1"/>
  <c r="L101" i="1"/>
  <c r="L99" i="1"/>
  <c r="AK93" i="1"/>
  <c r="L98" i="1"/>
  <c r="L97" i="1"/>
  <c r="L100" i="1"/>
  <c r="L96" i="1"/>
  <c r="AG379" i="1"/>
  <c r="AO379" i="1" s="1"/>
  <c r="AG386" i="1"/>
  <c r="AK398" i="1"/>
  <c r="AG390" i="1"/>
  <c r="AK391" i="1"/>
  <c r="AG398" i="1"/>
  <c r="AG384" i="1" l="1"/>
  <c r="AO384" i="1" s="1"/>
  <c r="AK98" i="1"/>
  <c r="L95" i="1" s="1"/>
  <c r="AK105" i="1"/>
  <c r="AO93" i="1"/>
  <c r="P96" i="1"/>
  <c r="P98" i="1"/>
  <c r="P100" i="1"/>
  <c r="P101" i="1" s="1"/>
  <c r="P99" i="1"/>
  <c r="P97" i="1"/>
  <c r="AG105" i="1"/>
  <c r="H101" i="1"/>
  <c r="AK397" i="1"/>
  <c r="AG397" i="1"/>
  <c r="AG402" i="1" l="1"/>
  <c r="AK402" i="1"/>
  <c r="H102" i="1"/>
  <c r="AG106" i="1"/>
  <c r="H103" i="1" s="1"/>
  <c r="AO98" i="1"/>
  <c r="P95" i="1" s="1"/>
  <c r="AO105" i="1"/>
  <c r="AK106" i="1"/>
  <c r="L103" i="1" s="1"/>
  <c r="L102" i="1"/>
  <c r="AO106" i="1" l="1"/>
  <c r="P103" i="1" s="1"/>
  <c r="P102" i="1"/>
</calcChain>
</file>

<file path=xl/sharedStrings.xml><?xml version="1.0" encoding="utf-8"?>
<sst xmlns="http://schemas.openxmlformats.org/spreadsheetml/2006/main" count="1033" uniqueCount="357">
  <si>
    <t>PAGE</t>
  </si>
  <si>
    <t>OF</t>
  </si>
  <si>
    <t xml:space="preserve"> PROJECT NO.</t>
    <phoneticPr fontId="2" type="noConversion"/>
  </si>
  <si>
    <t>British</t>
    <phoneticPr fontId="2" type="noConversion"/>
  </si>
  <si>
    <t xml:space="preserve"> PROJECT NAME</t>
  </si>
  <si>
    <t>Metric</t>
    <phoneticPr fontId="2" type="noConversion"/>
  </si>
  <si>
    <t xml:space="preserve"> LOCATION</t>
  </si>
  <si>
    <t>Tank Heat Transfer Calculation</t>
    <phoneticPr fontId="2" type="noConversion"/>
  </si>
  <si>
    <t xml:space="preserve"> SERVICE</t>
  </si>
  <si>
    <t xml:space="preserve"> ITEM.NO</t>
  </si>
  <si>
    <t xml:space="preserve">1. REQUIRED INFORMATION </t>
    <phoneticPr fontId="2" type="noConversion"/>
  </si>
  <si>
    <t xml:space="preserve">  (1) Outer</t>
    <phoneticPr fontId="2" type="noConversion"/>
  </si>
  <si>
    <t xml:space="preserve">Type </t>
    <phoneticPr fontId="2" type="noConversion"/>
  </si>
  <si>
    <t>Type of Body</t>
    <phoneticPr fontId="2" type="noConversion"/>
  </si>
  <si>
    <t>Type of Head</t>
    <phoneticPr fontId="2" type="noConversion"/>
  </si>
  <si>
    <t>Equipment on Leg</t>
    <phoneticPr fontId="2" type="noConversion"/>
  </si>
  <si>
    <t>Liquid</t>
    <phoneticPr fontId="2" type="noConversion"/>
  </si>
  <si>
    <t>Vapor</t>
    <phoneticPr fontId="2" type="noConversion"/>
  </si>
  <si>
    <t>Air</t>
    <phoneticPr fontId="2" type="noConversion"/>
  </si>
  <si>
    <t>Thickness</t>
    <phoneticPr fontId="2" type="noConversion"/>
  </si>
  <si>
    <t>U (Overall Coefficient)</t>
    <phoneticPr fontId="2" type="noConversion"/>
  </si>
  <si>
    <t>Drywall</t>
    <phoneticPr fontId="2" type="noConversion"/>
  </si>
  <si>
    <t>Wetwall</t>
    <phoneticPr fontId="2" type="noConversion"/>
  </si>
  <si>
    <t>Roof</t>
    <phoneticPr fontId="2" type="noConversion"/>
  </si>
  <si>
    <t>Bottom</t>
    <phoneticPr fontId="2" type="noConversion"/>
  </si>
  <si>
    <t>Total</t>
    <phoneticPr fontId="2" type="noConversion"/>
  </si>
  <si>
    <t>Btu/ft2.h.˚F</t>
    <phoneticPr fontId="2" type="noConversion"/>
  </si>
  <si>
    <t>Btu/hr</t>
    <phoneticPr fontId="2" type="noConversion"/>
  </si>
  <si>
    <t>Etc</t>
    <phoneticPr fontId="2" type="noConversion"/>
  </si>
  <si>
    <t>Choice</t>
    <phoneticPr fontId="2" type="noConversion"/>
  </si>
  <si>
    <t>Yes</t>
    <phoneticPr fontId="2" type="noConversion"/>
  </si>
  <si>
    <t xml:space="preserve">Vertical plate </t>
    <phoneticPr fontId="2" type="noConversion"/>
  </si>
  <si>
    <t>No</t>
    <phoneticPr fontId="2" type="noConversion"/>
  </si>
  <si>
    <t xml:space="preserve">Vertical Cyclinder </t>
    <phoneticPr fontId="2" type="noConversion"/>
  </si>
  <si>
    <t xml:space="preserve">2:1 ELLIPS </t>
    <phoneticPr fontId="2" type="noConversion"/>
  </si>
  <si>
    <t xml:space="preserve">Horizontal Cylinder </t>
    <phoneticPr fontId="2" type="noConversion"/>
  </si>
  <si>
    <t xml:space="preserve">3:1 ELLIPS </t>
    <phoneticPr fontId="2" type="noConversion"/>
  </si>
  <si>
    <t>Sphere</t>
    <phoneticPr fontId="2" type="noConversion"/>
  </si>
  <si>
    <t xml:space="preserve">방정식 비교 </t>
    <phoneticPr fontId="2" type="noConversion"/>
  </si>
  <si>
    <t>Wind velocity</t>
    <phoneticPr fontId="2" type="noConversion"/>
  </si>
  <si>
    <t>Samsung Eng</t>
    <phoneticPr fontId="2" type="noConversion"/>
  </si>
  <si>
    <t>y=(0.871850624*ΔT^-0.245984807)*Wv+1</t>
    <phoneticPr fontId="2" type="noConversion"/>
  </si>
  <si>
    <t>chart</t>
    <phoneticPr fontId="2" type="noConversion"/>
  </si>
  <si>
    <t>Glotec Eng</t>
    <phoneticPr fontId="2" type="noConversion"/>
  </si>
  <si>
    <r>
      <t>y=[-0.04*LOG(R19,2.69)+0.336]*</t>
    </r>
    <r>
      <rPr>
        <sz val="11"/>
        <color theme="1"/>
        <rFont val="맑은 고딕"/>
        <family val="3"/>
        <charset val="129"/>
      </rPr>
      <t>Δ</t>
    </r>
    <r>
      <rPr>
        <sz val="11"/>
        <color theme="1"/>
        <rFont val="맑은 고딕"/>
        <family val="2"/>
        <charset val="129"/>
      </rPr>
      <t>T+1</t>
    </r>
    <phoneticPr fontId="2" type="noConversion"/>
  </si>
  <si>
    <r>
      <t xml:space="preserve">at </t>
    </r>
    <r>
      <rPr>
        <sz val="11"/>
        <color theme="1"/>
        <rFont val="맑은 고딕"/>
        <family val="3"/>
        <charset val="129"/>
      </rPr>
      <t>Δ</t>
    </r>
    <r>
      <rPr>
        <sz val="11"/>
        <color theme="1"/>
        <rFont val="맑은 고딕"/>
        <family val="2"/>
        <charset val="129"/>
      </rPr>
      <t>T=15˚F</t>
    </r>
    <phoneticPr fontId="2" type="noConversion"/>
  </si>
  <si>
    <r>
      <t xml:space="preserve">at </t>
    </r>
    <r>
      <rPr>
        <sz val="11"/>
        <color theme="1"/>
        <rFont val="맑은 고딕"/>
        <family val="3"/>
        <charset val="129"/>
      </rPr>
      <t>Δ</t>
    </r>
    <r>
      <rPr>
        <sz val="11"/>
        <color theme="1"/>
        <rFont val="맑은 고딕"/>
        <family val="2"/>
        <charset val="129"/>
      </rPr>
      <t>T=25˚F</t>
    </r>
    <phoneticPr fontId="2" type="noConversion"/>
  </si>
  <si>
    <r>
      <t xml:space="preserve">at </t>
    </r>
    <r>
      <rPr>
        <sz val="11"/>
        <color theme="1"/>
        <rFont val="맑은 고딕"/>
        <family val="3"/>
        <charset val="129"/>
      </rPr>
      <t>Δ</t>
    </r>
    <r>
      <rPr>
        <sz val="11"/>
        <color theme="1"/>
        <rFont val="맑은 고딕"/>
        <family val="2"/>
        <charset val="129"/>
      </rPr>
      <t>T=50˚F</t>
    </r>
    <phoneticPr fontId="2" type="noConversion"/>
  </si>
  <si>
    <r>
      <t xml:space="preserve">at </t>
    </r>
    <r>
      <rPr>
        <sz val="11"/>
        <color theme="1"/>
        <rFont val="맑은 고딕"/>
        <family val="3"/>
        <charset val="129"/>
      </rPr>
      <t>Δ</t>
    </r>
    <r>
      <rPr>
        <sz val="11"/>
        <color theme="1"/>
        <rFont val="맑은 고딕"/>
        <family val="2"/>
        <charset val="129"/>
      </rPr>
      <t>T=100˚F</t>
    </r>
    <phoneticPr fontId="2" type="noConversion"/>
  </si>
  <si>
    <r>
      <t xml:space="preserve">at </t>
    </r>
    <r>
      <rPr>
        <sz val="11"/>
        <color theme="1"/>
        <rFont val="맑은 고딕"/>
        <family val="3"/>
        <charset val="129"/>
      </rPr>
      <t>Δ</t>
    </r>
    <r>
      <rPr>
        <sz val="11"/>
        <color theme="1"/>
        <rFont val="맑은 고딕"/>
        <family val="2"/>
        <charset val="129"/>
      </rPr>
      <t>T=200˚F</t>
    </r>
    <phoneticPr fontId="2" type="noConversion"/>
  </si>
  <si>
    <t xml:space="preserve">기울기 </t>
    <phoneticPr fontId="2" type="noConversion"/>
  </si>
  <si>
    <t>wind (mph)</t>
    <phoneticPr fontId="2" type="noConversion"/>
  </si>
  <si>
    <t>Wind factor</t>
    <phoneticPr fontId="2" type="noConversion"/>
  </si>
  <si>
    <t>at ΔT</t>
    <phoneticPr fontId="2" type="noConversion"/>
  </si>
  <si>
    <t>Wind speed</t>
    <phoneticPr fontId="2" type="noConversion"/>
  </si>
  <si>
    <t>Wf (S.Eng)</t>
    <phoneticPr fontId="2" type="noConversion"/>
  </si>
  <si>
    <t>Wf (G.Eng)</t>
    <phoneticPr fontId="2" type="noConversion"/>
  </si>
  <si>
    <t>기울기</t>
    <phoneticPr fontId="2" type="noConversion"/>
  </si>
  <si>
    <t>Emissivity</t>
    <phoneticPr fontId="2" type="noConversion"/>
  </si>
  <si>
    <t>Aluminum</t>
  </si>
  <si>
    <t>0.05-0.10</t>
  </si>
  <si>
    <t>Steel, Oxidized</t>
  </si>
  <si>
    <t>0.27-0.60</t>
  </si>
  <si>
    <t>Asbestos cloth or paper</t>
  </si>
  <si>
    <t>0.90-0.94</t>
  </si>
  <si>
    <t>Porcelain enamel, white</t>
  </si>
  <si>
    <t>Wood</t>
  </si>
  <si>
    <t>0.82-0.92</t>
  </si>
  <si>
    <t>Paints: Black, shiny</t>
  </si>
  <si>
    <t>0.82-0.88</t>
  </si>
  <si>
    <t>Paints: Black, flat</t>
  </si>
  <si>
    <t>0.92-0.98</t>
  </si>
  <si>
    <t>Paints: Oil paints, various colors</t>
  </si>
  <si>
    <t>0.77-0.96</t>
  </si>
  <si>
    <t>Paints: Aluminum</t>
  </si>
  <si>
    <t>0.27-0.69</t>
  </si>
  <si>
    <t>Paints: Bronze</t>
  </si>
  <si>
    <t>해당사항 없음.</t>
  </si>
  <si>
    <t>No comment</t>
  </si>
  <si>
    <t>Metal</t>
    <phoneticPr fontId="2" type="noConversion"/>
  </si>
  <si>
    <t>Insulation</t>
    <phoneticPr fontId="2" type="noConversion"/>
  </si>
  <si>
    <t>k1</t>
    <phoneticPr fontId="2" type="noConversion"/>
  </si>
  <si>
    <t>+</t>
    <phoneticPr fontId="2" type="noConversion"/>
  </si>
  <si>
    <t>k2</t>
    <phoneticPr fontId="2" type="noConversion"/>
  </si>
  <si>
    <t>T</t>
    <phoneticPr fontId="2" type="noConversion"/>
  </si>
  <si>
    <t>Carbon Steel</t>
    <phoneticPr fontId="2" type="noConversion"/>
  </si>
  <si>
    <t>Killed Steel</t>
    <phoneticPr fontId="2" type="noConversion"/>
  </si>
  <si>
    <t>Perite, expanded</t>
    <phoneticPr fontId="2" type="noConversion"/>
  </si>
  <si>
    <t>Aluminum</t>
    <phoneticPr fontId="2" type="noConversion"/>
  </si>
  <si>
    <t>Super Calcium silicate</t>
    <phoneticPr fontId="2" type="noConversion"/>
  </si>
  <si>
    <t>Fiberglass</t>
    <phoneticPr fontId="2" type="noConversion"/>
  </si>
  <si>
    <t>INSULATION THERMAL CONDUCTIVITY  (Btu/hr ft)</t>
    <phoneticPr fontId="12" type="noConversion"/>
  </si>
  <si>
    <t xml:space="preserve">MARTERIAL </t>
  </si>
  <si>
    <t>A</t>
  </si>
  <si>
    <t>B</t>
  </si>
  <si>
    <t xml:space="preserve">  k= A*T + B</t>
    <phoneticPr fontId="12" type="noConversion"/>
  </si>
  <si>
    <t>NO</t>
    <phoneticPr fontId="12" type="noConversion"/>
  </si>
  <si>
    <t>PERITE, EXPANDED</t>
    <phoneticPr fontId="12" type="noConversion"/>
  </si>
  <si>
    <t>GLASS, CULLULAR</t>
    <phoneticPr fontId="12" type="noConversion"/>
  </si>
  <si>
    <r>
      <t xml:space="preserve">  </t>
    </r>
    <r>
      <rPr>
        <sz val="10"/>
        <rFont val="돋움"/>
        <family val="3"/>
        <charset val="129"/>
      </rPr>
      <t>얘만</t>
    </r>
    <r>
      <rPr>
        <sz val="11"/>
        <color theme="1"/>
        <rFont val="맑은 고딕"/>
        <family val="2"/>
        <charset val="129"/>
        <scheme val="minor"/>
      </rPr>
      <t xml:space="preserve"> k=0.02501*exp(0.00209*T)</t>
    </r>
    <phoneticPr fontId="12" type="noConversion"/>
  </si>
  <si>
    <t>GLASS, FIBER</t>
    <phoneticPr fontId="12" type="noConversion"/>
  </si>
  <si>
    <t>MINERAL FIBER A (T&lt;75˚F)</t>
  </si>
  <si>
    <t>MINERAL FIBER A (75˚F&lt;T&lt;400˚F)</t>
  </si>
  <si>
    <t>MINERAL FIBER B (T&lt;850˚F)</t>
  </si>
  <si>
    <t>MINERAL FIBER C (T&lt;200˚F)</t>
  </si>
  <si>
    <t>MINERAL FIBER C (200˚F&lt;T&lt;300˚F)</t>
  </si>
  <si>
    <t>MINERAL FIBER C (300˚F&lt;T&lt;1000˚F)</t>
  </si>
  <si>
    <t>MINERAL FIBER D (T&lt;700˚F)</t>
  </si>
  <si>
    <t>MINERAL FIBER D (700˚F&lt;T&lt;1800˚F)</t>
  </si>
  <si>
    <r>
      <t>MINERAL WOOL (T&lt;300</t>
    </r>
    <r>
      <rPr>
        <sz val="10"/>
        <rFont val="돋움"/>
        <family val="3"/>
        <charset val="129"/>
      </rPr>
      <t>˚</t>
    </r>
    <r>
      <rPr>
        <sz val="11"/>
        <color theme="1"/>
        <rFont val="맑은 고딕"/>
        <family val="2"/>
        <charset val="129"/>
        <scheme val="minor"/>
      </rPr>
      <t>F)</t>
    </r>
    <phoneticPr fontId="12" type="noConversion"/>
  </si>
  <si>
    <r>
      <t>MINERAL WOOL (300</t>
    </r>
    <r>
      <rPr>
        <sz val="10"/>
        <rFont val="돋움"/>
        <family val="3"/>
        <charset val="129"/>
      </rPr>
      <t>˚</t>
    </r>
    <r>
      <rPr>
        <sz val="11"/>
        <color theme="1"/>
        <rFont val="맑은 고딕"/>
        <family val="2"/>
        <charset val="129"/>
        <scheme val="minor"/>
      </rPr>
      <t>F&lt;T&lt;500</t>
    </r>
    <r>
      <rPr>
        <sz val="10"/>
        <rFont val="돋움"/>
        <family val="3"/>
        <charset val="129"/>
      </rPr>
      <t>˚</t>
    </r>
    <r>
      <rPr>
        <sz val="11"/>
        <color theme="1"/>
        <rFont val="맑은 고딕"/>
        <family val="2"/>
        <charset val="129"/>
        <scheme val="minor"/>
      </rPr>
      <t>F)</t>
    </r>
    <phoneticPr fontId="12" type="noConversion"/>
  </si>
  <si>
    <r>
      <t>MINERAL WOOL (500</t>
    </r>
    <r>
      <rPr>
        <sz val="10"/>
        <rFont val="돋움"/>
        <family val="3"/>
        <charset val="129"/>
      </rPr>
      <t>˚</t>
    </r>
    <r>
      <rPr>
        <sz val="11"/>
        <color theme="1"/>
        <rFont val="맑은 고딕"/>
        <family val="2"/>
        <charset val="129"/>
        <scheme val="minor"/>
      </rPr>
      <t>F&lt;T&lt;1800</t>
    </r>
    <r>
      <rPr>
        <sz val="10"/>
        <rFont val="돋움"/>
        <family val="3"/>
        <charset val="129"/>
      </rPr>
      <t>˚</t>
    </r>
    <r>
      <rPr>
        <sz val="11"/>
        <color theme="1"/>
        <rFont val="맑은 고딕"/>
        <family val="2"/>
        <charset val="129"/>
        <scheme val="minor"/>
      </rPr>
      <t>F)</t>
    </r>
    <phoneticPr fontId="12" type="noConversion"/>
  </si>
  <si>
    <r>
      <t>AMOSITE ASBESTOS CLASS1 (T&lt;400</t>
    </r>
    <r>
      <rPr>
        <sz val="10"/>
        <rFont val="돋움"/>
        <family val="3"/>
        <charset val="129"/>
      </rPr>
      <t>˚</t>
    </r>
    <r>
      <rPr>
        <sz val="11"/>
        <color theme="1"/>
        <rFont val="맑은 고딕"/>
        <family val="2"/>
        <charset val="129"/>
        <scheme val="minor"/>
      </rPr>
      <t>F)</t>
    </r>
    <phoneticPr fontId="12" type="noConversion"/>
  </si>
  <si>
    <r>
      <t>AMOSITE ASBESTOS CLASS1 (T&gt;400</t>
    </r>
    <r>
      <rPr>
        <sz val="10"/>
        <rFont val="돋움"/>
        <family val="3"/>
        <charset val="129"/>
      </rPr>
      <t>˚</t>
    </r>
    <r>
      <rPr>
        <sz val="11"/>
        <color theme="1"/>
        <rFont val="맑은 고딕"/>
        <family val="2"/>
        <charset val="129"/>
        <scheme val="minor"/>
      </rPr>
      <t>F)</t>
    </r>
    <phoneticPr fontId="12" type="noConversion"/>
  </si>
  <si>
    <r>
      <t>AMOSITE ASBESTOS CLASS2 (T&lt;400</t>
    </r>
    <r>
      <rPr>
        <sz val="10"/>
        <rFont val="돋움"/>
        <family val="3"/>
        <charset val="129"/>
      </rPr>
      <t>˚</t>
    </r>
    <r>
      <rPr>
        <sz val="11"/>
        <color theme="1"/>
        <rFont val="맑은 고딕"/>
        <family val="2"/>
        <charset val="129"/>
        <scheme val="minor"/>
      </rPr>
      <t>F)</t>
    </r>
    <phoneticPr fontId="12" type="noConversion"/>
  </si>
  <si>
    <r>
      <t>AMOSITE ASBESTOS CLASS2 (T&gt;400</t>
    </r>
    <r>
      <rPr>
        <sz val="10"/>
        <rFont val="돋움"/>
        <family val="3"/>
        <charset val="129"/>
      </rPr>
      <t>˚</t>
    </r>
    <r>
      <rPr>
        <sz val="11"/>
        <color theme="1"/>
        <rFont val="맑은 고딕"/>
        <family val="2"/>
        <charset val="129"/>
        <scheme val="minor"/>
      </rPr>
      <t>F)</t>
    </r>
    <phoneticPr fontId="12" type="noConversion"/>
  </si>
  <si>
    <r>
      <t>CALCUIM SILICATE (T&lt;500</t>
    </r>
    <r>
      <rPr>
        <sz val="10"/>
        <rFont val="돋움"/>
        <family val="3"/>
        <charset val="129"/>
      </rPr>
      <t>˚</t>
    </r>
    <r>
      <rPr>
        <sz val="11"/>
        <color theme="1"/>
        <rFont val="맑은 고딕"/>
        <family val="2"/>
        <charset val="129"/>
        <scheme val="minor"/>
      </rPr>
      <t>F)</t>
    </r>
    <phoneticPr fontId="12" type="noConversion"/>
  </si>
  <si>
    <r>
      <t>CALCUIM SILICATE (500</t>
    </r>
    <r>
      <rPr>
        <sz val="10"/>
        <rFont val="돋움"/>
        <family val="3"/>
        <charset val="129"/>
      </rPr>
      <t>˚</t>
    </r>
    <r>
      <rPr>
        <sz val="11"/>
        <color theme="1"/>
        <rFont val="맑은 고딕"/>
        <family val="2"/>
        <charset val="129"/>
        <scheme val="minor"/>
      </rPr>
      <t>F&lt;T&lt;700</t>
    </r>
    <r>
      <rPr>
        <sz val="10"/>
        <rFont val="돋움"/>
        <family val="3"/>
        <charset val="129"/>
      </rPr>
      <t>˚</t>
    </r>
    <r>
      <rPr>
        <sz val="11"/>
        <color theme="1"/>
        <rFont val="맑은 고딕"/>
        <family val="2"/>
        <charset val="129"/>
        <scheme val="minor"/>
      </rPr>
      <t>F)</t>
    </r>
    <phoneticPr fontId="12" type="noConversion"/>
  </si>
  <si>
    <r>
      <t>CALCUIM SILICATE  (700</t>
    </r>
    <r>
      <rPr>
        <sz val="10"/>
        <rFont val="돋움"/>
        <family val="3"/>
        <charset val="129"/>
      </rPr>
      <t>˚</t>
    </r>
    <r>
      <rPr>
        <sz val="11"/>
        <color theme="1"/>
        <rFont val="맑은 고딕"/>
        <family val="2"/>
        <charset val="129"/>
        <scheme val="minor"/>
      </rPr>
      <t>F&lt;T&lt;1200</t>
    </r>
    <r>
      <rPr>
        <sz val="10"/>
        <rFont val="돋움"/>
        <family val="3"/>
        <charset val="129"/>
      </rPr>
      <t>˚</t>
    </r>
    <r>
      <rPr>
        <sz val="11"/>
        <color theme="1"/>
        <rFont val="맑은 고딕"/>
        <family val="2"/>
        <charset val="129"/>
        <scheme val="minor"/>
      </rPr>
      <t>F)</t>
    </r>
    <phoneticPr fontId="12" type="noConversion"/>
  </si>
  <si>
    <r>
      <t>SUPER CALCUIM SILICATE (T&lt;500</t>
    </r>
    <r>
      <rPr>
        <sz val="10"/>
        <rFont val="돋움"/>
        <family val="3"/>
        <charset val="129"/>
      </rPr>
      <t>˚</t>
    </r>
    <r>
      <rPr>
        <sz val="11"/>
        <color theme="1"/>
        <rFont val="맑은 고딕"/>
        <family val="2"/>
        <charset val="129"/>
        <scheme val="minor"/>
      </rPr>
      <t>F)</t>
    </r>
    <phoneticPr fontId="12" type="noConversion"/>
  </si>
  <si>
    <r>
      <t>SUPER CALCUIM SILICATE  (500</t>
    </r>
    <r>
      <rPr>
        <sz val="10"/>
        <rFont val="돋움"/>
        <family val="3"/>
        <charset val="129"/>
      </rPr>
      <t>˚</t>
    </r>
    <r>
      <rPr>
        <sz val="11"/>
        <color theme="1"/>
        <rFont val="맑은 고딕"/>
        <family val="2"/>
        <charset val="129"/>
        <scheme val="minor"/>
      </rPr>
      <t>F&lt;T&lt;700</t>
    </r>
    <r>
      <rPr>
        <sz val="10"/>
        <rFont val="돋움"/>
        <family val="3"/>
        <charset val="129"/>
      </rPr>
      <t>˚</t>
    </r>
    <r>
      <rPr>
        <sz val="11"/>
        <color theme="1"/>
        <rFont val="맑은 고딕"/>
        <family val="2"/>
        <charset val="129"/>
        <scheme val="minor"/>
      </rPr>
      <t>F)</t>
    </r>
    <phoneticPr fontId="12" type="noConversion"/>
  </si>
  <si>
    <r>
      <t>SUPER CALCUIM SILICATE  (700</t>
    </r>
    <r>
      <rPr>
        <sz val="10"/>
        <rFont val="돋움"/>
        <family val="3"/>
        <charset val="129"/>
      </rPr>
      <t>˚</t>
    </r>
    <r>
      <rPr>
        <sz val="11"/>
        <color theme="1"/>
        <rFont val="맑은 고딕"/>
        <family val="2"/>
        <charset val="129"/>
        <scheme val="minor"/>
      </rPr>
      <t>F&lt;T&lt;1700</t>
    </r>
    <r>
      <rPr>
        <sz val="10"/>
        <rFont val="돋움"/>
        <family val="3"/>
        <charset val="129"/>
      </rPr>
      <t>˚</t>
    </r>
    <r>
      <rPr>
        <sz val="11"/>
        <color theme="1"/>
        <rFont val="맑은 고딕"/>
        <family val="2"/>
        <charset val="129"/>
        <scheme val="minor"/>
      </rPr>
      <t>F)</t>
    </r>
    <phoneticPr fontId="12" type="noConversion"/>
  </si>
  <si>
    <r>
      <t>DIAOMACEUOS EARTH CLASS 1  (T&lt;750</t>
    </r>
    <r>
      <rPr>
        <sz val="10"/>
        <rFont val="돋움"/>
        <family val="3"/>
        <charset val="129"/>
      </rPr>
      <t>˚</t>
    </r>
    <r>
      <rPr>
        <sz val="11"/>
        <color theme="1"/>
        <rFont val="맑은 고딕"/>
        <family val="2"/>
        <charset val="129"/>
        <scheme val="minor"/>
      </rPr>
      <t>F)</t>
    </r>
    <phoneticPr fontId="12" type="noConversion"/>
  </si>
  <si>
    <r>
      <t>DIAOMACEUOS EARTH CLASS 1 (750</t>
    </r>
    <r>
      <rPr>
        <sz val="10"/>
        <rFont val="돋움"/>
        <family val="3"/>
        <charset val="129"/>
      </rPr>
      <t>˚</t>
    </r>
    <r>
      <rPr>
        <sz val="11"/>
        <color theme="1"/>
        <rFont val="맑은 고딕"/>
        <family val="2"/>
        <charset val="129"/>
        <scheme val="minor"/>
      </rPr>
      <t>F&lt;T&lt;1600</t>
    </r>
    <r>
      <rPr>
        <sz val="10"/>
        <rFont val="돋움"/>
        <family val="3"/>
        <charset val="129"/>
      </rPr>
      <t>˚</t>
    </r>
    <r>
      <rPr>
        <sz val="11"/>
        <color theme="1"/>
        <rFont val="맑은 고딕"/>
        <family val="2"/>
        <charset val="129"/>
        <scheme val="minor"/>
      </rPr>
      <t>F)</t>
    </r>
    <phoneticPr fontId="12" type="noConversion"/>
  </si>
  <si>
    <r>
      <t>DIAOMACEUOS EARTH CLASS 2 (T&lt;1900</t>
    </r>
    <r>
      <rPr>
        <sz val="10"/>
        <rFont val="돋움"/>
        <family val="3"/>
        <charset val="129"/>
      </rPr>
      <t>˚</t>
    </r>
    <r>
      <rPr>
        <sz val="11"/>
        <color theme="1"/>
        <rFont val="맑은 고딕"/>
        <family val="2"/>
        <charset val="129"/>
        <scheme val="minor"/>
      </rPr>
      <t>F)</t>
    </r>
    <phoneticPr fontId="12" type="noConversion"/>
  </si>
  <si>
    <t>A x T^3 + B x T^2 + C x T + D</t>
    <phoneticPr fontId="2" type="noConversion"/>
  </si>
  <si>
    <t xml:space="preserve">Pipe termal conductivity     </t>
    <phoneticPr fontId="12" type="noConversion"/>
  </si>
  <si>
    <t>(Btu/hr ft)</t>
    <phoneticPr fontId="12" type="noConversion"/>
  </si>
  <si>
    <t>A</t>
    <phoneticPr fontId="12" type="noConversion"/>
  </si>
  <si>
    <t>B</t>
    <phoneticPr fontId="12" type="noConversion"/>
  </si>
  <si>
    <t>C</t>
    <phoneticPr fontId="12" type="noConversion"/>
  </si>
  <si>
    <t>D</t>
    <phoneticPr fontId="12" type="noConversion"/>
  </si>
  <si>
    <t xml:space="preserve">CARBON STEEL </t>
    <phoneticPr fontId="12" type="noConversion"/>
  </si>
  <si>
    <t>F</t>
    <phoneticPr fontId="2" type="noConversion"/>
  </si>
  <si>
    <t>TP 304 STN STL</t>
    <phoneticPr fontId="12" type="noConversion"/>
  </si>
  <si>
    <t>ADMIRALTY</t>
    <phoneticPr fontId="12" type="noConversion"/>
  </si>
  <si>
    <t>NAVAL BRASS</t>
    <phoneticPr fontId="12" type="noConversion"/>
  </si>
  <si>
    <t>참고문헌</t>
  </si>
  <si>
    <t>1. Chemical Engineering</t>
    <phoneticPr fontId="2" type="noConversion"/>
  </si>
  <si>
    <t>Predict Storage Tank Heat Transfer Precisely</t>
    <phoneticPr fontId="2" type="noConversion"/>
  </si>
  <si>
    <t>2. Chiyoda Engineering</t>
    <phoneticPr fontId="2" type="noConversion"/>
  </si>
  <si>
    <r>
      <t>Surface Emissivity</t>
    </r>
    <r>
      <rPr>
        <sz val="18"/>
        <rFont val="돋움"/>
        <family val="3"/>
        <charset val="129"/>
      </rPr>
      <t>관한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상수</t>
    </r>
    <r>
      <rPr>
        <sz val="18"/>
        <rFont val="Arial"/>
        <family val="2"/>
      </rPr>
      <t xml:space="preserve"> </t>
    </r>
    <phoneticPr fontId="2" type="noConversion"/>
  </si>
  <si>
    <t>3. Exxon Mobil</t>
    <phoneticPr fontId="2" type="noConversion"/>
  </si>
  <si>
    <r>
      <t>Insulation</t>
    </r>
    <r>
      <rPr>
        <sz val="18"/>
        <rFont val="돋움"/>
        <family val="3"/>
        <charset val="129"/>
      </rPr>
      <t>에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관한</t>
    </r>
    <r>
      <rPr>
        <sz val="18"/>
        <rFont val="Arial"/>
        <family val="2"/>
      </rPr>
      <t xml:space="preserve"> Thermal conductivity, Emissivity</t>
    </r>
    <phoneticPr fontId="2" type="noConversion"/>
  </si>
  <si>
    <t>4. TEMA</t>
    <phoneticPr fontId="2" type="noConversion"/>
  </si>
  <si>
    <r>
      <t>Matrial</t>
    </r>
    <r>
      <rPr>
        <sz val="18"/>
        <rFont val="돋움"/>
        <family val="3"/>
        <charset val="129"/>
      </rPr>
      <t>에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관한</t>
    </r>
    <r>
      <rPr>
        <sz val="18"/>
        <rFont val="Arial"/>
        <family val="2"/>
      </rPr>
      <t xml:space="preserve"> Thermal conductivity, Emissivity</t>
    </r>
    <phoneticPr fontId="2" type="noConversion"/>
  </si>
  <si>
    <t>설계 기준 및 공식(Equation)</t>
  </si>
  <si>
    <t>1. Dimensionless NO.</t>
    <phoneticPr fontId="2" type="noConversion"/>
  </si>
  <si>
    <t>Nu =</t>
    <phoneticPr fontId="2" type="noConversion"/>
  </si>
  <si>
    <t>hi x L</t>
    <phoneticPr fontId="2" type="noConversion"/>
  </si>
  <si>
    <t>Gr =</t>
    <phoneticPr fontId="2" type="noConversion"/>
  </si>
  <si>
    <r>
      <t>L</t>
    </r>
    <r>
      <rPr>
        <vertAlign val="superscript"/>
        <sz val="18"/>
        <rFont val="Arial"/>
        <family val="2"/>
      </rPr>
      <t>3</t>
    </r>
    <r>
      <rPr>
        <sz val="18"/>
        <rFont val="Arial"/>
        <family val="2"/>
      </rPr>
      <t>x</t>
    </r>
    <r>
      <rPr>
        <sz val="18"/>
        <rFont val="맑은 고딕"/>
        <family val="3"/>
        <charset val="129"/>
      </rPr>
      <t>ρ</t>
    </r>
    <r>
      <rPr>
        <vertAlign val="superscript"/>
        <sz val="18"/>
        <rFont val="Arial"/>
        <family val="2"/>
      </rPr>
      <t>2</t>
    </r>
    <r>
      <rPr>
        <sz val="18"/>
        <rFont val="Arial"/>
        <family val="2"/>
      </rPr>
      <t xml:space="preserve">x g x </t>
    </r>
    <r>
      <rPr>
        <sz val="18"/>
        <rFont val="맑은 고딕"/>
        <family val="3"/>
        <charset val="129"/>
      </rPr>
      <t>β</t>
    </r>
    <r>
      <rPr>
        <sz val="18"/>
        <rFont val="Arial"/>
        <family val="2"/>
      </rPr>
      <t xml:space="preserve"> x </t>
    </r>
    <r>
      <rPr>
        <sz val="18"/>
        <rFont val="맑은 고딕"/>
        <family val="3"/>
        <charset val="129"/>
      </rPr>
      <t>Δ</t>
    </r>
    <r>
      <rPr>
        <sz val="18"/>
        <rFont val="Arial"/>
        <family val="2"/>
      </rPr>
      <t>T</t>
    </r>
    <phoneticPr fontId="2" type="noConversion"/>
  </si>
  <si>
    <t>k</t>
    <phoneticPr fontId="2" type="noConversion"/>
  </si>
  <si>
    <r>
      <t>μ</t>
    </r>
    <r>
      <rPr>
        <vertAlign val="superscript"/>
        <sz val="18"/>
        <rFont val="맑은 고딕"/>
        <family val="3"/>
        <charset val="129"/>
      </rPr>
      <t>2</t>
    </r>
    <phoneticPr fontId="2" type="noConversion"/>
  </si>
  <si>
    <r>
      <t>2. 1</t>
    </r>
    <r>
      <rPr>
        <sz val="18"/>
        <rFont val="돋움"/>
        <family val="3"/>
        <charset val="129"/>
      </rPr>
      <t>차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계산</t>
    </r>
    <r>
      <rPr>
        <sz val="18"/>
        <rFont val="Arial"/>
        <family val="2"/>
      </rPr>
      <t xml:space="preserve"> </t>
    </r>
    <phoneticPr fontId="2" type="noConversion"/>
  </si>
  <si>
    <t>1) Assume Temperature</t>
    <phoneticPr fontId="2" type="noConversion"/>
  </si>
  <si>
    <t>For drywall</t>
    <phoneticPr fontId="2" type="noConversion"/>
  </si>
  <si>
    <r>
      <t>T</t>
    </r>
    <r>
      <rPr>
        <vertAlign val="subscript"/>
        <sz val="18"/>
        <rFont val="Arial"/>
        <family val="2"/>
      </rPr>
      <t>w</t>
    </r>
    <r>
      <rPr>
        <sz val="18"/>
        <rFont val="Arial"/>
        <family val="2"/>
      </rPr>
      <t xml:space="preserve"> =</t>
    </r>
    <phoneticPr fontId="2" type="noConversion"/>
  </si>
  <si>
    <t>Tv + Ta</t>
    <phoneticPr fontId="2" type="noConversion"/>
  </si>
  <si>
    <t>For outside air at roof</t>
    <phoneticPr fontId="2" type="noConversion"/>
  </si>
  <si>
    <t>(Tv + Ta)/2</t>
    <phoneticPr fontId="2" type="noConversion"/>
  </si>
  <si>
    <t>(No Insulation)</t>
    <phoneticPr fontId="2" type="noConversion"/>
  </si>
  <si>
    <t>Ta + 0.25(Tv-Ta)</t>
    <phoneticPr fontId="2" type="noConversion"/>
  </si>
  <si>
    <t>(Insulation)</t>
    <phoneticPr fontId="2" type="noConversion"/>
  </si>
  <si>
    <t>For wetwall</t>
    <phoneticPr fontId="2" type="noConversion"/>
  </si>
  <si>
    <r>
      <t>T</t>
    </r>
    <r>
      <rPr>
        <vertAlign val="subscript"/>
        <sz val="18"/>
        <rFont val="Arial"/>
        <family val="2"/>
      </rPr>
      <t>L</t>
    </r>
    <r>
      <rPr>
        <sz val="18"/>
        <rFont val="Arial"/>
        <family val="2"/>
      </rPr>
      <t xml:space="preserve"> + Ta</t>
    </r>
    <phoneticPr fontId="2" type="noConversion"/>
  </si>
  <si>
    <t>For outside air at wall</t>
    <phoneticPr fontId="2" type="noConversion"/>
  </si>
  <si>
    <t>(Tw + Ta)/2</t>
    <phoneticPr fontId="2" type="noConversion"/>
  </si>
  <si>
    <t>Ta + 0.25(Tw-Ta)</t>
    <phoneticPr fontId="2" type="noConversion"/>
  </si>
  <si>
    <t>For Roof</t>
    <phoneticPr fontId="2" type="noConversion"/>
  </si>
  <si>
    <t>For radiation</t>
    <phoneticPr fontId="2" type="noConversion"/>
  </si>
  <si>
    <r>
      <t>T</t>
    </r>
    <r>
      <rPr>
        <vertAlign val="subscript"/>
        <sz val="18"/>
        <rFont val="Arial"/>
        <family val="2"/>
      </rPr>
      <t>ws</t>
    </r>
    <r>
      <rPr>
        <sz val="18"/>
        <rFont val="Arial"/>
        <family val="2"/>
      </rPr>
      <t xml:space="preserve"> =</t>
    </r>
    <phoneticPr fontId="2" type="noConversion"/>
  </si>
  <si>
    <t>Ta + 0.5(Tw-Ta)</t>
    <phoneticPr fontId="2" type="noConversion"/>
  </si>
  <si>
    <t>For Bottom</t>
    <phoneticPr fontId="2" type="noConversion"/>
  </si>
  <si>
    <t>2) Calculate Coefficients</t>
    <phoneticPr fontId="2" type="noConversion"/>
  </si>
  <si>
    <t xml:space="preserve"> </t>
    <phoneticPr fontId="2" type="noConversion"/>
  </si>
  <si>
    <r>
      <t>Nu = 0.138 x Gr</t>
    </r>
    <r>
      <rPr>
        <vertAlign val="superscript"/>
        <sz val="18"/>
        <rFont val="Arial"/>
        <family val="2"/>
      </rPr>
      <t>0.36</t>
    </r>
    <r>
      <rPr>
        <sz val="18"/>
        <rFont val="Arial"/>
        <family val="2"/>
      </rPr>
      <t xml:space="preserve"> x (Pr</t>
    </r>
    <r>
      <rPr>
        <vertAlign val="superscript"/>
        <sz val="18"/>
        <rFont val="Arial"/>
        <family val="2"/>
      </rPr>
      <t>0.175</t>
    </r>
    <r>
      <rPr>
        <sz val="18"/>
        <rFont val="Arial"/>
        <family val="2"/>
      </rPr>
      <t xml:space="preserve"> - 0.55) </t>
    </r>
    <phoneticPr fontId="2" type="noConversion"/>
  </si>
  <si>
    <t>ΔT=Tv-Tw</t>
    <phoneticPr fontId="2" type="noConversion"/>
  </si>
  <si>
    <r>
      <t>Nu = 0.14 x (Gr x Pr)</t>
    </r>
    <r>
      <rPr>
        <vertAlign val="superscript"/>
        <sz val="18"/>
        <rFont val="Arial"/>
        <family val="2"/>
      </rPr>
      <t>0.33</t>
    </r>
    <phoneticPr fontId="2" type="noConversion"/>
  </si>
  <si>
    <r>
      <t>Nu = 0.0295 x Gr</t>
    </r>
    <r>
      <rPr>
        <vertAlign val="superscript"/>
        <sz val="18"/>
        <rFont val="Arial"/>
        <family val="2"/>
      </rPr>
      <t>0.4</t>
    </r>
    <r>
      <rPr>
        <sz val="18"/>
        <rFont val="Arial"/>
        <family val="2"/>
      </rPr>
      <t xml:space="preserve"> x Pr</t>
    </r>
    <r>
      <rPr>
        <vertAlign val="superscript"/>
        <sz val="18"/>
        <rFont val="Arial"/>
        <family val="2"/>
      </rPr>
      <t>0.47</t>
    </r>
    <r>
      <rPr>
        <sz val="18"/>
        <rFont val="Arial"/>
        <family val="2"/>
      </rPr>
      <t xml:space="preserve"> x (1+0.5 x Pr</t>
    </r>
    <r>
      <rPr>
        <vertAlign val="superscript"/>
        <sz val="18"/>
        <rFont val="Arial"/>
        <family val="2"/>
      </rPr>
      <t>0.67</t>
    </r>
    <r>
      <rPr>
        <sz val="18"/>
        <rFont val="Arial"/>
        <family val="2"/>
      </rPr>
      <t xml:space="preserve">) </t>
    </r>
    <r>
      <rPr>
        <vertAlign val="superscript"/>
        <sz val="18"/>
        <rFont val="Arial"/>
        <family val="2"/>
      </rPr>
      <t>-0.4</t>
    </r>
    <phoneticPr fontId="2" type="noConversion"/>
  </si>
  <si>
    <r>
      <t>L=L</t>
    </r>
    <r>
      <rPr>
        <vertAlign val="subscript"/>
        <sz val="18"/>
        <rFont val="Arial"/>
        <family val="2"/>
      </rPr>
      <t xml:space="preserve">total </t>
    </r>
    <r>
      <rPr>
        <sz val="18"/>
        <rFont val="Arial"/>
        <family val="2"/>
      </rPr>
      <t>- Lw</t>
    </r>
    <phoneticPr fontId="2" type="noConversion"/>
  </si>
  <si>
    <r>
      <t>For drywall</t>
    </r>
    <r>
      <rPr>
        <sz val="18"/>
        <rFont val="돋움"/>
        <family val="3"/>
        <charset val="129"/>
      </rPr>
      <t>과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동일</t>
    </r>
    <phoneticPr fontId="2" type="noConversion"/>
  </si>
  <si>
    <r>
      <t>Nu = 0.495 x (Gr x Pr)</t>
    </r>
    <r>
      <rPr>
        <vertAlign val="superscript"/>
        <sz val="18"/>
        <rFont val="Arial"/>
        <family val="2"/>
      </rPr>
      <t>0.25</t>
    </r>
    <phoneticPr fontId="2" type="noConversion"/>
  </si>
  <si>
    <r>
      <t>ΔT=T</t>
    </r>
    <r>
      <rPr>
        <vertAlign val="subscript"/>
        <sz val="18"/>
        <rFont val="Arial"/>
        <family val="2"/>
      </rPr>
      <t>L</t>
    </r>
    <r>
      <rPr>
        <sz val="18"/>
        <rFont val="Arial"/>
        <family val="2"/>
      </rPr>
      <t>-Tw</t>
    </r>
    <phoneticPr fontId="2" type="noConversion"/>
  </si>
  <si>
    <t>For Ground</t>
    <phoneticPr fontId="2" type="noConversion"/>
  </si>
  <si>
    <r>
      <t>Nu = 0.45 x k x L</t>
    </r>
    <r>
      <rPr>
        <vertAlign val="superscript"/>
        <sz val="18"/>
        <rFont val="Arial"/>
        <family val="2"/>
      </rPr>
      <t>(-0.75)</t>
    </r>
    <r>
      <rPr>
        <sz val="18"/>
        <rFont val="Arial"/>
        <family val="2"/>
      </rPr>
      <t xml:space="preserve"> x (Gr x Pr)</t>
    </r>
    <r>
      <rPr>
        <vertAlign val="superscript"/>
        <sz val="18"/>
        <rFont val="Arial"/>
        <family val="2"/>
      </rPr>
      <t>0.25</t>
    </r>
    <phoneticPr fontId="2" type="noConversion"/>
  </si>
  <si>
    <t>L=Lw</t>
    <phoneticPr fontId="2" type="noConversion"/>
  </si>
  <si>
    <r>
      <t>h</t>
    </r>
    <r>
      <rPr>
        <vertAlign val="subscript"/>
        <sz val="18"/>
        <rFont val="Arial"/>
        <family val="2"/>
      </rPr>
      <t>G</t>
    </r>
    <r>
      <rPr>
        <sz val="18"/>
        <rFont val="Arial"/>
        <family val="2"/>
      </rPr>
      <t xml:space="preserve"> = 8 x kg / (</t>
    </r>
    <r>
      <rPr>
        <sz val="18"/>
        <rFont val="맑은 고딕"/>
        <family val="3"/>
        <charset val="129"/>
      </rPr>
      <t>π</t>
    </r>
    <r>
      <rPr>
        <sz val="18"/>
        <rFont val="Arial"/>
        <family val="2"/>
      </rPr>
      <t xml:space="preserve"> x D)</t>
    </r>
    <phoneticPr fontId="2" type="noConversion"/>
  </si>
  <si>
    <t>For Insulation, Metal</t>
    <phoneticPr fontId="2" type="noConversion"/>
  </si>
  <si>
    <r>
      <t>h</t>
    </r>
    <r>
      <rPr>
        <vertAlign val="subscript"/>
        <sz val="18"/>
        <rFont val="Arial"/>
        <family val="2"/>
      </rPr>
      <t>M</t>
    </r>
    <r>
      <rPr>
        <sz val="18"/>
        <rFont val="Arial"/>
        <family val="2"/>
      </rPr>
      <t xml:space="preserve"> = k</t>
    </r>
    <r>
      <rPr>
        <vertAlign val="subscript"/>
        <sz val="18"/>
        <rFont val="Arial"/>
        <family val="2"/>
      </rPr>
      <t xml:space="preserve">M </t>
    </r>
    <r>
      <rPr>
        <sz val="18"/>
        <rFont val="Arial"/>
        <family val="2"/>
      </rPr>
      <t>/ t</t>
    </r>
    <r>
      <rPr>
        <vertAlign val="subscript"/>
        <sz val="18"/>
        <rFont val="Arial"/>
        <family val="2"/>
      </rPr>
      <t>M</t>
    </r>
    <phoneticPr fontId="2" type="noConversion"/>
  </si>
  <si>
    <r>
      <t>, h</t>
    </r>
    <r>
      <rPr>
        <vertAlign val="subscript"/>
        <sz val="18"/>
        <rFont val="Arial"/>
        <family val="2"/>
      </rPr>
      <t>I</t>
    </r>
    <r>
      <rPr>
        <sz val="18"/>
        <rFont val="Arial"/>
        <family val="2"/>
      </rPr>
      <t xml:space="preserve"> = k</t>
    </r>
    <r>
      <rPr>
        <vertAlign val="subscript"/>
        <sz val="18"/>
        <rFont val="Arial"/>
        <family val="2"/>
      </rPr>
      <t xml:space="preserve">I </t>
    </r>
    <r>
      <rPr>
        <sz val="18"/>
        <rFont val="Arial"/>
        <family val="2"/>
      </rPr>
      <t>/ t</t>
    </r>
    <r>
      <rPr>
        <vertAlign val="subscript"/>
        <sz val="18"/>
        <rFont val="Arial"/>
        <family val="2"/>
      </rPr>
      <t>I</t>
    </r>
    <phoneticPr fontId="2" type="noConversion"/>
  </si>
  <si>
    <t>L=D</t>
    <phoneticPr fontId="2" type="noConversion"/>
  </si>
  <si>
    <t>For Radiation</t>
    <phoneticPr fontId="2" type="noConversion"/>
  </si>
  <si>
    <r>
      <t>Nu = 0.27 x (Gr x Pr)</t>
    </r>
    <r>
      <rPr>
        <vertAlign val="superscript"/>
        <sz val="18"/>
        <rFont val="Arial"/>
        <family val="2"/>
      </rPr>
      <t>0.25</t>
    </r>
    <phoneticPr fontId="2" type="noConversion"/>
  </si>
  <si>
    <t>ΔT</t>
    <phoneticPr fontId="2" type="noConversion"/>
  </si>
  <si>
    <t>3) Calculate Overall Coefficients</t>
    <phoneticPr fontId="2" type="noConversion"/>
  </si>
  <si>
    <r>
      <t>*Wf</t>
    </r>
    <r>
      <rPr>
        <sz val="18"/>
        <rFont val="돋움"/>
        <family val="3"/>
        <charset val="129"/>
      </rPr>
      <t>는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다음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그래프를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수치해석한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결과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값을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이용</t>
    </r>
    <r>
      <rPr>
        <sz val="18"/>
        <rFont val="Arial"/>
        <family val="2"/>
      </rPr>
      <t xml:space="preserve"> </t>
    </r>
    <phoneticPr fontId="2" type="noConversion"/>
  </si>
  <si>
    <t>Wf=(0.871850624*ΔT^-0.245984807)*Wv+1</t>
    <phoneticPr fontId="2" type="noConversion"/>
  </si>
  <si>
    <t>from Samsung Eng.</t>
    <phoneticPr fontId="2" type="noConversion"/>
  </si>
  <si>
    <t>Wf=(0.868*ΔT^-0.246)*Wv+1</t>
    <phoneticPr fontId="2" type="noConversion"/>
  </si>
  <si>
    <r>
      <t xml:space="preserve">Samsung Eng. </t>
    </r>
    <r>
      <rPr>
        <sz val="18"/>
        <rFont val="돋움"/>
        <family val="3"/>
        <charset val="129"/>
      </rPr>
      <t>것을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수정</t>
    </r>
    <r>
      <rPr>
        <sz val="18"/>
        <rFont val="Arial"/>
        <family val="2"/>
      </rPr>
      <t xml:space="preserve"> </t>
    </r>
    <phoneticPr fontId="2" type="noConversion"/>
  </si>
  <si>
    <t>4) Calculate Heat transfer</t>
    <phoneticPr fontId="2" type="noConversion"/>
  </si>
  <si>
    <t>d: roof incline is 3/4in per foot.</t>
    <phoneticPr fontId="2" type="noConversion"/>
  </si>
  <si>
    <t>d= 0.75/12 x D/2  (ft)</t>
    <phoneticPr fontId="2" type="noConversion"/>
  </si>
  <si>
    <r>
      <t>3. 2</t>
    </r>
    <r>
      <rPr>
        <sz val="18"/>
        <rFont val="돋움"/>
        <family val="3"/>
        <charset val="129"/>
      </rPr>
      <t>차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및</t>
    </r>
    <r>
      <rPr>
        <sz val="18"/>
        <rFont val="Arial"/>
        <family val="2"/>
      </rPr>
      <t xml:space="preserve"> 3</t>
    </r>
    <r>
      <rPr>
        <sz val="18"/>
        <rFont val="돋움"/>
        <family val="3"/>
        <charset val="129"/>
      </rPr>
      <t>차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계산</t>
    </r>
    <r>
      <rPr>
        <sz val="18"/>
        <rFont val="Arial"/>
        <family val="2"/>
      </rPr>
      <t xml:space="preserve"> </t>
    </r>
    <phoneticPr fontId="2" type="noConversion"/>
  </si>
  <si>
    <t>1) Calculate Temperature</t>
    <phoneticPr fontId="2" type="noConversion"/>
  </si>
  <si>
    <r>
      <t xml:space="preserve">2) </t>
    </r>
    <r>
      <rPr>
        <sz val="18"/>
        <rFont val="돋움"/>
        <family val="3"/>
        <charset val="129"/>
      </rPr>
      <t>그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다음은</t>
    </r>
    <r>
      <rPr>
        <sz val="18"/>
        <rFont val="Arial"/>
        <family val="2"/>
      </rPr>
      <t xml:space="preserve"> 1</t>
    </r>
    <r>
      <rPr>
        <sz val="18"/>
        <rFont val="돋움"/>
        <family val="3"/>
        <charset val="129"/>
      </rPr>
      <t>차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계산과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똑같다</t>
    </r>
    <r>
      <rPr>
        <sz val="18"/>
        <rFont val="Arial"/>
        <family val="2"/>
      </rPr>
      <t>. 3</t>
    </r>
    <r>
      <rPr>
        <sz val="18"/>
        <rFont val="돋움"/>
        <family val="3"/>
        <charset val="129"/>
      </rPr>
      <t>차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계산까지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한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후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결과값을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구하면</t>
    </r>
    <r>
      <rPr>
        <sz val="18"/>
        <rFont val="Arial"/>
        <family val="2"/>
      </rPr>
      <t xml:space="preserve"> </t>
    </r>
    <r>
      <rPr>
        <sz val="18"/>
        <rFont val="돋움"/>
        <family val="3"/>
        <charset val="129"/>
      </rPr>
      <t>된다</t>
    </r>
    <r>
      <rPr>
        <sz val="18"/>
        <rFont val="Arial"/>
        <family val="2"/>
      </rPr>
      <t xml:space="preserve">. </t>
    </r>
    <phoneticPr fontId="2" type="noConversion"/>
  </si>
  <si>
    <t>ft</t>
  </si>
  <si>
    <t>ft</t>
    <phoneticPr fontId="2" type="noConversion"/>
  </si>
  <si>
    <t>Material</t>
    <phoneticPr fontId="2" type="noConversion"/>
  </si>
  <si>
    <t>Body</t>
    <phoneticPr fontId="2" type="noConversion"/>
  </si>
  <si>
    <t>Type of Surface</t>
    <phoneticPr fontId="2" type="noConversion"/>
  </si>
  <si>
    <t>Emissivities Guide</t>
    <phoneticPr fontId="2" type="noConversion"/>
  </si>
  <si>
    <t xml:space="preserve">  - Temperature</t>
    <phoneticPr fontId="2" type="noConversion"/>
  </si>
  <si>
    <t xml:space="preserve">  - Conductivity</t>
    <phoneticPr fontId="2" type="noConversion"/>
  </si>
  <si>
    <t>Btu/ft.h.˚F</t>
    <phoneticPr fontId="2" type="noConversion"/>
  </si>
  <si>
    <t>mph</t>
    <phoneticPr fontId="2" type="noConversion"/>
  </si>
  <si>
    <t>Head</t>
    <phoneticPr fontId="2" type="noConversion"/>
  </si>
  <si>
    <t xml:space="preserve">Commonly used </t>
  </si>
  <si>
    <t xml:space="preserve">Commonly used </t>
    <phoneticPr fontId="2" type="noConversion"/>
  </si>
  <si>
    <t>Thermal conductivity</t>
    <phoneticPr fontId="2" type="noConversion"/>
  </si>
  <si>
    <t xml:space="preserve"> Side wall</t>
    <phoneticPr fontId="2" type="noConversion"/>
  </si>
  <si>
    <t>Perite</t>
    <phoneticPr fontId="2" type="noConversion"/>
  </si>
  <si>
    <t xml:space="preserve">  (1) Inlet Condition</t>
    <phoneticPr fontId="2" type="noConversion"/>
  </si>
  <si>
    <t xml:space="preserve"> 1.2 Eqiupment</t>
    <phoneticPr fontId="2" type="noConversion"/>
  </si>
  <si>
    <t xml:space="preserve"> 1.1 Process</t>
    <phoneticPr fontId="2" type="noConversion"/>
  </si>
  <si>
    <t>Temperature</t>
    <phoneticPr fontId="2" type="noConversion"/>
  </si>
  <si>
    <t xml:space="preserve">Specific Heat </t>
    <phoneticPr fontId="2" type="noConversion"/>
  </si>
  <si>
    <t>Viscosity</t>
    <phoneticPr fontId="2" type="noConversion"/>
  </si>
  <si>
    <t>Density</t>
    <phoneticPr fontId="2" type="noConversion"/>
  </si>
  <si>
    <t>Coefficient of Volumetric</t>
    <phoneticPr fontId="2" type="noConversion"/>
  </si>
  <si>
    <t>expansion (Assume)</t>
    <phoneticPr fontId="2" type="noConversion"/>
  </si>
  <si>
    <t>˚F</t>
    <phoneticPr fontId="2" type="noConversion"/>
  </si>
  <si>
    <t>Btu/lb.˚F</t>
    <phoneticPr fontId="2" type="noConversion"/>
  </si>
  <si>
    <t>cP</t>
    <phoneticPr fontId="2" type="noConversion"/>
  </si>
  <si>
    <t>lb/ft3</t>
    <phoneticPr fontId="2" type="noConversion"/>
  </si>
  <si>
    <t xml:space="preserve">  (2) Steam Condition</t>
    <phoneticPr fontId="2" type="noConversion"/>
  </si>
  <si>
    <t xml:space="preserve">      (3) Surroundings</t>
    <phoneticPr fontId="2" type="noConversion"/>
  </si>
  <si>
    <t>Pressure</t>
    <phoneticPr fontId="2" type="noConversion"/>
  </si>
  <si>
    <t>Btu/lb</t>
    <phoneticPr fontId="2" type="noConversion"/>
  </si>
  <si>
    <t xml:space="preserve">      (2) Assume fouling coefficients</t>
    <phoneticPr fontId="2" type="noConversion"/>
  </si>
  <si>
    <t>Dry Wall</t>
    <phoneticPr fontId="2" type="noConversion"/>
  </si>
  <si>
    <t>Wet Wall</t>
    <phoneticPr fontId="2" type="noConversion"/>
  </si>
  <si>
    <t>ft2.h.˚F/Btu</t>
  </si>
  <si>
    <t>ft2.h.˚F/Btu</t>
    <phoneticPr fontId="2" type="noConversion"/>
  </si>
  <si>
    <t>1/˚F</t>
    <phoneticPr fontId="2" type="noConversion"/>
  </si>
  <si>
    <t>CASE1</t>
    <phoneticPr fontId="2" type="noConversion"/>
  </si>
  <si>
    <t>CASE2</t>
    <phoneticPr fontId="2" type="noConversion"/>
  </si>
  <si>
    <t>CASE3</t>
    <phoneticPr fontId="2" type="noConversion"/>
  </si>
  <si>
    <t>CASE4</t>
    <phoneticPr fontId="2" type="noConversion"/>
  </si>
  <si>
    <t>Diameter</t>
    <phoneticPr fontId="2" type="noConversion"/>
  </si>
  <si>
    <t>Wall Temprerature</t>
    <phoneticPr fontId="2" type="noConversion"/>
  </si>
  <si>
    <t>Fouling</t>
    <phoneticPr fontId="2" type="noConversion"/>
  </si>
  <si>
    <t>Q (Heat Transfer)</t>
    <phoneticPr fontId="2" type="noConversion"/>
  </si>
  <si>
    <t>Coefficient</t>
    <phoneticPr fontId="2" type="noConversion"/>
  </si>
  <si>
    <t xml:space="preserve">  2.2 Coil Information</t>
    <phoneticPr fontId="2" type="noConversion"/>
  </si>
  <si>
    <t>Calculating</t>
    <phoneticPr fontId="2" type="noConversion"/>
  </si>
  <si>
    <t>1st</t>
    <phoneticPr fontId="2" type="noConversion"/>
  </si>
  <si>
    <t>1.Dimensionless NO.</t>
    <phoneticPr fontId="2" type="noConversion"/>
  </si>
  <si>
    <t>Vw (Vapor at wall)</t>
    <phoneticPr fontId="2" type="noConversion"/>
  </si>
  <si>
    <t>Lw (Liquid at wall)</t>
    <phoneticPr fontId="2" type="noConversion"/>
  </si>
  <si>
    <t>Aw (Air at wall)</t>
    <phoneticPr fontId="2" type="noConversion"/>
  </si>
  <si>
    <t>Rd (Radiation at dry)</t>
    <phoneticPr fontId="2" type="noConversion"/>
  </si>
  <si>
    <t xml:space="preserve">Rw (Radiation at wet) </t>
    <phoneticPr fontId="2" type="noConversion"/>
  </si>
  <si>
    <t>Gr</t>
    <phoneticPr fontId="2" type="noConversion"/>
  </si>
  <si>
    <t>Pr</t>
    <phoneticPr fontId="2" type="noConversion"/>
  </si>
  <si>
    <t>Vr (Vapor at roof)</t>
    <phoneticPr fontId="2" type="noConversion"/>
  </si>
  <si>
    <t>Lb (Liquid at bottom)</t>
    <phoneticPr fontId="2" type="noConversion"/>
  </si>
  <si>
    <t>Ar (Air at roof)</t>
    <phoneticPr fontId="2" type="noConversion"/>
  </si>
  <si>
    <t xml:space="preserve">Rr (Radiation at roof) </t>
    <phoneticPr fontId="2" type="noConversion"/>
  </si>
  <si>
    <t>Height (ft)</t>
    <phoneticPr fontId="2" type="noConversion"/>
  </si>
  <si>
    <r>
      <t>Tw(in) / Tws(out) (</t>
    </r>
    <r>
      <rPr>
        <sz val="10"/>
        <color theme="1"/>
        <rFont val="맑은 고딕"/>
        <family val="2"/>
        <charset val="129"/>
      </rPr>
      <t>˚</t>
    </r>
    <r>
      <rPr>
        <sz val="10"/>
        <color theme="1"/>
        <rFont val="Arial"/>
        <family val="2"/>
      </rPr>
      <t>F)</t>
    </r>
    <phoneticPr fontId="2" type="noConversion"/>
  </si>
  <si>
    <t>-</t>
  </si>
  <si>
    <t>-</t>
    <phoneticPr fontId="2" type="noConversion"/>
  </si>
  <si>
    <t>2.Heat transfer coefficient</t>
    <phoneticPr fontId="2" type="noConversion"/>
  </si>
  <si>
    <t>Drywall</t>
    <phoneticPr fontId="2" type="noConversion"/>
  </si>
  <si>
    <t>Wetwall</t>
    <phoneticPr fontId="2" type="noConversion"/>
  </si>
  <si>
    <t>Roof</t>
    <phoneticPr fontId="2" type="noConversion"/>
  </si>
  <si>
    <t>Bottom</t>
    <phoneticPr fontId="2" type="noConversion"/>
  </si>
  <si>
    <t>3rd</t>
    <phoneticPr fontId="2" type="noConversion"/>
  </si>
  <si>
    <t>2nd</t>
    <phoneticPr fontId="2" type="noConversion"/>
  </si>
  <si>
    <t>A (Area)</t>
    <phoneticPr fontId="2" type="noConversion"/>
  </si>
  <si>
    <t>ft2</t>
    <phoneticPr fontId="2" type="noConversion"/>
  </si>
  <si>
    <t>h(Vw)</t>
    <phoneticPr fontId="2" type="noConversion"/>
  </si>
  <si>
    <t>h(Lw)</t>
    <phoneticPr fontId="2" type="noConversion"/>
  </si>
  <si>
    <t>h(Vr)</t>
    <phoneticPr fontId="2" type="noConversion"/>
  </si>
  <si>
    <t>h(Lb)</t>
    <phoneticPr fontId="2" type="noConversion"/>
  </si>
  <si>
    <t>h(Ground)</t>
    <phoneticPr fontId="2" type="noConversion"/>
  </si>
  <si>
    <t>Wf (effect of wind)</t>
    <phoneticPr fontId="2" type="noConversion"/>
  </si>
  <si>
    <t>h(Ar)</t>
    <phoneticPr fontId="2" type="noConversion"/>
  </si>
  <si>
    <t>h(Aw)</t>
    <phoneticPr fontId="2" type="noConversion"/>
  </si>
  <si>
    <t>h(Radiation)</t>
    <phoneticPr fontId="2" type="noConversion"/>
  </si>
  <si>
    <t>h(M)</t>
    <phoneticPr fontId="2" type="noConversion"/>
  </si>
  <si>
    <t>h(I)</t>
    <phoneticPr fontId="2" type="noConversion"/>
  </si>
  <si>
    <t>h(F)</t>
    <phoneticPr fontId="2" type="noConversion"/>
  </si>
  <si>
    <t>U</t>
    <phoneticPr fontId="2" type="noConversion"/>
  </si>
  <si>
    <t xml:space="preserve"> Q (Heat Transfer)</t>
    <phoneticPr fontId="2" type="noConversion"/>
  </si>
  <si>
    <t>Temp</t>
    <phoneticPr fontId="2" type="noConversion"/>
  </si>
  <si>
    <t xml:space="preserve">Latent Heat </t>
    <phoneticPr fontId="2" type="noConversion"/>
  </si>
  <si>
    <t xml:space="preserve">Coeffient </t>
    <phoneticPr fontId="2" type="noConversion"/>
  </si>
  <si>
    <t>Steam consume</t>
    <phoneticPr fontId="2" type="noConversion"/>
  </si>
  <si>
    <t>Coil wall Temp.</t>
    <phoneticPr fontId="2" type="noConversion"/>
  </si>
  <si>
    <t>Bulk fluid Temp.</t>
    <phoneticPr fontId="2" type="noConversion"/>
  </si>
  <si>
    <t>ho</t>
    <phoneticPr fontId="2" type="noConversion"/>
  </si>
  <si>
    <t>Overall Coefficient</t>
    <phoneticPr fontId="2" type="noConversion"/>
  </si>
  <si>
    <t>Heating Area</t>
    <phoneticPr fontId="2" type="noConversion"/>
  </si>
  <si>
    <t>Coil Length</t>
    <phoneticPr fontId="2" type="noConversion"/>
  </si>
  <si>
    <t>Drywall</t>
    <phoneticPr fontId="2" type="noConversion"/>
  </si>
  <si>
    <t>Wetwall</t>
    <phoneticPr fontId="2" type="noConversion"/>
  </si>
  <si>
    <t>Roof</t>
    <phoneticPr fontId="2" type="noConversion"/>
  </si>
  <si>
    <t>Bottom</t>
    <phoneticPr fontId="2" type="noConversion"/>
  </si>
  <si>
    <t>PLATE</t>
    <phoneticPr fontId="2" type="noConversion"/>
  </si>
  <si>
    <t>D</t>
    <phoneticPr fontId="2" type="noConversion"/>
  </si>
  <si>
    <t>Dw</t>
    <phoneticPr fontId="2" type="noConversion"/>
  </si>
  <si>
    <t>St</t>
    <phoneticPr fontId="2" type="noConversion"/>
  </si>
  <si>
    <t>AREA</t>
    <phoneticPr fontId="2" type="noConversion"/>
  </si>
  <si>
    <t>-</t>
    <phoneticPr fontId="2" type="noConversion"/>
  </si>
  <si>
    <t>inch</t>
    <phoneticPr fontId="2" type="noConversion"/>
  </si>
  <si>
    <t>lb/hr</t>
    <phoneticPr fontId="2" type="noConversion"/>
  </si>
  <si>
    <t>304SS</t>
    <phoneticPr fontId="2" type="noConversion"/>
  </si>
  <si>
    <t xml:space="preserve">  2.2 Coil Information</t>
  </si>
  <si>
    <t>British</t>
  </si>
  <si>
    <t>psi</t>
    <phoneticPr fontId="2" type="noConversion"/>
  </si>
  <si>
    <t>Tank</t>
  </si>
  <si>
    <t>Roof</t>
  </si>
  <si>
    <t>No</t>
  </si>
  <si>
    <t>1. Tank Heat Transfer</t>
    <phoneticPr fontId="2" type="noConversion"/>
  </si>
  <si>
    <t xml:space="preserve">2. Calculate Coil Specification </t>
    <phoneticPr fontId="2" type="noConversion"/>
  </si>
  <si>
    <t xml:space="preserve">  2.1 Coil Assume</t>
    <phoneticPr fontId="2" type="noConversion"/>
  </si>
  <si>
    <t xml:space="preserve"> (2) Inner</t>
    <phoneticPr fontId="2" type="noConversion"/>
  </si>
  <si>
    <t xml:space="preserve">  (2) Surroundings</t>
    <phoneticPr fontId="2" type="noConversion"/>
  </si>
  <si>
    <t xml:space="preserve">       (3) Assume fouling coefficients</t>
    <phoneticPr fontId="2" type="noConversion"/>
  </si>
  <si>
    <t>(1) UTILITY</t>
    <phoneticPr fontId="2" type="noConversion"/>
  </si>
  <si>
    <t>UTILITY</t>
    <phoneticPr fontId="2" type="noConversion"/>
  </si>
  <si>
    <t>STEAM</t>
  </si>
  <si>
    <t xml:space="preserve">       (2) Utility Condition</t>
    <phoneticPr fontId="2" type="noConversion"/>
  </si>
  <si>
    <t>STEAM</t>
    <phoneticPr fontId="2" type="noConversion"/>
  </si>
  <si>
    <t>HOT WATER</t>
  </si>
  <si>
    <t>HOT WATER</t>
    <phoneticPr fontId="2" type="noConversion"/>
  </si>
  <si>
    <t>COLD WATER</t>
  </si>
  <si>
    <t>COLD WATER</t>
    <phoneticPr fontId="2" type="noConversion"/>
  </si>
  <si>
    <t>ft</t>
    <phoneticPr fontId="2" type="noConversion"/>
  </si>
  <si>
    <t>=temp(H52,AG15,AL15,AP15,AG19,AL19,AP19,AG16,AL16,AP16,AG17,AL17,AP17,AG18,AL18,AP18,AG20,AL20,AP20,AG25,</t>
    <phoneticPr fontId="2" type="noConversion"/>
  </si>
  <si>
    <t xml:space="preserve">         AG28,AG30,AG31,AR25,AR26,AR27,AR28,AK117,AK118,AK119,AK120,AK121,AK123,AG46,AG47,AK46,AO46,AR46,AK47,AO47,AR47)</t>
    <phoneticPr fontId="2" type="noConversion"/>
  </si>
  <si>
    <t xml:space="preserve">              E,    TG,    kG,   FD,    FW,   FR,     FB,     L1,      L2,     L3,      L4,     L5,      L6,   thB,     kB,   Int1,  Int2,  Int3,  Ink1,  Ink2, Ink3)</t>
    <phoneticPr fontId="2" type="noConversion"/>
  </si>
  <si>
    <t xml:space="preserve">=TEMP(Po ,    TL,    Tv,     Ta,DenL,DenV,DenA,    kL,    kV,    kA,  CpL, CpV, CpA,  VisL, VisV, VisA,    BL,   BV,    BA,   Wv,   </t>
    <phoneticPr fontId="2" type="noConversion"/>
  </si>
  <si>
    <t>No</t>
    <phoneticPr fontId="2" type="noConversion"/>
  </si>
  <si>
    <t>4th</t>
    <phoneticPr fontId="2" type="noConversion"/>
  </si>
  <si>
    <t>5th</t>
    <phoneticPr fontId="2" type="noConversion"/>
  </si>
  <si>
    <t>check</t>
    <phoneticPr fontId="2" type="noConversion"/>
  </si>
  <si>
    <t>fuction test</t>
    <phoneticPr fontId="2" type="noConversion"/>
  </si>
  <si>
    <t>6th</t>
    <phoneticPr fontId="2" type="noConversion"/>
  </si>
  <si>
    <t>7th</t>
    <phoneticPr fontId="2" type="noConversion"/>
  </si>
  <si>
    <t>8th</t>
    <phoneticPr fontId="2" type="noConversion"/>
  </si>
  <si>
    <t>9th</t>
    <phoneticPr fontId="2" type="noConversion"/>
  </si>
  <si>
    <t>10th</t>
    <phoneticPr fontId="2" type="noConversion"/>
  </si>
  <si>
    <t xml:space="preserve">Vertical Cyclinder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</si>
</sst>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2">
    <numFmt numFmtId="176" formatCode="0.0_ &quot;˚F&quot;"/>
    <numFmt numFmtId="177" formatCode="0_ &quot;Btu/h&quot;"/>
    <numFmt numFmtId="178" formatCode="0.0_ &quot;Btu/ft2.h.˚F&quot;"/>
    <numFmt numFmtId="179" formatCode="0.0000_ &quot;Btu/ft2.h.˚F&quot;"/>
    <numFmt numFmtId="180" formatCode="0.0_ &quot;lb/h&quot;"/>
    <numFmt numFmtId="181" formatCode="0.0_ &quot;ft2&quot;"/>
    <numFmt numFmtId="182" formatCode="0.00_ "/>
    <numFmt numFmtId="183" formatCode="0.000"/>
    <numFmt numFmtId="184" formatCode="0.00000.E+00"/>
    <numFmt numFmtId="185" formatCode="0.0000000000"/>
    <numFmt numFmtId="186" formatCode="0.000000000"/>
    <numFmt numFmtId="187" formatCode="0.0000"/>
    <numFmt numFmtId="188" formatCode="0.0"/>
    <numFmt numFmtId="189" formatCode="0.00000E+00"/>
    <numFmt numFmtId="190" formatCode="0_);[Red]\(0\)"/>
    <numFmt numFmtId="191" formatCode="0.00000"/>
    <numFmt numFmtId="192" formatCode="0.00000000"/>
    <numFmt numFmtId="193" formatCode="0.000000"/>
    <numFmt numFmtId="194" formatCode="0.000000_);[Red]\(0.000000\)"/>
    <numFmt numFmtId="195" formatCode="0.00000000_);[Red]\(0.00000000\)"/>
    <numFmt numFmtId="196" formatCode="0.0000000"/>
    <numFmt numFmtId="197" formatCode="0.00.E+00"/>
  </numFmts>
  <fonts count="3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Arial"/>
      <family val="2"/>
    </font>
    <font>
      <b/>
      <sz val="15"/>
      <color theme="1"/>
      <name val="Arial"/>
      <family val="2"/>
    </font>
    <font>
      <sz val="15"/>
      <color theme="1"/>
      <name val="맑은 고딕"/>
      <family val="3"/>
      <charset val="129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name val="Courier New"/>
      <family val="3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8"/>
      <name val="돋움"/>
      <family val="3"/>
      <charset val="129"/>
    </font>
    <font>
      <sz val="10"/>
      <name val="돋움"/>
      <family val="3"/>
      <charset val="129"/>
    </font>
    <font>
      <sz val="10"/>
      <name val="Arial"/>
      <family val="2"/>
    </font>
    <font>
      <sz val="25"/>
      <name val="돋움"/>
      <family val="3"/>
      <charset val="129"/>
    </font>
    <font>
      <sz val="30"/>
      <name val="Arial"/>
      <family val="2"/>
    </font>
    <font>
      <sz val="20"/>
      <name val="Arial"/>
      <family val="2"/>
    </font>
    <font>
      <sz val="18"/>
      <name val="Arial"/>
      <family val="2"/>
    </font>
    <font>
      <sz val="18"/>
      <name val="돋움"/>
      <family val="3"/>
      <charset val="129"/>
    </font>
    <font>
      <vertAlign val="superscript"/>
      <sz val="18"/>
      <name val="Arial"/>
      <family val="2"/>
    </font>
    <font>
      <sz val="18"/>
      <name val="맑은 고딕"/>
      <family val="3"/>
      <charset val="129"/>
    </font>
    <font>
      <vertAlign val="superscript"/>
      <sz val="18"/>
      <name val="맑은 고딕"/>
      <family val="3"/>
      <charset val="129"/>
    </font>
    <font>
      <vertAlign val="subscript"/>
      <sz val="18"/>
      <name val="Arial"/>
      <family val="2"/>
    </font>
    <font>
      <sz val="14"/>
      <name val="Arial"/>
      <family val="2"/>
    </font>
    <font>
      <sz val="15"/>
      <name val="Arial"/>
      <family val="2"/>
    </font>
    <font>
      <u/>
      <sz val="18"/>
      <name val="Arial"/>
      <family val="2"/>
    </font>
    <font>
      <sz val="10"/>
      <color theme="1"/>
      <name val="Arial"/>
      <family val="2"/>
      <charset val="129"/>
    </font>
    <font>
      <sz val="10"/>
      <color theme="1"/>
      <name val="맑은 고딕"/>
      <family val="2"/>
      <charset val="129"/>
    </font>
    <font>
      <b/>
      <sz val="10"/>
      <name val="Arial"/>
      <family val="2"/>
    </font>
    <font>
      <b/>
      <sz val="10"/>
      <color theme="1"/>
      <name val="Arial"/>
      <family val="2"/>
    </font>
    <font>
      <sz val="11"/>
      <color theme="1"/>
      <name val="맑은 고딕"/>
      <family val="3"/>
      <charset val="129"/>
      <scheme val="major"/>
    </font>
  </fonts>
  <fills count="4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FFFF00"/>
        <bgColor indexed="64"/>
      </patternFill>
    </fill>
  </fills>
  <borders count="7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indexed="64"/>
      </left>
      <right/>
      <top style="double">
        <color indexed="64"/>
      </top>
      <bottom style="thin">
        <color auto="1"/>
      </bottom>
      <diagonal/>
    </border>
    <border>
      <left/>
      <right/>
      <top style="double">
        <color indexed="64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 style="thin">
        <color indexed="64"/>
      </left>
      <right/>
      <top style="medium">
        <color auto="1"/>
      </top>
      <bottom style="double">
        <color auto="1"/>
      </bottom>
      <diagonal/>
    </border>
    <border>
      <left/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medium">
        <color auto="1"/>
      </right>
      <top style="double">
        <color auto="1"/>
      </top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0" fontId="8" fillId="0" borderId="0">
      <alignment vertical="center"/>
    </xf>
    <xf numFmtId="0" fontId="14" fillId="0" borderId="0" applyProtection="0"/>
    <xf numFmtId="0" fontId="14" fillId="0" borderId="0" applyProtection="0"/>
    <xf numFmtId="0" fontId="14" fillId="0" borderId="0" applyProtection="0"/>
  </cellStyleXfs>
  <cellXfs count="404">
    <xf numFmtId="0" fontId="0" fillId="0" borderId="0" xfId="0">
      <alignment vertical="center"/>
    </xf>
    <xf numFmtId="0" fontId="0" fillId="0" borderId="3" xfId="0" applyBorder="1">
      <alignment vertical="center"/>
    </xf>
    <xf numFmtId="0" fontId="1" fillId="0" borderId="4" xfId="1" applyBorder="1">
      <alignment vertical="center"/>
    </xf>
    <xf numFmtId="0" fontId="1" fillId="0" borderId="3" xfId="1" applyBorder="1">
      <alignment vertical="center"/>
    </xf>
    <xf numFmtId="0" fontId="0" fillId="0" borderId="3" xfId="1" applyFont="1" applyBorder="1">
      <alignment vertical="center"/>
    </xf>
    <xf numFmtId="0" fontId="1" fillId="2" borderId="3" xfId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5" xfId="0" applyBorder="1">
      <alignment vertical="center"/>
    </xf>
    <xf numFmtId="0" fontId="3" fillId="0" borderId="8" xfId="1" applyFont="1" applyBorder="1">
      <alignment vertical="center"/>
    </xf>
    <xf numFmtId="0" fontId="3" fillId="0" borderId="0" xfId="1" applyFont="1">
      <alignment vertical="center"/>
    </xf>
    <xf numFmtId="0" fontId="1" fillId="0" borderId="0" xfId="1">
      <alignment vertical="center"/>
    </xf>
    <xf numFmtId="0" fontId="0" fillId="0" borderId="9" xfId="0" applyBorder="1">
      <alignment vertical="center"/>
    </xf>
    <xf numFmtId="0" fontId="4" fillId="0" borderId="0" xfId="1" applyFont="1" applyAlignment="1">
      <alignment horizontal="center" vertical="center"/>
    </xf>
    <xf numFmtId="0" fontId="3" fillId="0" borderId="13" xfId="1" applyFont="1" applyBorder="1">
      <alignment vertical="center"/>
    </xf>
    <xf numFmtId="0" fontId="3" fillId="0" borderId="17" xfId="1" applyFont="1" applyBorder="1">
      <alignment vertical="center"/>
    </xf>
    <xf numFmtId="0" fontId="0" fillId="0" borderId="18" xfId="0" applyBorder="1">
      <alignment vertical="center"/>
    </xf>
    <xf numFmtId="0" fontId="4" fillId="0" borderId="6" xfId="1" applyFont="1" applyBorder="1" applyAlignment="1">
      <alignment horizontal="center" vertical="center"/>
    </xf>
    <xf numFmtId="0" fontId="4" fillId="0" borderId="7" xfId="1" applyFont="1" applyBorder="1" applyAlignment="1">
      <alignment horizontal="center" vertical="center"/>
    </xf>
    <xf numFmtId="0" fontId="1" fillId="0" borderId="7" xfId="1" applyBorder="1">
      <alignment vertical="center"/>
    </xf>
    <xf numFmtId="0" fontId="1" fillId="0" borderId="7" xfId="1" applyBorder="1" applyAlignment="1">
      <alignment horizontal="center" vertical="center"/>
    </xf>
    <xf numFmtId="0" fontId="0" fillId="0" borderId="19" xfId="0" applyBorder="1">
      <alignment vertical="center"/>
    </xf>
    <xf numFmtId="0" fontId="3" fillId="0" borderId="0" xfId="0" applyFont="1">
      <alignment vertical="center"/>
    </xf>
    <xf numFmtId="0" fontId="0" fillId="0" borderId="20" xfId="0" applyBorder="1">
      <alignment vertical="center"/>
    </xf>
    <xf numFmtId="0" fontId="5" fillId="0" borderId="13" xfId="1" applyFont="1" applyBorder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1" fillId="0" borderId="0" xfId="1" applyAlignment="1">
      <alignment horizontal="center" vertical="center"/>
    </xf>
    <xf numFmtId="0" fontId="1" fillId="0" borderId="13" xfId="1" applyBorder="1">
      <alignment vertical="center"/>
    </xf>
    <xf numFmtId="0" fontId="6" fillId="0" borderId="0" xfId="1" applyFont="1">
      <alignment vertical="center"/>
    </xf>
    <xf numFmtId="0" fontId="7" fillId="0" borderId="0" xfId="1" applyFont="1">
      <alignment vertical="center"/>
    </xf>
    <xf numFmtId="0" fontId="0" fillId="0" borderId="0" xfId="1" applyFont="1" applyAlignment="1">
      <alignment horizontal="center" vertical="center"/>
    </xf>
    <xf numFmtId="0" fontId="0" fillId="0" borderId="13" xfId="0" applyBorder="1">
      <alignment vertical="center"/>
    </xf>
    <xf numFmtId="0" fontId="7" fillId="0" borderId="0" xfId="0" applyFont="1">
      <alignment vertical="center"/>
    </xf>
    <xf numFmtId="0" fontId="0" fillId="0" borderId="8" xfId="0" applyBorder="1">
      <alignment vertical="center"/>
    </xf>
    <xf numFmtId="0" fontId="3" fillId="0" borderId="0" xfId="0" quotePrefix="1" applyFont="1">
      <alignment vertical="center"/>
    </xf>
    <xf numFmtId="11" fontId="0" fillId="0" borderId="20" xfId="0" applyNumberFormat="1" applyBorder="1">
      <alignment vertical="center"/>
    </xf>
    <xf numFmtId="0" fontId="0" fillId="0" borderId="21" xfId="0" applyBorder="1">
      <alignment vertical="center"/>
    </xf>
    <xf numFmtId="0" fontId="0" fillId="0" borderId="23" xfId="0" applyBorder="1">
      <alignment vertical="center"/>
    </xf>
    <xf numFmtId="0" fontId="0" fillId="0" borderId="11" xfId="0" applyBorder="1">
      <alignment vertical="center"/>
    </xf>
    <xf numFmtId="0" fontId="0" fillId="0" borderId="29" xfId="0" applyBorder="1">
      <alignment vertical="center"/>
    </xf>
    <xf numFmtId="0" fontId="0" fillId="3" borderId="0" xfId="0" applyFill="1">
      <alignment vertical="center"/>
    </xf>
    <xf numFmtId="0" fontId="0" fillId="0" borderId="0" xfId="0" applyAlignment="1">
      <alignment horizontal="right" vertical="center"/>
    </xf>
    <xf numFmtId="182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0" xfId="0" applyBorder="1" applyAlignment="1"/>
    <xf numFmtId="0" fontId="0" fillId="0" borderId="7" xfId="0" applyBorder="1" applyAlignment="1"/>
    <xf numFmtId="0" fontId="0" fillId="0" borderId="27" xfId="0" applyBorder="1" applyAlignment="1"/>
    <xf numFmtId="0" fontId="0" fillId="0" borderId="0" xfId="0" applyAlignment="1"/>
    <xf numFmtId="0" fontId="0" fillId="0" borderId="13" xfId="0" applyBorder="1" applyAlignment="1">
      <alignment horizontal="left"/>
    </xf>
    <xf numFmtId="0" fontId="0" fillId="0" borderId="15" xfId="0" applyBorder="1" applyAlignment="1"/>
    <xf numFmtId="0" fontId="0" fillId="0" borderId="3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8" xfId="0" applyBorder="1" applyAlignment="1"/>
    <xf numFmtId="0" fontId="0" fillId="0" borderId="11" xfId="0" applyBorder="1" applyAlignment="1"/>
    <xf numFmtId="0" fontId="0" fillId="0" borderId="8" xfId="0" applyBorder="1" applyAlignment="1"/>
    <xf numFmtId="0" fontId="0" fillId="0" borderId="32" xfId="0" applyBorder="1" applyAlignment="1"/>
    <xf numFmtId="0" fontId="0" fillId="0" borderId="13" xfId="0" applyBorder="1" applyAlignment="1"/>
    <xf numFmtId="0" fontId="0" fillId="0" borderId="33" xfId="0" applyBorder="1" applyAlignment="1"/>
    <xf numFmtId="0" fontId="0" fillId="0" borderId="17" xfId="0" applyBorder="1" applyAlignment="1"/>
    <xf numFmtId="0" fontId="0" fillId="0" borderId="34" xfId="0" applyBorder="1" applyAlignment="1"/>
    <xf numFmtId="0" fontId="0" fillId="0" borderId="30" xfId="0" applyBorder="1" applyAlignment="1">
      <alignment horizontal="left"/>
    </xf>
    <xf numFmtId="11" fontId="0" fillId="0" borderId="33" xfId="0" applyNumberFormat="1" applyBorder="1" applyAlignment="1"/>
    <xf numFmtId="0" fontId="15" fillId="0" borderId="0" xfId="3" applyFont="1"/>
    <xf numFmtId="0" fontId="16" fillId="0" borderId="0" xfId="3" applyFont="1"/>
    <xf numFmtId="0" fontId="17" fillId="0" borderId="0" xfId="3" applyFont="1"/>
    <xf numFmtId="0" fontId="14" fillId="0" borderId="0" xfId="3"/>
    <xf numFmtId="0" fontId="18" fillId="0" borderId="0" xfId="3" applyFont="1"/>
    <xf numFmtId="0" fontId="18" fillId="0" borderId="0" xfId="3" applyFont="1" applyAlignment="1">
      <alignment horizontal="center" vertical="center"/>
    </xf>
    <xf numFmtId="0" fontId="18" fillId="0" borderId="0" xfId="3" applyFont="1" applyAlignment="1">
      <alignment horizontal="center"/>
    </xf>
    <xf numFmtId="0" fontId="18" fillId="0" borderId="11" xfId="3" applyFont="1" applyBorder="1" applyAlignment="1">
      <alignment horizontal="center"/>
    </xf>
    <xf numFmtId="0" fontId="21" fillId="0" borderId="0" xfId="3" applyFont="1" applyAlignment="1">
      <alignment horizontal="center"/>
    </xf>
    <xf numFmtId="0" fontId="18" fillId="0" borderId="0" xfId="3" applyFont="1" applyAlignment="1">
      <alignment vertical="center"/>
    </xf>
    <xf numFmtId="0" fontId="18" fillId="0" borderId="0" xfId="4" applyFont="1" applyAlignment="1">
      <alignment vertical="center"/>
    </xf>
    <xf numFmtId="0" fontId="18" fillId="0" borderId="0" xfId="5" applyFont="1" applyAlignment="1">
      <alignment vertical="center"/>
    </xf>
    <xf numFmtId="0" fontId="24" fillId="0" borderId="0" xfId="4" applyFont="1" applyAlignment="1">
      <alignment horizontal="center"/>
    </xf>
    <xf numFmtId="0" fontId="18" fillId="0" borderId="0" xfId="4" applyFont="1" applyAlignment="1">
      <alignment horizontal="center"/>
    </xf>
    <xf numFmtId="0" fontId="25" fillId="0" borderId="0" xfId="3" applyFont="1"/>
    <xf numFmtId="0" fontId="26" fillId="0" borderId="0" xfId="3" applyFont="1" applyAlignment="1">
      <alignment vertical="center"/>
    </xf>
    <xf numFmtId="0" fontId="3" fillId="0" borderId="1" xfId="0" applyFont="1" applyBorder="1">
      <alignment vertical="center"/>
    </xf>
    <xf numFmtId="0" fontId="3" fillId="0" borderId="6" xfId="0" applyFont="1" applyBorder="1">
      <alignment vertical="center"/>
    </xf>
    <xf numFmtId="0" fontId="3" fillId="0" borderId="19" xfId="0" applyFont="1" applyBorder="1">
      <alignment vertical="center"/>
    </xf>
    <xf numFmtId="0" fontId="3" fillId="0" borderId="36" xfId="0" applyFont="1" applyBorder="1">
      <alignment vertical="center"/>
    </xf>
    <xf numFmtId="0" fontId="3" fillId="0" borderId="37" xfId="0" applyFont="1" applyBorder="1">
      <alignment vertical="center"/>
    </xf>
    <xf numFmtId="0" fontId="3" fillId="0" borderId="2" xfId="0" applyFont="1" applyBorder="1">
      <alignment vertical="center"/>
    </xf>
    <xf numFmtId="0" fontId="3" fillId="0" borderId="7" xfId="0" applyFont="1" applyBorder="1">
      <alignment vertical="center"/>
    </xf>
    <xf numFmtId="0" fontId="0" fillId="0" borderId="7" xfId="0" applyBorder="1">
      <alignment vertical="center"/>
    </xf>
    <xf numFmtId="0" fontId="3" fillId="0" borderId="38" xfId="0" applyFont="1" applyBorder="1">
      <alignment vertical="center"/>
    </xf>
    <xf numFmtId="0" fontId="3" fillId="0" borderId="3" xfId="0" applyFont="1" applyBorder="1">
      <alignment vertical="center"/>
    </xf>
    <xf numFmtId="0" fontId="3" fillId="0" borderId="5" xfId="0" applyFont="1" applyBorder="1">
      <alignment vertical="center"/>
    </xf>
    <xf numFmtId="0" fontId="3" fillId="0" borderId="23" xfId="0" applyFont="1" applyBorder="1">
      <alignment vertical="center"/>
    </xf>
    <xf numFmtId="0" fontId="3" fillId="0" borderId="41" xfId="0" applyFont="1" applyBorder="1">
      <alignment vertical="center"/>
    </xf>
    <xf numFmtId="0" fontId="3" fillId="0" borderId="26" xfId="0" applyFont="1" applyBorder="1">
      <alignment vertical="center"/>
    </xf>
    <xf numFmtId="0" fontId="3" fillId="0" borderId="30" xfId="0" applyFont="1" applyBorder="1">
      <alignment vertical="center"/>
    </xf>
    <xf numFmtId="0" fontId="3" fillId="0" borderId="27" xfId="0" applyFont="1" applyBorder="1">
      <alignment vertical="center"/>
    </xf>
    <xf numFmtId="0" fontId="3" fillId="0" borderId="28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43" xfId="0" applyFont="1" applyBorder="1">
      <alignment vertical="center"/>
    </xf>
    <xf numFmtId="0" fontId="1" fillId="0" borderId="3" xfId="1" applyBorder="1" applyAlignment="1">
      <alignment horizontal="center" vertical="center"/>
    </xf>
    <xf numFmtId="0" fontId="3" fillId="0" borderId="40" xfId="0" applyFont="1" applyBorder="1">
      <alignment vertical="center"/>
    </xf>
    <xf numFmtId="0" fontId="3" fillId="0" borderId="25" xfId="0" applyFont="1" applyBorder="1" applyAlignment="1">
      <alignment horizontal="left" vertical="center"/>
    </xf>
    <xf numFmtId="0" fontId="3" fillId="0" borderId="27" xfId="0" applyFont="1" applyBorder="1" applyAlignment="1">
      <alignment horizontal="left" vertical="center"/>
    </xf>
    <xf numFmtId="0" fontId="3" fillId="0" borderId="42" xfId="0" applyFont="1" applyBorder="1" applyAlignment="1">
      <alignment horizontal="left" vertical="center"/>
    </xf>
    <xf numFmtId="0" fontId="3" fillId="0" borderId="10" xfId="0" applyFont="1" applyBorder="1">
      <alignment vertical="center"/>
    </xf>
    <xf numFmtId="0" fontId="0" fillId="0" borderId="38" xfId="0" applyBorder="1">
      <alignment vertical="center"/>
    </xf>
    <xf numFmtId="0" fontId="3" fillId="0" borderId="0" xfId="0" applyFont="1" applyAlignment="1">
      <alignment horizontal="left" vertical="center"/>
    </xf>
    <xf numFmtId="0" fontId="0" fillId="0" borderId="37" xfId="0" applyBorder="1">
      <alignment vertical="center"/>
    </xf>
    <xf numFmtId="0" fontId="0" fillId="0" borderId="35" xfId="0" applyBorder="1">
      <alignment vertical="center"/>
    </xf>
    <xf numFmtId="0" fontId="0" fillId="0" borderId="12" xfId="0" applyBorder="1">
      <alignment vertical="center"/>
    </xf>
    <xf numFmtId="0" fontId="3" fillId="0" borderId="44" xfId="0" applyFont="1" applyBorder="1">
      <alignment vertical="center"/>
    </xf>
    <xf numFmtId="0" fontId="3" fillId="0" borderId="52" xfId="0" applyFont="1" applyBorder="1">
      <alignment vertical="center"/>
    </xf>
    <xf numFmtId="0" fontId="3" fillId="0" borderId="12" xfId="0" applyFont="1" applyBorder="1">
      <alignment vertical="center"/>
    </xf>
    <xf numFmtId="0" fontId="3" fillId="0" borderId="45" xfId="0" applyFont="1" applyBorder="1">
      <alignment vertical="center"/>
    </xf>
    <xf numFmtId="0" fontId="1" fillId="0" borderId="15" xfId="1" applyBorder="1">
      <alignment vertical="center"/>
    </xf>
    <xf numFmtId="0" fontId="0" fillId="0" borderId="0" xfId="1" applyFont="1">
      <alignment vertical="center"/>
    </xf>
    <xf numFmtId="0" fontId="3" fillId="0" borderId="48" xfId="0" applyFont="1" applyBorder="1">
      <alignment vertical="center"/>
    </xf>
    <xf numFmtId="0" fontId="3" fillId="0" borderId="49" xfId="0" applyFont="1" applyBorder="1">
      <alignment vertical="center"/>
    </xf>
    <xf numFmtId="0" fontId="3" fillId="0" borderId="46" xfId="0" applyFont="1" applyBorder="1">
      <alignment vertical="center"/>
    </xf>
    <xf numFmtId="0" fontId="3" fillId="0" borderId="47" xfId="0" applyFont="1" applyBorder="1">
      <alignment vertical="center"/>
    </xf>
    <xf numFmtId="0" fontId="0" fillId="0" borderId="39" xfId="0" applyBorder="1">
      <alignment vertical="center"/>
    </xf>
    <xf numFmtId="0" fontId="9" fillId="0" borderId="0" xfId="1" applyFont="1">
      <alignment vertical="center"/>
    </xf>
    <xf numFmtId="177" fontId="0" fillId="0" borderId="0" xfId="0" applyNumberFormat="1">
      <alignment vertical="center"/>
    </xf>
    <xf numFmtId="0" fontId="0" fillId="0" borderId="52" xfId="0" applyBorder="1">
      <alignment vertical="center"/>
    </xf>
    <xf numFmtId="0" fontId="0" fillId="0" borderId="53" xfId="0" applyBorder="1">
      <alignment vertical="center"/>
    </xf>
    <xf numFmtId="0" fontId="0" fillId="0" borderId="49" xfId="0" applyBorder="1">
      <alignment vertical="center"/>
    </xf>
    <xf numFmtId="179" fontId="3" fillId="0" borderId="0" xfId="1" applyNumberFormat="1" applyFont="1">
      <alignment vertical="center"/>
    </xf>
    <xf numFmtId="180" fontId="1" fillId="0" borderId="0" xfId="1" applyNumberFormat="1">
      <alignment vertical="center"/>
    </xf>
    <xf numFmtId="181" fontId="0" fillId="0" borderId="0" xfId="0" applyNumberFormat="1">
      <alignment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11" fontId="0" fillId="0" borderId="0" xfId="0" applyNumberFormat="1">
      <alignment vertical="center"/>
    </xf>
    <xf numFmtId="0" fontId="7" fillId="0" borderId="23" xfId="0" applyFont="1" applyBorder="1">
      <alignment vertical="center"/>
    </xf>
    <xf numFmtId="0" fontId="9" fillId="0" borderId="0" xfId="0" applyFont="1">
      <alignment vertical="center"/>
    </xf>
    <xf numFmtId="0" fontId="6" fillId="0" borderId="0" xfId="0" applyFont="1">
      <alignment vertical="center"/>
    </xf>
    <xf numFmtId="0" fontId="0" fillId="0" borderId="30" xfId="0" applyBorder="1">
      <alignment vertical="center"/>
    </xf>
    <xf numFmtId="0" fontId="0" fillId="0" borderId="27" xfId="0" applyBorder="1">
      <alignment vertical="center"/>
    </xf>
    <xf numFmtId="0" fontId="0" fillId="0" borderId="0" xfId="0" applyBorder="1">
      <alignment vertical="center"/>
    </xf>
    <xf numFmtId="0" fontId="1" fillId="0" borderId="0" xfId="1" applyBorder="1" applyAlignment="1">
      <alignment horizontal="center" vertical="center"/>
    </xf>
    <xf numFmtId="0" fontId="8" fillId="0" borderId="0" xfId="2" applyBorder="1">
      <alignment vertical="center"/>
    </xf>
    <xf numFmtId="0" fontId="0" fillId="0" borderId="60" xfId="0" applyBorder="1">
      <alignment vertical="center"/>
    </xf>
    <xf numFmtId="0" fontId="0" fillId="0" borderId="61" xfId="0" applyBorder="1">
      <alignment vertical="center"/>
    </xf>
    <xf numFmtId="0" fontId="0" fillId="0" borderId="42" xfId="0" applyBorder="1">
      <alignment vertical="center"/>
    </xf>
    <xf numFmtId="0" fontId="0" fillId="0" borderId="62" xfId="0" applyBorder="1">
      <alignment vertical="center"/>
    </xf>
    <xf numFmtId="0" fontId="0" fillId="0" borderId="63" xfId="0" applyBorder="1" applyAlignment="1">
      <alignment horizontal="center" vertical="center"/>
    </xf>
    <xf numFmtId="0" fontId="0" fillId="0" borderId="64" xfId="0" applyBorder="1">
      <alignment vertical="center"/>
    </xf>
    <xf numFmtId="0" fontId="0" fillId="0" borderId="2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3" fillId="0" borderId="60" xfId="0" applyFont="1" applyBorder="1">
      <alignment vertical="center"/>
    </xf>
    <xf numFmtId="0" fontId="0" fillId="0" borderId="31" xfId="0" applyBorder="1">
      <alignment vertical="center"/>
    </xf>
    <xf numFmtId="0" fontId="0" fillId="0" borderId="21" xfId="0" applyBorder="1" applyAlignment="1">
      <alignment horizontal="center" vertical="center"/>
    </xf>
    <xf numFmtId="0" fontId="3" fillId="0" borderId="53" xfId="0" applyFont="1" applyBorder="1">
      <alignment vertical="center"/>
    </xf>
    <xf numFmtId="0" fontId="0" fillId="0" borderId="52" xfId="0" applyBorder="1" applyAlignment="1">
      <alignment horizontal="center" vertical="center"/>
    </xf>
    <xf numFmtId="0" fontId="0" fillId="0" borderId="22" xfId="0" applyBorder="1">
      <alignment vertical="center"/>
    </xf>
    <xf numFmtId="0" fontId="3" fillId="0" borderId="30" xfId="0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19" xfId="0" applyFont="1" applyBorder="1" applyAlignment="1">
      <alignment vertical="center"/>
    </xf>
    <xf numFmtId="0" fontId="3" fillId="0" borderId="0" xfId="0" applyFont="1" applyBorder="1">
      <alignment vertical="center"/>
    </xf>
    <xf numFmtId="2" fontId="30" fillId="0" borderId="0" xfId="0" applyNumberFormat="1" applyFont="1" applyBorder="1" applyAlignment="1">
      <alignment horizontal="center" vertical="center"/>
    </xf>
    <xf numFmtId="2" fontId="0" fillId="0" borderId="0" xfId="0" applyNumberFormat="1">
      <alignment vertical="center"/>
    </xf>
    <xf numFmtId="188" fontId="29" fillId="0" borderId="0" xfId="0" applyNumberFormat="1" applyFont="1" applyBorder="1" applyAlignment="1">
      <alignment horizontal="center" vertical="center"/>
    </xf>
    <xf numFmtId="2" fontId="29" fillId="0" borderId="0" xfId="0" applyNumberFormat="1" applyFont="1" applyBorder="1" applyAlignment="1">
      <alignment horizontal="center" vertical="center"/>
    </xf>
    <xf numFmtId="0" fontId="3" fillId="0" borderId="39" xfId="0" applyFont="1" applyBorder="1">
      <alignment vertical="center"/>
    </xf>
    <xf numFmtId="0" fontId="3" fillId="0" borderId="35" xfId="0" applyFont="1" applyBorder="1">
      <alignment vertical="center"/>
    </xf>
    <xf numFmtId="0" fontId="0" fillId="0" borderId="0" xfId="0" applyAlignment="1">
      <alignment horizontal="center" vertical="center"/>
    </xf>
    <xf numFmtId="0" fontId="28" fillId="0" borderId="23" xfId="0" applyFont="1" applyBorder="1">
      <alignment vertical="center"/>
    </xf>
    <xf numFmtId="0" fontId="3" fillId="0" borderId="24" xfId="0" applyFont="1" applyBorder="1">
      <alignment vertical="center"/>
    </xf>
    <xf numFmtId="0" fontId="31" fillId="0" borderId="0" xfId="0" applyFont="1">
      <alignment vertical="center"/>
    </xf>
    <xf numFmtId="0" fontId="0" fillId="0" borderId="0" xfId="0" quotePrefix="1">
      <alignment vertical="center"/>
    </xf>
    <xf numFmtId="195" fontId="0" fillId="0" borderId="7" xfId="0" applyNumberFormat="1" applyBorder="1">
      <alignment vertical="center"/>
    </xf>
    <xf numFmtId="195" fontId="0" fillId="0" borderId="0" xfId="0" applyNumberFormat="1">
      <alignment vertical="center"/>
    </xf>
    <xf numFmtId="0" fontId="31" fillId="0" borderId="0" xfId="0" applyFont="1" applyBorder="1">
      <alignment vertical="center"/>
    </xf>
    <xf numFmtId="194" fontId="0" fillId="0" borderId="0" xfId="0" applyNumberFormat="1">
      <alignment vertical="center"/>
    </xf>
    <xf numFmtId="182" fontId="0" fillId="0" borderId="0" xfId="0" applyNumberFormat="1" applyBorder="1">
      <alignment vertical="center"/>
    </xf>
    <xf numFmtId="0" fontId="3" fillId="0" borderId="0" xfId="0" applyFont="1" applyFill="1" applyBorder="1">
      <alignment vertical="center"/>
    </xf>
    <xf numFmtId="197" fontId="3" fillId="0" borderId="0" xfId="0" applyNumberFormat="1" applyFont="1" applyBorder="1">
      <alignment vertical="center"/>
    </xf>
    <xf numFmtId="193" fontId="0" fillId="0" borderId="65" xfId="0" applyNumberFormat="1" applyBorder="1" applyAlignment="1">
      <alignment horizontal="center" vertical="center"/>
    </xf>
    <xf numFmtId="193" fontId="0" fillId="0" borderId="66" xfId="0" applyNumberFormat="1" applyBorder="1" applyAlignment="1">
      <alignment horizontal="center" vertical="center"/>
    </xf>
    <xf numFmtId="193" fontId="0" fillId="0" borderId="67" xfId="0" applyNumberFormat="1" applyBorder="1" applyAlignment="1">
      <alignment horizontal="center" vertical="center"/>
    </xf>
    <xf numFmtId="193" fontId="0" fillId="0" borderId="68" xfId="0" applyNumberFormat="1" applyBorder="1" applyAlignment="1">
      <alignment horizontal="center" vertical="center"/>
    </xf>
    <xf numFmtId="0" fontId="7" fillId="0" borderId="68" xfId="0" applyFont="1" applyBorder="1" applyAlignment="1">
      <alignment horizontal="center" vertical="center"/>
    </xf>
    <xf numFmtId="0" fontId="7" fillId="0" borderId="66" xfId="0" applyFont="1" applyBorder="1" applyAlignment="1">
      <alignment horizontal="center" vertical="center"/>
    </xf>
    <xf numFmtId="0" fontId="7" fillId="0" borderId="67" xfId="0" applyFont="1" applyBorder="1" applyAlignment="1">
      <alignment horizontal="center" vertical="center"/>
    </xf>
    <xf numFmtId="0" fontId="7" fillId="0" borderId="69" xfId="0" applyFont="1" applyBorder="1" applyAlignment="1">
      <alignment horizontal="center" vertical="center"/>
    </xf>
    <xf numFmtId="0" fontId="27" fillId="0" borderId="7" xfId="0" applyFont="1" applyBorder="1" applyAlignment="1">
      <alignment horizontal="left" vertical="center"/>
    </xf>
    <xf numFmtId="0" fontId="27" fillId="0" borderId="27" xfId="0" applyFont="1" applyBorder="1" applyAlignment="1">
      <alignment horizontal="left" vertical="center"/>
    </xf>
    <xf numFmtId="183" fontId="3" fillId="0" borderId="30" xfId="0" applyNumberFormat="1" applyFont="1" applyBorder="1" applyAlignment="1">
      <alignment horizontal="center" vertical="center"/>
    </xf>
    <xf numFmtId="183" fontId="3" fillId="0" borderId="7" xfId="0" applyNumberFormat="1" applyFont="1" applyBorder="1" applyAlignment="1">
      <alignment horizontal="center" vertical="center"/>
    </xf>
    <xf numFmtId="183" fontId="3" fillId="0" borderId="27" xfId="0" applyNumberFormat="1" applyFont="1" applyBorder="1" applyAlignment="1">
      <alignment horizontal="center" vertical="center"/>
    </xf>
    <xf numFmtId="191" fontId="3" fillId="0" borderId="30" xfId="0" applyNumberFormat="1" applyFont="1" applyBorder="1" applyAlignment="1">
      <alignment horizontal="center" vertical="center"/>
    </xf>
    <xf numFmtId="191" fontId="3" fillId="0" borderId="7" xfId="0" applyNumberFormat="1" applyFont="1" applyBorder="1" applyAlignment="1">
      <alignment horizontal="center" vertical="center"/>
    </xf>
    <xf numFmtId="191" fontId="3" fillId="0" borderId="27" xfId="0" applyNumberFormat="1" applyFont="1" applyBorder="1" applyAlignment="1">
      <alignment horizontal="center" vertical="center"/>
    </xf>
    <xf numFmtId="0" fontId="27" fillId="0" borderId="30" xfId="0" applyFont="1" applyBorder="1" applyAlignment="1">
      <alignment horizontal="left" vertical="center"/>
    </xf>
    <xf numFmtId="0" fontId="3" fillId="0" borderId="30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92" fontId="3" fillId="0" borderId="30" xfId="0" applyNumberFormat="1" applyFont="1" applyBorder="1" applyAlignment="1">
      <alignment horizontal="center" vertical="center"/>
    </xf>
    <xf numFmtId="192" fontId="3" fillId="0" borderId="7" xfId="0" applyNumberFormat="1" applyFont="1" applyBorder="1" applyAlignment="1">
      <alignment horizontal="center" vertical="center"/>
    </xf>
    <xf numFmtId="192" fontId="3" fillId="0" borderId="27" xfId="0" applyNumberFormat="1" applyFont="1" applyBorder="1" applyAlignment="1">
      <alignment horizontal="center" vertical="center"/>
    </xf>
    <xf numFmtId="186" fontId="3" fillId="0" borderId="30" xfId="0" applyNumberFormat="1" applyFont="1" applyBorder="1" applyAlignment="1">
      <alignment horizontal="center" vertical="center"/>
    </xf>
    <xf numFmtId="186" fontId="3" fillId="0" borderId="7" xfId="0" applyNumberFormat="1" applyFont="1" applyBorder="1" applyAlignment="1">
      <alignment horizontal="center" vertical="center"/>
    </xf>
    <xf numFmtId="186" fontId="3" fillId="0" borderId="27" xfId="0" applyNumberFormat="1" applyFont="1" applyBorder="1" applyAlignment="1">
      <alignment horizontal="center" vertical="center"/>
    </xf>
    <xf numFmtId="2" fontId="0" fillId="0" borderId="30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27" xfId="0" applyNumberFormat="1" applyBorder="1" applyAlignment="1">
      <alignment horizontal="center" vertical="center"/>
    </xf>
    <xf numFmtId="11" fontId="3" fillId="0" borderId="30" xfId="0" applyNumberFormat="1" applyFont="1" applyBorder="1" applyAlignment="1">
      <alignment horizontal="center" vertical="center"/>
    </xf>
    <xf numFmtId="11" fontId="3" fillId="0" borderId="7" xfId="0" applyNumberFormat="1" applyFont="1" applyBorder="1" applyAlignment="1">
      <alignment horizontal="center" vertical="center"/>
    </xf>
    <xf numFmtId="11" fontId="3" fillId="0" borderId="27" xfId="0" applyNumberFormat="1" applyFont="1" applyBorder="1" applyAlignment="1">
      <alignment horizontal="center" vertical="center"/>
    </xf>
    <xf numFmtId="187" fontId="0" fillId="0" borderId="1" xfId="0" applyNumberFormat="1" applyBorder="1" applyAlignment="1">
      <alignment horizontal="center" vertical="center"/>
    </xf>
    <xf numFmtId="187" fontId="0" fillId="0" borderId="2" xfId="0" applyNumberFormat="1" applyBorder="1" applyAlignment="1">
      <alignment horizontal="center" vertical="center"/>
    </xf>
    <xf numFmtId="187" fontId="0" fillId="0" borderId="35" xfId="0" applyNumberFormat="1" applyBorder="1" applyAlignment="1">
      <alignment horizontal="center" vertical="center"/>
    </xf>
    <xf numFmtId="189" fontId="3" fillId="0" borderId="30" xfId="0" applyNumberFormat="1" applyFont="1" applyBorder="1" applyAlignment="1">
      <alignment horizontal="center" vertical="center"/>
    </xf>
    <xf numFmtId="189" fontId="3" fillId="0" borderId="7" xfId="0" applyNumberFormat="1" applyFont="1" applyBorder="1" applyAlignment="1">
      <alignment horizontal="center" vertical="center"/>
    </xf>
    <xf numFmtId="189" fontId="3" fillId="0" borderId="27" xfId="0" applyNumberFormat="1" applyFont="1" applyBorder="1" applyAlignment="1">
      <alignment horizontal="center" vertical="center"/>
    </xf>
    <xf numFmtId="187" fontId="0" fillId="0" borderId="6" xfId="0" applyNumberFormat="1" applyBorder="1" applyAlignment="1">
      <alignment horizontal="center" vertical="center"/>
    </xf>
    <xf numFmtId="187" fontId="0" fillId="0" borderId="7" xfId="0" applyNumberFormat="1" applyBorder="1" applyAlignment="1">
      <alignment horizontal="center" vertical="center"/>
    </xf>
    <xf numFmtId="187" fontId="0" fillId="0" borderId="19" xfId="0" applyNumberFormat="1" applyBorder="1" applyAlignment="1">
      <alignment horizontal="center" vertical="center"/>
    </xf>
    <xf numFmtId="187" fontId="0" fillId="0" borderId="36" xfId="0" applyNumberFormat="1" applyBorder="1" applyAlignment="1">
      <alignment horizontal="center" vertical="center"/>
    </xf>
    <xf numFmtId="187" fontId="0" fillId="0" borderId="38" xfId="0" applyNumberFormat="1" applyBorder="1" applyAlignment="1">
      <alignment horizontal="center" vertical="center"/>
    </xf>
    <xf numFmtId="187" fontId="0" fillId="0" borderId="37" xfId="0" applyNumberFormat="1" applyBorder="1" applyAlignment="1">
      <alignment horizontal="center" vertical="center"/>
    </xf>
    <xf numFmtId="0" fontId="3" fillId="0" borderId="30" xfId="0" applyNumberFormat="1" applyFont="1" applyBorder="1" applyAlignment="1">
      <alignment horizontal="center" vertical="center"/>
    </xf>
    <xf numFmtId="0" fontId="3" fillId="0" borderId="7" xfId="0" applyNumberFormat="1" applyFont="1" applyBorder="1" applyAlignment="1">
      <alignment horizontal="center" vertical="center"/>
    </xf>
    <xf numFmtId="0" fontId="3" fillId="0" borderId="27" xfId="0" applyNumberFormat="1" applyFont="1" applyBorder="1" applyAlignment="1">
      <alignment horizontal="center" vertical="center"/>
    </xf>
    <xf numFmtId="2" fontId="0" fillId="0" borderId="17" xfId="0" applyNumberFormat="1" applyBorder="1" applyAlignment="1">
      <alignment horizontal="center" vertical="center"/>
    </xf>
    <xf numFmtId="2" fontId="0" fillId="0" borderId="15" xfId="0" applyNumberFormat="1" applyBorder="1" applyAlignment="1">
      <alignment horizontal="center" vertical="center"/>
    </xf>
    <xf numFmtId="2" fontId="0" fillId="0" borderId="16" xfId="0" applyNumberFormat="1" applyBorder="1" applyAlignment="1">
      <alignment horizontal="center" vertical="center"/>
    </xf>
    <xf numFmtId="187" fontId="0" fillId="0" borderId="0" xfId="0" applyNumberFormat="1" applyBorder="1" applyAlignment="1">
      <alignment horizontal="center" vertical="center"/>
    </xf>
    <xf numFmtId="187" fontId="7" fillId="0" borderId="0" xfId="0" applyNumberFormat="1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196" fontId="3" fillId="0" borderId="26" xfId="0" applyNumberFormat="1" applyFont="1" applyBorder="1" applyAlignment="1">
      <alignment horizontal="center" vertical="center"/>
    </xf>
    <xf numFmtId="196" fontId="3" fillId="0" borderId="3" xfId="0" applyNumberFormat="1" applyFont="1" applyBorder="1" applyAlignment="1">
      <alignment horizontal="center" vertical="center"/>
    </xf>
    <xf numFmtId="196" fontId="3" fillId="0" borderId="4" xfId="0" applyNumberFormat="1" applyFont="1" applyBorder="1" applyAlignment="1">
      <alignment horizontal="center" vertical="center"/>
    </xf>
    <xf numFmtId="187" fontId="3" fillId="0" borderId="26" xfId="0" applyNumberFormat="1" applyFont="1" applyBorder="1" applyAlignment="1">
      <alignment horizontal="center" vertical="center"/>
    </xf>
    <xf numFmtId="187" fontId="3" fillId="0" borderId="3" xfId="0" applyNumberFormat="1" applyFont="1" applyBorder="1" applyAlignment="1">
      <alignment horizontal="center" vertical="center"/>
    </xf>
    <xf numFmtId="187" fontId="3" fillId="0" borderId="4" xfId="0" applyNumberFormat="1" applyFont="1" applyBorder="1" applyAlignment="1">
      <alignment horizontal="center" vertical="center"/>
    </xf>
    <xf numFmtId="193" fontId="29" fillId="0" borderId="30" xfId="0" applyNumberFormat="1" applyFont="1" applyBorder="1" applyAlignment="1">
      <alignment horizontal="center" vertical="center"/>
    </xf>
    <xf numFmtId="193" fontId="29" fillId="0" borderId="7" xfId="0" applyNumberFormat="1" applyFont="1" applyBorder="1" applyAlignment="1">
      <alignment horizontal="center" vertical="center"/>
    </xf>
    <xf numFmtId="193" fontId="29" fillId="0" borderId="27" xfId="0" applyNumberFormat="1" applyFont="1" applyBorder="1" applyAlignment="1">
      <alignment horizontal="center" vertical="center"/>
    </xf>
    <xf numFmtId="192" fontId="29" fillId="0" borderId="30" xfId="0" applyNumberFormat="1" applyFont="1" applyBorder="1" applyAlignment="1">
      <alignment horizontal="center" vertical="center"/>
    </xf>
    <xf numFmtId="192" fontId="29" fillId="0" borderId="7" xfId="0" applyNumberFormat="1" applyFont="1" applyBorder="1" applyAlignment="1">
      <alignment horizontal="center" vertical="center"/>
    </xf>
    <xf numFmtId="192" fontId="29" fillId="0" borderId="27" xfId="0" applyNumberFormat="1" applyFont="1" applyBorder="1" applyAlignment="1">
      <alignment horizontal="center" vertical="center"/>
    </xf>
    <xf numFmtId="186" fontId="29" fillId="0" borderId="30" xfId="0" applyNumberFormat="1" applyFont="1" applyBorder="1" applyAlignment="1">
      <alignment horizontal="center" vertical="center"/>
    </xf>
    <xf numFmtId="186" fontId="29" fillId="0" borderId="7" xfId="0" applyNumberFormat="1" applyFont="1" applyBorder="1" applyAlignment="1">
      <alignment horizontal="center" vertical="center"/>
    </xf>
    <xf numFmtId="186" fontId="29" fillId="0" borderId="27" xfId="0" applyNumberFormat="1" applyFont="1" applyBorder="1" applyAlignment="1">
      <alignment horizontal="center" vertical="center"/>
    </xf>
    <xf numFmtId="187" fontId="0" fillId="0" borderId="11" xfId="0" applyNumberFormat="1" applyBorder="1" applyAlignment="1">
      <alignment horizontal="center" vertical="center"/>
    </xf>
    <xf numFmtId="187" fontId="7" fillId="0" borderId="11" xfId="0" applyNumberFormat="1" applyFont="1" applyBorder="1" applyAlignment="1">
      <alignment horizontal="center" vertical="center"/>
    </xf>
    <xf numFmtId="0" fontId="3" fillId="2" borderId="30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27" xfId="0" applyFont="1" applyFill="1" applyBorder="1" applyAlignment="1">
      <alignment horizontal="center" vertical="center"/>
    </xf>
    <xf numFmtId="0" fontId="3" fillId="2" borderId="40" xfId="0" applyFont="1" applyFill="1" applyBorder="1" applyAlignment="1">
      <alignment horizontal="center" vertical="center"/>
    </xf>
    <xf numFmtId="0" fontId="3" fillId="2" borderId="38" xfId="0" applyFont="1" applyFill="1" applyBorder="1" applyAlignment="1">
      <alignment horizontal="center" vertical="center"/>
    </xf>
    <xf numFmtId="0" fontId="3" fillId="2" borderId="42" xfId="0" applyFont="1" applyFill="1" applyBorder="1" applyAlignment="1">
      <alignment horizontal="center" vertical="center"/>
    </xf>
    <xf numFmtId="2" fontId="3" fillId="2" borderId="30" xfId="0" applyNumberFormat="1" applyFont="1" applyFill="1" applyBorder="1" applyAlignment="1">
      <alignment horizontal="center" vertical="center"/>
    </xf>
    <xf numFmtId="2" fontId="3" fillId="2" borderId="7" xfId="0" applyNumberFormat="1" applyFont="1" applyFill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2" borderId="39" xfId="0" applyFont="1" applyFill="1" applyBorder="1" applyAlignment="1">
      <alignment horizontal="center" vertical="center"/>
    </xf>
    <xf numFmtId="0" fontId="3" fillId="2" borderId="25" xfId="0" applyFont="1" applyFill="1" applyBorder="1" applyAlignment="1">
      <alignment horizontal="center" vertical="center"/>
    </xf>
    <xf numFmtId="183" fontId="30" fillId="0" borderId="30" xfId="0" applyNumberFormat="1" applyFont="1" applyBorder="1" applyAlignment="1">
      <alignment horizontal="center" vertical="center"/>
    </xf>
    <xf numFmtId="183" fontId="30" fillId="0" borderId="7" xfId="0" applyNumberFormat="1" applyFont="1" applyBorder="1" applyAlignment="1">
      <alignment horizontal="center" vertical="center"/>
    </xf>
    <xf numFmtId="183" fontId="30" fillId="0" borderId="27" xfId="0" applyNumberFormat="1" applyFont="1" applyBorder="1" applyAlignment="1">
      <alignment horizontal="center" vertical="center"/>
    </xf>
    <xf numFmtId="2" fontId="30" fillId="0" borderId="30" xfId="0" applyNumberFormat="1" applyFont="1" applyBorder="1" applyAlignment="1">
      <alignment horizontal="center" vertical="center"/>
    </xf>
    <xf numFmtId="2" fontId="30" fillId="0" borderId="7" xfId="0" applyNumberFormat="1" applyFont="1" applyBorder="1" applyAlignment="1">
      <alignment horizontal="center" vertical="center"/>
    </xf>
    <xf numFmtId="2" fontId="30" fillId="0" borderId="27" xfId="0" applyNumberFormat="1" applyFont="1" applyBorder="1" applyAlignment="1">
      <alignment horizontal="center" vertical="center"/>
    </xf>
    <xf numFmtId="0" fontId="30" fillId="0" borderId="30" xfId="0" applyFont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0" fontId="30" fillId="0" borderId="27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93" fontId="0" fillId="0" borderId="30" xfId="0" applyNumberFormat="1" applyBorder="1" applyAlignment="1">
      <alignment horizontal="center" vertical="center"/>
    </xf>
    <xf numFmtId="193" fontId="0" fillId="0" borderId="7" xfId="0" applyNumberFormat="1" applyBorder="1" applyAlignment="1">
      <alignment horizontal="center" vertical="center"/>
    </xf>
    <xf numFmtId="193" fontId="0" fillId="0" borderId="27" xfId="0" applyNumberFormat="1" applyBorder="1" applyAlignment="1">
      <alignment horizontal="center" vertical="center"/>
    </xf>
    <xf numFmtId="0" fontId="7" fillId="0" borderId="30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191" fontId="0" fillId="0" borderId="30" xfId="0" applyNumberFormat="1" applyBorder="1" applyAlignment="1">
      <alignment horizontal="center" vertical="center"/>
    </xf>
    <xf numFmtId="191" fontId="0" fillId="0" borderId="7" xfId="0" applyNumberFormat="1" applyBorder="1" applyAlignment="1">
      <alignment horizontal="center" vertical="center"/>
    </xf>
    <xf numFmtId="191" fontId="0" fillId="0" borderId="27" xfId="0" applyNumberFormat="1" applyBorder="1" applyAlignment="1">
      <alignment horizontal="center" vertical="center"/>
    </xf>
    <xf numFmtId="190" fontId="3" fillId="0" borderId="30" xfId="0" applyNumberFormat="1" applyFont="1" applyBorder="1" applyAlignment="1">
      <alignment horizontal="center" vertical="center"/>
    </xf>
    <xf numFmtId="190" fontId="3" fillId="0" borderId="7" xfId="0" applyNumberFormat="1" applyFont="1" applyBorder="1" applyAlignment="1">
      <alignment horizontal="center" vertical="center"/>
    </xf>
    <xf numFmtId="190" fontId="3" fillId="0" borderId="27" xfId="0" applyNumberFormat="1" applyFont="1" applyBorder="1" applyAlignment="1">
      <alignment horizontal="center" vertical="center"/>
    </xf>
    <xf numFmtId="192" fontId="0" fillId="0" borderId="30" xfId="0" applyNumberFormat="1" applyBorder="1" applyAlignment="1">
      <alignment horizontal="center" vertical="center"/>
    </xf>
    <xf numFmtId="192" fontId="0" fillId="0" borderId="7" xfId="0" applyNumberFormat="1" applyBorder="1" applyAlignment="1">
      <alignment horizontal="center" vertical="center"/>
    </xf>
    <xf numFmtId="192" fontId="0" fillId="0" borderId="27" xfId="0" applyNumberFormat="1" applyBorder="1" applyAlignment="1">
      <alignment horizontal="center" vertical="center"/>
    </xf>
    <xf numFmtId="184" fontId="3" fillId="0" borderId="30" xfId="0" applyNumberFormat="1" applyFont="1" applyBorder="1" applyAlignment="1">
      <alignment horizontal="center" vertical="center"/>
    </xf>
    <xf numFmtId="184" fontId="3" fillId="0" borderId="7" xfId="0" applyNumberFormat="1" applyFont="1" applyBorder="1" applyAlignment="1">
      <alignment horizontal="center" vertical="center"/>
    </xf>
    <xf numFmtId="184" fontId="3" fillId="0" borderId="27" xfId="0" applyNumberFormat="1" applyFont="1" applyBorder="1" applyAlignment="1">
      <alignment horizontal="center" vertical="center"/>
    </xf>
    <xf numFmtId="185" fontId="3" fillId="0" borderId="30" xfId="0" applyNumberFormat="1" applyFont="1" applyBorder="1" applyAlignment="1">
      <alignment horizontal="center" vertical="center"/>
    </xf>
    <xf numFmtId="185" fontId="3" fillId="0" borderId="7" xfId="0" applyNumberFormat="1" applyFont="1" applyBorder="1" applyAlignment="1">
      <alignment horizontal="center" vertical="center"/>
    </xf>
    <xf numFmtId="185" fontId="3" fillId="0" borderId="27" xfId="0" applyNumberFormat="1" applyFont="1" applyBorder="1" applyAlignment="1">
      <alignment horizontal="center" vertical="center"/>
    </xf>
    <xf numFmtId="196" fontId="29" fillId="0" borderId="30" xfId="0" applyNumberFormat="1" applyFont="1" applyBorder="1" applyAlignment="1">
      <alignment horizontal="center" vertical="center"/>
    </xf>
    <xf numFmtId="196" fontId="29" fillId="0" borderId="7" xfId="0" applyNumberFormat="1" applyFont="1" applyBorder="1" applyAlignment="1">
      <alignment horizontal="center" vertical="center"/>
    </xf>
    <xf numFmtId="196" fontId="29" fillId="0" borderId="27" xfId="0" applyNumberFormat="1" applyFont="1" applyBorder="1" applyAlignment="1">
      <alignment horizontal="center" vertical="center"/>
    </xf>
    <xf numFmtId="183" fontId="29" fillId="0" borderId="30" xfId="0" applyNumberFormat="1" applyFont="1" applyBorder="1" applyAlignment="1">
      <alignment horizontal="center" vertical="center"/>
    </xf>
    <xf numFmtId="183" fontId="29" fillId="0" borderId="7" xfId="0" applyNumberFormat="1" applyFont="1" applyBorder="1" applyAlignment="1">
      <alignment horizontal="center" vertical="center"/>
    </xf>
    <xf numFmtId="183" fontId="29" fillId="0" borderId="27" xfId="0" applyNumberFormat="1" applyFont="1" applyBorder="1" applyAlignment="1">
      <alignment horizontal="center" vertical="center"/>
    </xf>
    <xf numFmtId="2" fontId="29" fillId="0" borderId="30" xfId="0" applyNumberFormat="1" applyFont="1" applyBorder="1" applyAlignment="1">
      <alignment horizontal="center" vertical="center"/>
    </xf>
    <xf numFmtId="2" fontId="29" fillId="0" borderId="7" xfId="0" applyNumberFormat="1" applyFont="1" applyBorder="1" applyAlignment="1">
      <alignment horizontal="center" vertical="center"/>
    </xf>
    <xf numFmtId="2" fontId="29" fillId="0" borderId="27" xfId="0" applyNumberFormat="1" applyFont="1" applyBorder="1" applyAlignment="1">
      <alignment horizontal="center" vertical="center"/>
    </xf>
    <xf numFmtId="187" fontId="29" fillId="0" borderId="30" xfId="0" applyNumberFormat="1" applyFont="1" applyBorder="1" applyAlignment="1">
      <alignment horizontal="center" vertical="center"/>
    </xf>
    <xf numFmtId="187" fontId="29" fillId="0" borderId="7" xfId="0" applyNumberFormat="1" applyFont="1" applyBorder="1" applyAlignment="1">
      <alignment horizontal="center" vertical="center"/>
    </xf>
    <xf numFmtId="187" fontId="29" fillId="0" borderId="27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12" xfId="1" applyFont="1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" fillId="0" borderId="8" xfId="1" applyFont="1" applyBorder="1" applyAlignment="1">
      <alignment horizontal="center" vertical="center"/>
    </xf>
    <xf numFmtId="0" fontId="4" fillId="0" borderId="14" xfId="1" applyFont="1" applyBorder="1" applyAlignment="1">
      <alignment horizontal="center" vertical="center"/>
    </xf>
    <xf numFmtId="0" fontId="4" fillId="0" borderId="15" xfId="1" applyFont="1" applyBorder="1" applyAlignment="1">
      <alignment horizontal="center" vertical="center"/>
    </xf>
    <xf numFmtId="0" fontId="4" fillId="0" borderId="16" xfId="1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3" fillId="0" borderId="17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1" fillId="2" borderId="7" xfId="1" applyFill="1" applyBorder="1" applyAlignment="1">
      <alignment horizontal="center" vertical="center"/>
    </xf>
    <xf numFmtId="2" fontId="30" fillId="0" borderId="40" xfId="0" applyNumberFormat="1" applyFont="1" applyBorder="1" applyAlignment="1">
      <alignment horizontal="center" vertical="center"/>
    </xf>
    <xf numFmtId="2" fontId="30" fillId="0" borderId="38" xfId="0" applyNumberFormat="1" applyFont="1" applyBorder="1" applyAlignment="1">
      <alignment horizontal="center" vertical="center"/>
    </xf>
    <xf numFmtId="2" fontId="30" fillId="0" borderId="42" xfId="0" applyNumberFormat="1" applyFont="1" applyBorder="1" applyAlignment="1">
      <alignment horizontal="center" vertical="center"/>
    </xf>
    <xf numFmtId="0" fontId="3" fillId="2" borderId="31" xfId="0" applyFont="1" applyFill="1" applyBorder="1" applyAlignment="1">
      <alignment horizontal="center" vertical="center"/>
    </xf>
    <xf numFmtId="0" fontId="3" fillId="2" borderId="54" xfId="0" applyFont="1" applyFill="1" applyBorder="1" applyAlignment="1">
      <alignment horizontal="center" vertical="center"/>
    </xf>
    <xf numFmtId="0" fontId="3" fillId="2" borderId="55" xfId="0" applyFont="1" applyFill="1" applyBorder="1" applyAlignment="1">
      <alignment horizontal="center" vertical="center"/>
    </xf>
    <xf numFmtId="0" fontId="3" fillId="2" borderId="56" xfId="0" applyFont="1" applyFill="1" applyBorder="1" applyAlignment="1">
      <alignment horizontal="center" vertical="center"/>
    </xf>
    <xf numFmtId="0" fontId="3" fillId="2" borderId="28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3" fillId="2" borderId="22" xfId="0" applyFont="1" applyFill="1" applyBorder="1" applyAlignment="1">
      <alignment horizontal="center" vertical="center"/>
    </xf>
    <xf numFmtId="0" fontId="3" fillId="2" borderId="23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 vertical="center"/>
    </xf>
    <xf numFmtId="0" fontId="27" fillId="0" borderId="28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43" xfId="0" applyFont="1" applyBorder="1" applyAlignment="1">
      <alignment horizontal="left" vertical="center"/>
    </xf>
    <xf numFmtId="0" fontId="3" fillId="0" borderId="22" xfId="0" applyFont="1" applyBorder="1" applyAlignment="1">
      <alignment horizontal="left" vertical="center"/>
    </xf>
    <xf numFmtId="0" fontId="3" fillId="0" borderId="23" xfId="0" applyFont="1" applyBorder="1" applyAlignment="1">
      <alignment horizontal="left" vertical="center"/>
    </xf>
    <xf numFmtId="0" fontId="3" fillId="0" borderId="41" xfId="0" applyFont="1" applyBorder="1" applyAlignment="1">
      <alignment horizontal="left" vertical="center"/>
    </xf>
    <xf numFmtId="0" fontId="3" fillId="2" borderId="57" xfId="0" applyFont="1" applyFill="1" applyBorder="1" applyAlignment="1">
      <alignment horizontal="center" vertical="center"/>
    </xf>
    <xf numFmtId="0" fontId="3" fillId="2" borderId="58" xfId="0" applyFont="1" applyFill="1" applyBorder="1" applyAlignment="1">
      <alignment horizontal="center" vertical="center"/>
    </xf>
    <xf numFmtId="0" fontId="3" fillId="2" borderId="59" xfId="0" applyFont="1" applyFill="1" applyBorder="1" applyAlignment="1">
      <alignment horizontal="center" vertical="center"/>
    </xf>
    <xf numFmtId="0" fontId="3" fillId="2" borderId="26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14" fillId="2" borderId="50" xfId="0" applyFont="1" applyFill="1" applyBorder="1" applyAlignment="1">
      <alignment horizontal="center" vertical="center"/>
    </xf>
    <xf numFmtId="0" fontId="14" fillId="2" borderId="49" xfId="0" applyFont="1" applyFill="1" applyBorder="1" applyAlignment="1">
      <alignment horizontal="center" vertical="center"/>
    </xf>
    <xf numFmtId="0" fontId="14" fillId="2" borderId="51" xfId="0" applyFont="1" applyFill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191" fontId="3" fillId="2" borderId="30" xfId="0" applyNumberFormat="1" applyFont="1" applyFill="1" applyBorder="1" applyAlignment="1">
      <alignment horizontal="center" vertical="center"/>
    </xf>
    <xf numFmtId="191" fontId="3" fillId="2" borderId="7" xfId="0" applyNumberFormat="1" applyFont="1" applyFill="1" applyBorder="1" applyAlignment="1">
      <alignment horizontal="center" vertical="center"/>
    </xf>
    <xf numFmtId="191" fontId="3" fillId="2" borderId="27" xfId="0" applyNumberFormat="1" applyFont="1" applyFill="1" applyBorder="1" applyAlignment="1">
      <alignment horizontal="center" vertical="center"/>
    </xf>
    <xf numFmtId="183" fontId="3" fillId="2" borderId="30" xfId="0" applyNumberFormat="1" applyFont="1" applyFill="1" applyBorder="1" applyAlignment="1">
      <alignment horizontal="center" vertical="center"/>
    </xf>
    <xf numFmtId="183" fontId="3" fillId="2" borderId="7" xfId="0" applyNumberFormat="1" applyFont="1" applyFill="1" applyBorder="1" applyAlignment="1">
      <alignment horizontal="center" vertical="center"/>
    </xf>
    <xf numFmtId="183" fontId="3" fillId="2" borderId="27" xfId="0" applyNumberFormat="1" applyFont="1" applyFill="1" applyBorder="1" applyAlignment="1">
      <alignment horizontal="center" vertical="center"/>
    </xf>
    <xf numFmtId="0" fontId="3" fillId="0" borderId="30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2" borderId="5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2" fontId="6" fillId="0" borderId="15" xfId="0" applyNumberFormat="1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188" fontId="29" fillId="0" borderId="40" xfId="0" applyNumberFormat="1" applyFont="1" applyBorder="1" applyAlignment="1">
      <alignment horizontal="center" vertical="center"/>
    </xf>
    <xf numFmtId="188" fontId="29" fillId="0" borderId="38" xfId="0" applyNumberFormat="1" applyFont="1" applyBorder="1" applyAlignment="1">
      <alignment horizontal="center" vertical="center"/>
    </xf>
    <xf numFmtId="188" fontId="29" fillId="0" borderId="42" xfId="0" applyNumberFormat="1" applyFont="1" applyBorder="1" applyAlignment="1">
      <alignment horizontal="center" vertical="center"/>
    </xf>
    <xf numFmtId="2" fontId="29" fillId="0" borderId="40" xfId="0" applyNumberFormat="1" applyFont="1" applyBorder="1" applyAlignment="1">
      <alignment horizontal="center" vertical="center"/>
    </xf>
    <xf numFmtId="2" fontId="29" fillId="0" borderId="38" xfId="0" applyNumberFormat="1" applyFont="1" applyBorder="1" applyAlignment="1">
      <alignment horizontal="center" vertical="center"/>
    </xf>
    <xf numFmtId="2" fontId="29" fillId="0" borderId="42" xfId="0" applyNumberFormat="1" applyFon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87" fontId="0" fillId="0" borderId="30" xfId="0" applyNumberFormat="1" applyBorder="1" applyAlignment="1">
      <alignment horizontal="center" vertical="center"/>
    </xf>
    <xf numFmtId="187" fontId="0" fillId="0" borderId="27" xfId="0" applyNumberFormat="1" applyBorder="1" applyAlignment="1">
      <alignment horizontal="center" vertical="center"/>
    </xf>
    <xf numFmtId="187" fontId="7" fillId="0" borderId="30" xfId="0" applyNumberFormat="1" applyFont="1" applyBorder="1" applyAlignment="1">
      <alignment horizontal="center" vertical="center"/>
    </xf>
    <xf numFmtId="187" fontId="7" fillId="0" borderId="7" xfId="0" applyNumberFormat="1" applyFont="1" applyBorder="1" applyAlignment="1">
      <alignment horizontal="center" vertical="center"/>
    </xf>
    <xf numFmtId="187" fontId="7" fillId="0" borderId="27" xfId="0" applyNumberFormat="1" applyFont="1" applyBorder="1" applyAlignment="1">
      <alignment horizontal="center" vertical="center"/>
    </xf>
    <xf numFmtId="193" fontId="0" fillId="0" borderId="1" xfId="0" applyNumberFormat="1" applyBorder="1" applyAlignment="1">
      <alignment horizontal="center" vertical="center"/>
    </xf>
    <xf numFmtId="193" fontId="0" fillId="0" borderId="2" xfId="0" applyNumberFormat="1" applyBorder="1" applyAlignment="1">
      <alignment horizontal="center" vertical="center"/>
    </xf>
    <xf numFmtId="193" fontId="0" fillId="0" borderId="35" xfId="0" applyNumberFormat="1" applyBorder="1" applyAlignment="1">
      <alignment horizontal="center" vertical="center"/>
    </xf>
    <xf numFmtId="191" fontId="0" fillId="0" borderId="6" xfId="0" applyNumberFormat="1" applyBorder="1" applyAlignment="1">
      <alignment horizontal="center" vertical="center"/>
    </xf>
    <xf numFmtId="191" fontId="0" fillId="0" borderId="19" xfId="0" applyNumberFormat="1" applyBorder="1" applyAlignment="1">
      <alignment horizontal="center" vertical="center"/>
    </xf>
    <xf numFmtId="191" fontId="0" fillId="0" borderId="36" xfId="0" applyNumberFormat="1" applyBorder="1" applyAlignment="1">
      <alignment horizontal="center" vertical="center"/>
    </xf>
    <xf numFmtId="191" fontId="0" fillId="0" borderId="38" xfId="0" applyNumberFormat="1" applyBorder="1" applyAlignment="1">
      <alignment horizontal="center" vertical="center"/>
    </xf>
    <xf numFmtId="191" fontId="0" fillId="0" borderId="37" xfId="0" applyNumberFormat="1" applyBorder="1" applyAlignment="1">
      <alignment horizontal="center" vertical="center"/>
    </xf>
    <xf numFmtId="0" fontId="18" fillId="0" borderId="0" xfId="3" applyFont="1" applyAlignment="1">
      <alignment horizontal="center" vertical="center"/>
    </xf>
    <xf numFmtId="0" fontId="18" fillId="0" borderId="15" xfId="3" applyFont="1" applyBorder="1" applyAlignment="1">
      <alignment horizontal="center"/>
    </xf>
    <xf numFmtId="0" fontId="21" fillId="0" borderId="11" xfId="3" applyFont="1" applyBorder="1" applyAlignment="1">
      <alignment horizontal="center"/>
    </xf>
    <xf numFmtId="0" fontId="18" fillId="0" borderId="15" xfId="3" applyFont="1" applyBorder="1" applyAlignment="1">
      <alignment horizontal="center" vertical="center"/>
    </xf>
    <xf numFmtId="0" fontId="18" fillId="0" borderId="11" xfId="3" applyFont="1" applyBorder="1" applyAlignment="1">
      <alignment horizontal="center" vertical="center"/>
    </xf>
    <xf numFmtId="187" fontId="0" fillId="0" borderId="17" xfId="0" applyNumberFormat="1" applyBorder="1" applyAlignment="1">
      <alignment horizontal="center" vertical="center"/>
    </xf>
    <xf numFmtId="187" fontId="0" fillId="0" borderId="15" xfId="0" applyNumberFormat="1" applyBorder="1" applyAlignment="1">
      <alignment horizontal="center" vertical="center"/>
    </xf>
    <xf numFmtId="187" fontId="0" fillId="0" borderId="16" xfId="0" applyNumberFormat="1" applyBorder="1" applyAlignment="1">
      <alignment horizontal="center" vertical="center"/>
    </xf>
    <xf numFmtId="0" fontId="0" fillId="0" borderId="0" xfId="0" applyFill="1" applyBorder="1">
      <alignment vertical="center"/>
    </xf>
  </cellXfs>
  <cellStyles count="6">
    <cellStyle name="표준" xfId="0" builtinId="0"/>
    <cellStyle name="표준 3" xfId="1" xr:uid="{F75B2F91-B538-4F43-9FA3-5F45628830BB}"/>
    <cellStyle name="표준 4" xfId="3" xr:uid="{5DFE2182-5E74-4CFF-B1C5-A7CE7C58E4F3}"/>
    <cellStyle name="표준 5" xfId="2" xr:uid="{B900DCFA-6345-4E27-956C-1229AD4FBC92}"/>
    <cellStyle name="표준 8" xfId="5" xr:uid="{719E0AB2-C9AC-4226-9EA1-E044AC664722}"/>
    <cellStyle name="표준 9" xfId="4" xr:uid="{9EF0F87D-3AF7-4674-9C10-5FE0251B4B3F}"/>
  </cellStyles>
  <dxfs count="17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trendline>
            <c:trendlineType val="log"/>
            <c:dispRSqr val="1"/>
            <c:dispEq val="1"/>
            <c:trendlineLbl>
              <c:numFmt formatCode="General" sourceLinked="0"/>
            </c:trendlineLbl>
          </c:trendline>
          <c:xVal>
            <c:numLit>
              <c:formatCode>General</c:formatCode>
              <c:ptCount val="6"/>
              <c:pt idx="1">
                <c:v>15</c:v>
              </c:pt>
              <c:pt idx="2">
                <c:v>25</c:v>
              </c:pt>
              <c:pt idx="3">
                <c:v>50</c:v>
              </c:pt>
              <c:pt idx="4">
                <c:v>100</c:v>
              </c:pt>
              <c:pt idx="5">
                <c:v>200</c:v>
              </c:pt>
            </c:numLit>
          </c:xVal>
          <c:yVal>
            <c:numLit>
              <c:formatCode>General</c:formatCode>
              <c:ptCount val="6"/>
              <c:pt idx="1">
                <c:v>0.23</c:v>
              </c:pt>
              <c:pt idx="2">
                <c:v>0.2</c:v>
              </c:pt>
              <c:pt idx="3">
                <c:v>0.17</c:v>
              </c:pt>
              <c:pt idx="4">
                <c:v>0.15</c:v>
              </c:pt>
              <c:pt idx="5">
                <c:v>0.12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0EC-4DBB-8962-CD87AE6BD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792640"/>
        <c:axId val="103794176"/>
      </c:scatterChart>
      <c:valAx>
        <c:axId val="103792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3794176"/>
        <c:crosses val="autoZero"/>
        <c:crossBetween val="midCat"/>
      </c:valAx>
      <c:valAx>
        <c:axId val="103794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37926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jpeg"/><Relationship Id="rId3" Type="http://schemas.openxmlformats.org/officeDocument/2006/relationships/image" Target="../media/image6.jpeg"/><Relationship Id="rId7" Type="http://schemas.openxmlformats.org/officeDocument/2006/relationships/image" Target="../media/image10.jpeg"/><Relationship Id="rId2" Type="http://schemas.openxmlformats.org/officeDocument/2006/relationships/image" Target="../media/image5.jpeg"/><Relationship Id="rId1" Type="http://schemas.openxmlformats.org/officeDocument/2006/relationships/image" Target="../media/image4.jpeg"/><Relationship Id="rId6" Type="http://schemas.openxmlformats.org/officeDocument/2006/relationships/image" Target="../media/image9.jpeg"/><Relationship Id="rId5" Type="http://schemas.openxmlformats.org/officeDocument/2006/relationships/image" Target="../media/image8.jpeg"/><Relationship Id="rId4" Type="http://schemas.openxmlformats.org/officeDocument/2006/relationships/image" Target="../media/image7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381000</xdr:colOff>
          <xdr:row>9</xdr:row>
          <xdr:rowOff>9525</xdr:rowOff>
        </xdr:from>
        <xdr:to>
          <xdr:col>22</xdr:col>
          <xdr:colOff>133350</xdr:colOff>
          <xdr:row>10</xdr:row>
          <xdr:rowOff>95250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156882</xdr:colOff>
      <xdr:row>1</xdr:row>
      <xdr:rowOff>190500</xdr:rowOff>
    </xdr:from>
    <xdr:to>
      <xdr:col>9</xdr:col>
      <xdr:colOff>183776</xdr:colOff>
      <xdr:row>4</xdr:row>
      <xdr:rowOff>98561</xdr:rowOff>
    </xdr:to>
    <xdr:grpSp>
      <xdr:nvGrpSpPr>
        <xdr:cNvPr id="6" name="그룹 1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>
          <a:grpSpLocks/>
        </xdr:cNvGrpSpPr>
      </xdr:nvGrpSpPr>
      <xdr:grpSpPr bwMode="auto">
        <a:xfrm>
          <a:off x="918882" y="414618"/>
          <a:ext cx="2716306" cy="513178"/>
          <a:chOff x="8613040" y="2332547"/>
          <a:chExt cx="2152822" cy="413488"/>
        </a:xfrm>
      </xdr:grpSpPr>
      <xdr:pic>
        <xdr:nvPicPr>
          <xdr:cNvPr id="7" name="Picture 7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/>
          <a:srcRect/>
          <a:stretch>
            <a:fillRect/>
          </a:stretch>
        </xdr:blipFill>
        <xdr:spPr bwMode="auto">
          <a:xfrm>
            <a:off x="8986367" y="2581883"/>
            <a:ext cx="1779495" cy="115586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</xdr:pic>
      <xdr:pic>
        <xdr:nvPicPr>
          <xdr:cNvPr id="8" name="Picture 1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/>
          <a:srcRect/>
          <a:stretch>
            <a:fillRect/>
          </a:stretch>
        </xdr:blipFill>
        <xdr:spPr bwMode="auto">
          <a:xfrm>
            <a:off x="8613040" y="2332547"/>
            <a:ext cx="368831" cy="413488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</xdr:pic>
    </xdr:grpSp>
    <xdr:clientData/>
  </xdr:twoCellAnchor>
  <xdr:twoCellAnchor>
    <xdr:from>
      <xdr:col>3</xdr:col>
      <xdr:colOff>156882</xdr:colOff>
      <xdr:row>62</xdr:row>
      <xdr:rowOff>190500</xdr:rowOff>
    </xdr:from>
    <xdr:to>
      <xdr:col>9</xdr:col>
      <xdr:colOff>183776</xdr:colOff>
      <xdr:row>65</xdr:row>
      <xdr:rowOff>98561</xdr:rowOff>
    </xdr:to>
    <xdr:grpSp>
      <xdr:nvGrpSpPr>
        <xdr:cNvPr id="9" name="그룹 14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918882" y="12561794"/>
          <a:ext cx="2716306" cy="513179"/>
          <a:chOff x="8613040" y="2332547"/>
          <a:chExt cx="2152822" cy="413488"/>
        </a:xfrm>
      </xdr:grpSpPr>
      <xdr:pic>
        <xdr:nvPicPr>
          <xdr:cNvPr id="10" name="Picture 7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/>
          <a:srcRect/>
          <a:stretch>
            <a:fillRect/>
          </a:stretch>
        </xdr:blipFill>
        <xdr:spPr bwMode="auto">
          <a:xfrm>
            <a:off x="8986367" y="2581883"/>
            <a:ext cx="1779495" cy="115586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</xdr:pic>
      <xdr:pic>
        <xdr:nvPicPr>
          <xdr:cNvPr id="11" name="Picture 1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/>
          <a:srcRect/>
          <a:stretch>
            <a:fillRect/>
          </a:stretch>
        </xdr:blipFill>
        <xdr:spPr bwMode="auto">
          <a:xfrm>
            <a:off x="8613040" y="2332547"/>
            <a:ext cx="368831" cy="413488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485775</xdr:colOff>
      <xdr:row>23</xdr:row>
      <xdr:rowOff>180975</xdr:rowOff>
    </xdr:from>
    <xdr:to>
      <xdr:col>26</xdr:col>
      <xdr:colOff>257175</xdr:colOff>
      <xdr:row>36</xdr:row>
      <xdr:rowOff>200025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291354</xdr:colOff>
      <xdr:row>60</xdr:row>
      <xdr:rowOff>134471</xdr:rowOff>
    </xdr:from>
    <xdr:to>
      <xdr:col>23</xdr:col>
      <xdr:colOff>291355</xdr:colOff>
      <xdr:row>64</xdr:row>
      <xdr:rowOff>24725</xdr:rowOff>
    </xdr:to>
    <xdr:pic>
      <xdr:nvPicPr>
        <xdr:cNvPr id="2" name="그림 1" descr="캡처.JP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39979" y="16546046"/>
          <a:ext cx="5505451" cy="1071354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2</xdr:col>
      <xdr:colOff>235324</xdr:colOff>
      <xdr:row>68</xdr:row>
      <xdr:rowOff>134471</xdr:rowOff>
    </xdr:from>
    <xdr:to>
      <xdr:col>12</xdr:col>
      <xdr:colOff>523876</xdr:colOff>
      <xdr:row>73</xdr:row>
      <xdr:rowOff>96371</xdr:rowOff>
    </xdr:to>
    <xdr:pic>
      <xdr:nvPicPr>
        <xdr:cNvPr id="3" name="그림 2" descr="캡처 1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1149" y="18908246"/>
          <a:ext cx="6260727" cy="109537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257734</xdr:colOff>
      <xdr:row>75</xdr:row>
      <xdr:rowOff>134471</xdr:rowOff>
    </xdr:from>
    <xdr:to>
      <xdr:col>12</xdr:col>
      <xdr:colOff>241486</xdr:colOff>
      <xdr:row>78</xdr:row>
      <xdr:rowOff>231962</xdr:rowOff>
    </xdr:to>
    <xdr:pic>
      <xdr:nvPicPr>
        <xdr:cNvPr id="4" name="그림 3" descr="캡처 2.JPG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3559" y="20632271"/>
          <a:ext cx="5955927" cy="983316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14</xdr:col>
      <xdr:colOff>437032</xdr:colOff>
      <xdr:row>75</xdr:row>
      <xdr:rowOff>123264</xdr:rowOff>
    </xdr:from>
    <xdr:to>
      <xdr:col>25</xdr:col>
      <xdr:colOff>15691</xdr:colOff>
      <xdr:row>78</xdr:row>
      <xdr:rowOff>230280</xdr:rowOff>
    </xdr:to>
    <xdr:pic>
      <xdr:nvPicPr>
        <xdr:cNvPr id="5" name="그림 4" descr="캡처 4.JPG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399932" y="20621064"/>
          <a:ext cx="6055659" cy="99284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14</xdr:col>
      <xdr:colOff>380999</xdr:colOff>
      <xdr:row>68</xdr:row>
      <xdr:rowOff>100854</xdr:rowOff>
    </xdr:from>
    <xdr:to>
      <xdr:col>21</xdr:col>
      <xdr:colOff>21290</xdr:colOff>
      <xdr:row>72</xdr:row>
      <xdr:rowOff>170891</xdr:rowOff>
    </xdr:to>
    <xdr:pic>
      <xdr:nvPicPr>
        <xdr:cNvPr id="6" name="그림 5" descr="캡처 3.JPG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01049" y="18874629"/>
          <a:ext cx="3802716" cy="99396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2</xdr:col>
      <xdr:colOff>291352</xdr:colOff>
      <xdr:row>86</xdr:row>
      <xdr:rowOff>145677</xdr:rowOff>
    </xdr:from>
    <xdr:to>
      <xdr:col>12</xdr:col>
      <xdr:colOff>237004</xdr:colOff>
      <xdr:row>93</xdr:row>
      <xdr:rowOff>96931</xdr:rowOff>
    </xdr:to>
    <xdr:pic>
      <xdr:nvPicPr>
        <xdr:cNvPr id="7" name="그림 6" descr="캡처.JPG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7177" y="23720052"/>
          <a:ext cx="5917827" cy="201817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13</xdr:col>
      <xdr:colOff>156883</xdr:colOff>
      <xdr:row>86</xdr:row>
      <xdr:rowOff>156883</xdr:rowOff>
    </xdr:from>
    <xdr:to>
      <xdr:col>20</xdr:col>
      <xdr:colOff>71718</xdr:colOff>
      <xdr:row>94</xdr:row>
      <xdr:rowOff>273984</xdr:rowOff>
    </xdr:to>
    <xdr:pic>
      <xdr:nvPicPr>
        <xdr:cNvPr id="8" name="그림 7" descr="캡처 1.JPG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700683" y="23731258"/>
          <a:ext cx="3867710" cy="247930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100</xdr:row>
      <xdr:rowOff>0</xdr:rowOff>
    </xdr:from>
    <xdr:to>
      <xdr:col>9</xdr:col>
      <xdr:colOff>338417</xdr:colOff>
      <xdr:row>109</xdr:row>
      <xdr:rowOff>188819</xdr:rowOff>
    </xdr:to>
    <xdr:pic>
      <xdr:nvPicPr>
        <xdr:cNvPr id="9" name="그림 8" descr="캡처 2.jpg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00150" y="27489150"/>
          <a:ext cx="3938867" cy="2074769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14278-1E78-420A-BD91-5DA86B05625E}">
  <sheetPr codeName="Sheet1">
    <pageSetUpPr fitToPage="1"/>
  </sheetPr>
  <dimension ref="B1:BI403"/>
  <sheetViews>
    <sheetView showGridLines="0" tabSelected="1" view="pageBreakPreview" topLeftCell="A73" zoomScale="85" zoomScaleSheetLayoutView="85" workbookViewId="0">
      <selection activeCell="AY88" sqref="AY88"/>
    </sheetView>
  </sheetViews>
  <sheetFormatPr defaultRowHeight="16.5" x14ac:dyDescent="0.3"/>
  <cols>
    <col min="1" max="2" width="3.625" customWidth="1"/>
    <col min="3" max="5" width="2.625" customWidth="1"/>
    <col min="6" max="6" width="12.625" customWidth="1"/>
    <col min="7" max="7" width="6.125" customWidth="1"/>
    <col min="8" max="9" width="5.625" customWidth="1"/>
    <col min="10" max="10" width="3.625" customWidth="1"/>
    <col min="11" max="11" width="1.625" customWidth="1"/>
    <col min="12" max="13" width="2.625" customWidth="1"/>
    <col min="14" max="14" width="4.625" customWidth="1"/>
    <col min="15" max="15" width="5.125" customWidth="1"/>
    <col min="16" max="16" width="6.125" customWidth="1"/>
    <col min="17" max="18" width="4.625" customWidth="1"/>
    <col min="19" max="23" width="5.125" customWidth="1"/>
    <col min="24" max="24" width="2.625" customWidth="1"/>
    <col min="25" max="25" width="3.125" customWidth="1"/>
    <col min="26" max="26" width="8.75" customWidth="1"/>
    <col min="27" max="27" width="12.625" hidden="1" customWidth="1"/>
    <col min="28" max="30" width="2.625" customWidth="1"/>
    <col min="31" max="31" width="12.625" customWidth="1"/>
    <col min="32" max="32" width="6.125" customWidth="1"/>
    <col min="33" max="34" width="5.625" customWidth="1"/>
    <col min="35" max="35" width="3.625" customWidth="1"/>
    <col min="36" max="36" width="1.625" customWidth="1"/>
    <col min="37" max="38" width="2.625" customWidth="1"/>
    <col min="39" max="39" width="4.625" customWidth="1"/>
    <col min="40" max="40" width="5.125" customWidth="1"/>
    <col min="41" max="41" width="6.125" customWidth="1"/>
    <col min="42" max="43" width="4.625" customWidth="1"/>
    <col min="44" max="48" width="5.125" customWidth="1"/>
    <col min="49" max="49" width="2.625" customWidth="1"/>
    <col min="50" max="50" width="3.125" customWidth="1"/>
    <col min="52" max="52" width="27.375" bestFit="1" customWidth="1"/>
  </cols>
  <sheetData>
    <row r="1" spans="2:50" ht="17.25" thickBot="1" x14ac:dyDescent="0.35"/>
    <row r="2" spans="2:50" ht="15.95" customHeight="1" x14ac:dyDescent="0.3">
      <c r="C2" s="312"/>
      <c r="D2" s="313"/>
      <c r="E2" s="313"/>
      <c r="F2" s="313"/>
      <c r="G2" s="313"/>
      <c r="H2" s="313"/>
      <c r="I2" s="313"/>
      <c r="J2" s="313"/>
      <c r="K2" s="1"/>
      <c r="L2" s="2"/>
      <c r="M2" s="3"/>
      <c r="N2" s="1"/>
      <c r="O2" s="3"/>
      <c r="P2" s="3"/>
      <c r="Q2" s="7"/>
      <c r="R2" s="1"/>
      <c r="S2" s="4" t="s">
        <v>0</v>
      </c>
      <c r="T2" s="3"/>
      <c r="U2" s="5">
        <v>1</v>
      </c>
      <c r="V2" s="97" t="s">
        <v>1</v>
      </c>
      <c r="W2" s="6">
        <v>1</v>
      </c>
      <c r="X2" s="7"/>
      <c r="Y2" s="8"/>
      <c r="AB2" s="325"/>
      <c r="AC2" s="326"/>
      <c r="AD2" s="326"/>
      <c r="AE2" s="326"/>
      <c r="AF2" s="326"/>
      <c r="AG2" s="326"/>
      <c r="AH2" s="326"/>
      <c r="AI2" s="326"/>
      <c r="AK2" s="11"/>
    </row>
    <row r="3" spans="2:50" ht="15.95" customHeight="1" x14ac:dyDescent="0.3">
      <c r="C3" s="314"/>
      <c r="D3" s="195"/>
      <c r="E3" s="195"/>
      <c r="F3" s="195"/>
      <c r="G3" s="195"/>
      <c r="H3" s="195"/>
      <c r="I3" s="195"/>
      <c r="J3" s="195"/>
      <c r="L3" s="9"/>
      <c r="M3" s="10" t="s">
        <v>2</v>
      </c>
      <c r="O3" s="11"/>
      <c r="P3" s="11"/>
      <c r="Q3" s="330"/>
      <c r="R3" s="330"/>
      <c r="S3" s="330"/>
      <c r="T3" s="330"/>
      <c r="U3" s="330"/>
      <c r="V3" s="330"/>
      <c r="W3" s="330"/>
      <c r="X3" s="330"/>
      <c r="Y3" s="12"/>
      <c r="AA3" t="s">
        <v>3</v>
      </c>
      <c r="AB3" s="326"/>
      <c r="AC3" s="326"/>
      <c r="AD3" s="326"/>
      <c r="AE3" s="326"/>
      <c r="AF3" s="326"/>
      <c r="AG3" s="326"/>
      <c r="AH3" s="326"/>
      <c r="AI3" s="326"/>
      <c r="AK3" s="10"/>
    </row>
    <row r="4" spans="2:50" ht="15.95" customHeight="1" x14ac:dyDescent="0.3">
      <c r="C4" s="314"/>
      <c r="D4" s="195"/>
      <c r="E4" s="195"/>
      <c r="F4" s="195"/>
      <c r="G4" s="195"/>
      <c r="H4" s="195"/>
      <c r="I4" s="195"/>
      <c r="J4" s="195"/>
      <c r="L4" s="9"/>
      <c r="M4" s="10" t="s">
        <v>4</v>
      </c>
      <c r="O4" s="11"/>
      <c r="P4" s="11"/>
      <c r="Q4" s="330"/>
      <c r="R4" s="330"/>
      <c r="S4" s="330"/>
      <c r="T4" s="330"/>
      <c r="U4" s="330"/>
      <c r="V4" s="330"/>
      <c r="W4" s="330"/>
      <c r="X4" s="330"/>
      <c r="Y4" s="12"/>
      <c r="AA4" t="s">
        <v>5</v>
      </c>
      <c r="AB4" s="326"/>
      <c r="AC4" s="326"/>
      <c r="AD4" s="326"/>
      <c r="AE4" s="326"/>
      <c r="AF4" s="326"/>
      <c r="AG4" s="326"/>
      <c r="AH4" s="326"/>
      <c r="AI4" s="326"/>
      <c r="AK4" s="10"/>
    </row>
    <row r="5" spans="2:50" ht="15.95" customHeight="1" x14ac:dyDescent="0.3">
      <c r="C5" s="315"/>
      <c r="D5" s="198"/>
      <c r="E5" s="198"/>
      <c r="F5" s="198"/>
      <c r="G5" s="198"/>
      <c r="H5" s="198"/>
      <c r="I5" s="198"/>
      <c r="J5" s="198"/>
      <c r="L5" s="9"/>
      <c r="M5" s="10" t="s">
        <v>6</v>
      </c>
      <c r="O5" s="11"/>
      <c r="P5" s="11"/>
      <c r="Q5" s="330"/>
      <c r="R5" s="330"/>
      <c r="S5" s="330"/>
      <c r="T5" s="330"/>
      <c r="U5" s="330"/>
      <c r="V5" s="330"/>
      <c r="W5" s="330"/>
      <c r="X5" s="330"/>
      <c r="Y5" s="12"/>
      <c r="AB5" s="326"/>
      <c r="AC5" s="326"/>
      <c r="AD5" s="326"/>
      <c r="AE5" s="326"/>
      <c r="AF5" s="326"/>
      <c r="AG5" s="326"/>
      <c r="AH5" s="326"/>
      <c r="AI5" s="326"/>
      <c r="AK5" s="10"/>
    </row>
    <row r="6" spans="2:50" ht="15.95" customHeight="1" x14ac:dyDescent="0.3">
      <c r="C6" s="316" t="s">
        <v>7</v>
      </c>
      <c r="D6" s="317"/>
      <c r="E6" s="317"/>
      <c r="F6" s="317"/>
      <c r="G6" s="317"/>
      <c r="H6" s="317"/>
      <c r="I6" s="317"/>
      <c r="J6" s="317"/>
      <c r="K6" s="317"/>
      <c r="L6" s="318"/>
      <c r="M6" s="14" t="s">
        <v>8</v>
      </c>
      <c r="O6" s="11"/>
      <c r="P6" s="11"/>
      <c r="Q6" s="330"/>
      <c r="R6" s="330"/>
      <c r="S6" s="330"/>
      <c r="T6" s="330"/>
      <c r="U6" s="330"/>
      <c r="V6" s="330"/>
      <c r="W6" s="330"/>
      <c r="X6" s="330"/>
      <c r="Y6" s="12"/>
      <c r="AB6" s="317"/>
      <c r="AC6" s="317"/>
      <c r="AD6" s="317"/>
      <c r="AE6" s="317"/>
      <c r="AF6" s="317"/>
      <c r="AG6" s="317"/>
      <c r="AH6" s="317"/>
      <c r="AI6" s="317"/>
      <c r="AJ6" s="317"/>
      <c r="AK6" s="317"/>
    </row>
    <row r="7" spans="2:50" ht="15.95" customHeight="1" x14ac:dyDescent="0.3">
      <c r="C7" s="319"/>
      <c r="D7" s="320"/>
      <c r="E7" s="320"/>
      <c r="F7" s="320"/>
      <c r="G7" s="320"/>
      <c r="H7" s="320"/>
      <c r="I7" s="320"/>
      <c r="J7" s="320"/>
      <c r="K7" s="320"/>
      <c r="L7" s="321"/>
      <c r="M7" s="15" t="s">
        <v>9</v>
      </c>
      <c r="O7" s="11"/>
      <c r="P7" s="112"/>
      <c r="Q7" s="330"/>
      <c r="R7" s="330"/>
      <c r="S7" s="330"/>
      <c r="T7" s="330"/>
      <c r="U7" s="330"/>
      <c r="V7" s="330"/>
      <c r="W7" s="330"/>
      <c r="X7" s="330"/>
      <c r="Y7" s="16"/>
      <c r="AB7" s="320"/>
      <c r="AC7" s="320"/>
      <c r="AD7" s="320"/>
      <c r="AE7" s="320"/>
      <c r="AF7" s="320"/>
      <c r="AG7" s="320"/>
      <c r="AH7" s="320"/>
      <c r="AI7" s="320"/>
      <c r="AJ7" s="320"/>
      <c r="AK7" s="320"/>
    </row>
    <row r="8" spans="2:50" ht="3.95" customHeight="1" x14ac:dyDescent="0.3">
      <c r="C8" s="17"/>
      <c r="D8" s="18"/>
      <c r="E8" s="18"/>
      <c r="F8" s="18"/>
      <c r="G8" s="18"/>
      <c r="H8" s="18"/>
      <c r="I8" s="18"/>
      <c r="J8" s="18"/>
      <c r="K8" s="19"/>
      <c r="L8" s="19"/>
      <c r="M8" s="19"/>
      <c r="N8" s="19"/>
      <c r="O8" s="19"/>
      <c r="P8" s="19"/>
      <c r="Q8" s="20"/>
      <c r="R8" s="20"/>
      <c r="S8" s="20"/>
      <c r="T8" s="20"/>
      <c r="U8" s="20"/>
      <c r="V8" s="20"/>
      <c r="W8" s="20"/>
      <c r="X8" s="20"/>
      <c r="Y8" s="21"/>
      <c r="AB8" s="17"/>
      <c r="AC8" s="18"/>
      <c r="AD8" s="18"/>
      <c r="AE8" s="18"/>
      <c r="AF8" s="18"/>
      <c r="AG8" s="18"/>
      <c r="AH8" s="18"/>
      <c r="AI8" s="18"/>
      <c r="AJ8" s="19"/>
      <c r="AK8" s="19"/>
      <c r="AL8" s="19"/>
      <c r="AM8" s="19"/>
      <c r="AN8" s="19"/>
      <c r="AO8" s="19"/>
      <c r="AP8" s="20"/>
      <c r="AQ8" s="20"/>
      <c r="AR8" s="20"/>
      <c r="AS8" s="20"/>
      <c r="AT8" s="20"/>
      <c r="AU8" s="20"/>
      <c r="AV8" s="20"/>
      <c r="AW8" s="20"/>
      <c r="AX8" s="21"/>
    </row>
    <row r="9" spans="2:50" ht="15.95" customHeight="1" x14ac:dyDescent="0.3">
      <c r="B9" s="22">
        <v>1</v>
      </c>
      <c r="C9" s="23"/>
      <c r="D9" s="24"/>
      <c r="E9" s="25"/>
      <c r="F9" s="25"/>
      <c r="G9" s="25"/>
      <c r="H9" s="25"/>
      <c r="I9" s="25"/>
      <c r="J9" s="25"/>
      <c r="K9" s="11"/>
      <c r="L9" s="11"/>
      <c r="M9" s="11"/>
      <c r="N9" s="11"/>
      <c r="O9" s="11"/>
      <c r="P9" s="11"/>
      <c r="Q9" s="26"/>
      <c r="R9" s="26"/>
      <c r="S9" s="26"/>
      <c r="T9" s="26"/>
      <c r="U9" s="26"/>
      <c r="V9" s="26"/>
      <c r="W9" s="26"/>
      <c r="X9" s="136"/>
      <c r="Y9" s="138"/>
      <c r="AB9" s="23"/>
      <c r="AC9" s="24"/>
      <c r="AD9" s="25"/>
      <c r="AE9" s="25"/>
      <c r="AF9" s="25"/>
      <c r="AG9" s="25"/>
      <c r="AH9" s="25"/>
      <c r="AI9" s="25"/>
      <c r="AJ9" s="11"/>
      <c r="AK9" s="11"/>
      <c r="AL9" s="11"/>
      <c r="AM9" s="11"/>
      <c r="AN9" s="11"/>
      <c r="AO9" s="11"/>
      <c r="AP9" s="26"/>
      <c r="AQ9" s="26"/>
      <c r="AR9" s="26"/>
      <c r="AS9" s="26"/>
      <c r="AT9" s="26"/>
      <c r="AU9" s="26"/>
      <c r="AV9" s="26"/>
      <c r="AW9" s="136"/>
      <c r="AX9" s="138"/>
    </row>
    <row r="10" spans="2:50" ht="15.95" customHeight="1" x14ac:dyDescent="0.3">
      <c r="B10" s="22">
        <v>2</v>
      </c>
      <c r="C10" s="23"/>
      <c r="D10" s="27"/>
      <c r="E10" s="28" t="s">
        <v>326</v>
      </c>
      <c r="F10" s="29"/>
      <c r="G10" s="29"/>
      <c r="H10" s="29"/>
      <c r="I10" s="29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30" t="s">
        <v>321</v>
      </c>
      <c r="V10" s="11"/>
      <c r="X10" s="137"/>
      <c r="Y10" s="138"/>
      <c r="AB10" s="23"/>
      <c r="AC10" s="27"/>
      <c r="AD10" s="28" t="s">
        <v>10</v>
      </c>
      <c r="AE10" s="29"/>
      <c r="AF10" s="29"/>
      <c r="AG10" s="29"/>
      <c r="AH10" s="29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30"/>
      <c r="AU10" s="11"/>
      <c r="AW10" s="137"/>
      <c r="AX10" s="138"/>
    </row>
    <row r="11" spans="2:50" ht="15.95" customHeight="1" x14ac:dyDescent="0.3">
      <c r="B11" s="22">
        <v>3</v>
      </c>
      <c r="C11" s="23"/>
      <c r="D11" s="27"/>
      <c r="E11" s="32" t="s">
        <v>225</v>
      </c>
      <c r="F11" s="29"/>
      <c r="G11" s="29"/>
      <c r="H11" s="29"/>
      <c r="I11" s="29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30"/>
      <c r="V11" s="11"/>
      <c r="X11" s="137"/>
      <c r="Y11" s="138"/>
      <c r="AB11" s="23"/>
      <c r="AC11" s="27"/>
      <c r="AD11" s="32" t="s">
        <v>225</v>
      </c>
      <c r="AE11" s="29"/>
      <c r="AF11" s="29"/>
      <c r="AG11" s="29"/>
      <c r="AH11" s="29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30"/>
      <c r="AU11" s="11"/>
      <c r="AW11" s="137"/>
      <c r="AX11" s="138"/>
    </row>
    <row r="12" spans="2:50" ht="15.95" customHeight="1" x14ac:dyDescent="0.3">
      <c r="B12" s="22">
        <v>4</v>
      </c>
      <c r="C12" s="23"/>
      <c r="D12" s="27"/>
      <c r="E12" s="32" t="s">
        <v>223</v>
      </c>
      <c r="F12" s="29"/>
      <c r="G12" s="29"/>
      <c r="H12" s="29"/>
      <c r="I12" s="29"/>
      <c r="J12" s="11"/>
      <c r="K12" s="11"/>
      <c r="L12" s="11"/>
      <c r="M12" s="11"/>
      <c r="N12" s="11"/>
      <c r="O12" s="11"/>
      <c r="P12" s="11"/>
      <c r="Q12" s="11"/>
      <c r="R12" s="11"/>
      <c r="S12" s="113"/>
      <c r="T12" s="11"/>
      <c r="U12" s="30"/>
      <c r="V12" s="11"/>
      <c r="X12" s="137"/>
      <c r="Y12" s="138"/>
      <c r="AB12" s="23"/>
      <c r="AC12" s="27"/>
      <c r="AD12" s="32" t="s">
        <v>223</v>
      </c>
      <c r="AE12" s="29"/>
      <c r="AF12" s="29"/>
      <c r="AG12" s="29"/>
      <c r="AH12" s="29"/>
      <c r="AI12" s="11"/>
      <c r="AJ12" s="11"/>
      <c r="AK12" s="11"/>
      <c r="AL12" s="11"/>
      <c r="AM12" s="11"/>
      <c r="AN12" s="11"/>
      <c r="AO12" s="11"/>
      <c r="AP12" s="11"/>
      <c r="AQ12" s="11"/>
      <c r="AR12" s="113"/>
      <c r="AS12" s="11"/>
      <c r="AT12" s="30"/>
      <c r="AU12" s="11"/>
      <c r="AW12" s="137"/>
      <c r="AX12" s="138"/>
    </row>
    <row r="13" spans="2:50" ht="15.95" customHeight="1" thickBot="1" x14ac:dyDescent="0.35">
      <c r="B13" s="22">
        <v>5</v>
      </c>
      <c r="C13" s="23"/>
      <c r="D13" s="27"/>
      <c r="E13" s="28"/>
      <c r="F13" s="29"/>
      <c r="G13" s="29"/>
      <c r="H13" s="29"/>
      <c r="I13" s="29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30"/>
      <c r="V13" s="11"/>
      <c r="X13" s="137"/>
      <c r="Y13" s="138"/>
      <c r="AB13" s="23"/>
      <c r="AC13" s="27"/>
      <c r="AD13" s="28"/>
      <c r="AE13" s="29"/>
      <c r="AF13" s="29"/>
      <c r="AG13" s="29"/>
      <c r="AH13" s="29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30"/>
      <c r="AU13" s="11"/>
      <c r="AW13" s="137"/>
      <c r="AX13" s="138"/>
    </row>
    <row r="14" spans="2:50" ht="15.95" customHeight="1" x14ac:dyDescent="0.3">
      <c r="B14" s="22">
        <v>6</v>
      </c>
      <c r="C14" s="23"/>
      <c r="D14" s="27"/>
      <c r="E14" s="28"/>
      <c r="F14" s="78"/>
      <c r="G14" s="83"/>
      <c r="H14" s="260" t="s">
        <v>16</v>
      </c>
      <c r="I14" s="261"/>
      <c r="J14" s="261"/>
      <c r="K14" s="261"/>
      <c r="L14" s="262"/>
      <c r="M14" s="260" t="s">
        <v>17</v>
      </c>
      <c r="N14" s="261"/>
      <c r="O14" s="261"/>
      <c r="P14" s="262"/>
      <c r="Q14" s="260" t="s">
        <v>18</v>
      </c>
      <c r="R14" s="261"/>
      <c r="S14" s="261"/>
      <c r="T14" s="262"/>
      <c r="U14" s="118"/>
      <c r="V14" s="7"/>
      <c r="W14" s="106"/>
      <c r="X14" s="137"/>
      <c r="Y14" s="138"/>
      <c r="AB14" s="23"/>
      <c r="AC14" s="27"/>
      <c r="AD14" s="28"/>
      <c r="AE14" s="78"/>
      <c r="AF14" s="83"/>
      <c r="AG14" s="260" t="s">
        <v>16</v>
      </c>
      <c r="AH14" s="261"/>
      <c r="AI14" s="261"/>
      <c r="AJ14" s="261"/>
      <c r="AK14" s="262"/>
      <c r="AL14" s="260" t="s">
        <v>17</v>
      </c>
      <c r="AM14" s="261"/>
      <c r="AN14" s="261"/>
      <c r="AO14" s="262"/>
      <c r="AP14" s="260" t="s">
        <v>18</v>
      </c>
      <c r="AQ14" s="261"/>
      <c r="AR14" s="261"/>
      <c r="AS14" s="262"/>
      <c r="AT14" s="118"/>
      <c r="AU14" s="7"/>
      <c r="AV14" s="106"/>
      <c r="AW14" s="137"/>
      <c r="AX14" s="138"/>
    </row>
    <row r="15" spans="2:50" ht="15.95" customHeight="1" x14ac:dyDescent="0.3">
      <c r="B15" s="22">
        <v>7</v>
      </c>
      <c r="C15" s="23"/>
      <c r="D15" s="27"/>
      <c r="E15" s="28"/>
      <c r="F15" s="79" t="s">
        <v>226</v>
      </c>
      <c r="G15" s="84"/>
      <c r="H15" s="334">
        <v>55</v>
      </c>
      <c r="I15" s="334"/>
      <c r="J15" s="334"/>
      <c r="K15" s="334"/>
      <c r="L15" s="334"/>
      <c r="M15" s="334">
        <v>50</v>
      </c>
      <c r="N15" s="334"/>
      <c r="O15" s="334"/>
      <c r="P15" s="334"/>
      <c r="Q15" s="334">
        <v>35</v>
      </c>
      <c r="R15" s="334"/>
      <c r="S15" s="334"/>
      <c r="T15" s="334"/>
      <c r="U15" s="92" t="s">
        <v>232</v>
      </c>
      <c r="V15" s="85"/>
      <c r="W15" s="80"/>
      <c r="X15" s="137"/>
      <c r="Y15" s="138"/>
      <c r="AB15" s="23"/>
      <c r="AC15" s="27"/>
      <c r="AD15" s="28"/>
      <c r="AE15" s="79" t="s">
        <v>226</v>
      </c>
      <c r="AF15" s="84"/>
      <c r="AG15" s="334">
        <f>IF($U$10="British",H15,H15*9/5+32)</f>
        <v>55</v>
      </c>
      <c r="AH15" s="334"/>
      <c r="AI15" s="334"/>
      <c r="AJ15" s="334"/>
      <c r="AK15" s="334"/>
      <c r="AL15" s="334">
        <f>IF($U$10="British",M15,M15*9/5+32)</f>
        <v>50</v>
      </c>
      <c r="AM15" s="334"/>
      <c r="AN15" s="334"/>
      <c r="AO15" s="334"/>
      <c r="AP15" s="334">
        <f>IF($U$10="British",Q15,Q15*9/5+32)</f>
        <v>35</v>
      </c>
      <c r="AQ15" s="334"/>
      <c r="AR15" s="334"/>
      <c r="AS15" s="334"/>
      <c r="AT15" s="92" t="s">
        <v>232</v>
      </c>
      <c r="AU15" s="85"/>
      <c r="AV15" s="80"/>
      <c r="AW15" s="137"/>
      <c r="AX15" s="138"/>
    </row>
    <row r="16" spans="2:50" ht="15.95" customHeight="1" x14ac:dyDescent="0.3">
      <c r="B16" s="22">
        <v>8</v>
      </c>
      <c r="C16" s="23"/>
      <c r="D16" s="27"/>
      <c r="E16" s="28"/>
      <c r="F16" s="79" t="s">
        <v>220</v>
      </c>
      <c r="G16" s="85"/>
      <c r="H16" s="334">
        <v>0.12</v>
      </c>
      <c r="I16" s="334"/>
      <c r="J16" s="334"/>
      <c r="K16" s="334"/>
      <c r="L16" s="334"/>
      <c r="M16" s="334">
        <v>1.5100000000000001E-2</v>
      </c>
      <c r="N16" s="334"/>
      <c r="O16" s="334"/>
      <c r="P16" s="334"/>
      <c r="Q16" s="334">
        <v>1.4999999999999999E-2</v>
      </c>
      <c r="R16" s="334"/>
      <c r="S16" s="334"/>
      <c r="T16" s="334"/>
      <c r="U16" s="92" t="s">
        <v>215</v>
      </c>
      <c r="V16" s="85"/>
      <c r="W16" s="80"/>
      <c r="X16" s="137"/>
      <c r="Y16" s="138"/>
      <c r="AB16" s="23"/>
      <c r="AC16" s="27"/>
      <c r="AD16" s="28"/>
      <c r="AE16" s="79" t="s">
        <v>220</v>
      </c>
      <c r="AF16" s="85"/>
      <c r="AG16" s="334">
        <f>IF($U$10="British",H16,H16/1.488164)</f>
        <v>0.12</v>
      </c>
      <c r="AH16" s="334"/>
      <c r="AI16" s="334"/>
      <c r="AJ16" s="334"/>
      <c r="AK16" s="334"/>
      <c r="AL16" s="334">
        <f>IF($U$10="British",M16,M16/1.488164)</f>
        <v>1.5100000000000001E-2</v>
      </c>
      <c r="AM16" s="334"/>
      <c r="AN16" s="334"/>
      <c r="AO16" s="334"/>
      <c r="AP16" s="334">
        <f>IF($U$10="British",Q16,Q16/1.488164)</f>
        <v>1.4999999999999999E-2</v>
      </c>
      <c r="AQ16" s="334"/>
      <c r="AR16" s="334"/>
      <c r="AS16" s="334"/>
      <c r="AT16" s="92" t="s">
        <v>215</v>
      </c>
      <c r="AU16" s="85"/>
      <c r="AV16" s="80"/>
      <c r="AW16" s="137"/>
      <c r="AX16" s="138"/>
    </row>
    <row r="17" spans="2:61" ht="15.95" customHeight="1" x14ac:dyDescent="0.3">
      <c r="B17" s="22">
        <v>9</v>
      </c>
      <c r="C17" s="23"/>
      <c r="D17" s="27"/>
      <c r="E17" s="28"/>
      <c r="F17" s="102" t="s">
        <v>227</v>
      </c>
      <c r="G17" s="95"/>
      <c r="H17" s="334">
        <v>0.6</v>
      </c>
      <c r="I17" s="334"/>
      <c r="J17" s="334"/>
      <c r="K17" s="334"/>
      <c r="L17" s="334"/>
      <c r="M17" s="334">
        <v>0.25</v>
      </c>
      <c r="N17" s="334"/>
      <c r="O17" s="334"/>
      <c r="P17" s="334"/>
      <c r="Q17" s="334">
        <v>0.25</v>
      </c>
      <c r="R17" s="334"/>
      <c r="S17" s="334"/>
      <c r="T17" s="334"/>
      <c r="U17" s="92" t="s">
        <v>233</v>
      </c>
      <c r="V17" s="85"/>
      <c r="W17" s="80"/>
      <c r="X17" s="137"/>
      <c r="Y17" s="138"/>
      <c r="AB17" s="23"/>
      <c r="AC17" s="27"/>
      <c r="AD17" s="28"/>
      <c r="AE17" s="102" t="s">
        <v>227</v>
      </c>
      <c r="AF17" s="95"/>
      <c r="AG17" s="334">
        <f t="shared" ref="AG17:AG18" si="0">IF($U$10="British",H17,H17)</f>
        <v>0.6</v>
      </c>
      <c r="AH17" s="334"/>
      <c r="AI17" s="334"/>
      <c r="AJ17" s="334"/>
      <c r="AK17" s="334"/>
      <c r="AL17" s="334">
        <f t="shared" ref="AL17:AL18" si="1">IF($U$10="British",M17,M17)</f>
        <v>0.25</v>
      </c>
      <c r="AM17" s="334"/>
      <c r="AN17" s="334"/>
      <c r="AO17" s="334"/>
      <c r="AP17" s="334">
        <f>IF($U$10="British",Q17,Q17)</f>
        <v>0.25</v>
      </c>
      <c r="AQ17" s="334"/>
      <c r="AR17" s="334"/>
      <c r="AS17" s="334"/>
      <c r="AT17" s="92" t="s">
        <v>233</v>
      </c>
      <c r="AU17" s="85"/>
      <c r="AV17" s="80"/>
      <c r="AW17" s="137"/>
      <c r="AX17" s="138"/>
    </row>
    <row r="18" spans="2:61" ht="15.95" customHeight="1" x14ac:dyDescent="0.3">
      <c r="B18" s="22">
        <v>10</v>
      </c>
      <c r="C18" s="23"/>
      <c r="D18" s="27"/>
      <c r="E18" s="28"/>
      <c r="F18" s="79" t="s">
        <v>228</v>
      </c>
      <c r="G18" s="85"/>
      <c r="H18" s="334">
        <v>40</v>
      </c>
      <c r="I18" s="334"/>
      <c r="J18" s="334"/>
      <c r="K18" s="334"/>
      <c r="L18" s="334"/>
      <c r="M18" s="334">
        <v>7.0000000000000001E-3</v>
      </c>
      <c r="N18" s="334"/>
      <c r="O18" s="334"/>
      <c r="P18" s="334"/>
      <c r="Q18" s="334">
        <v>7.0000000000000001E-3</v>
      </c>
      <c r="R18" s="334"/>
      <c r="S18" s="334"/>
      <c r="T18" s="334"/>
      <c r="U18" s="92" t="s">
        <v>234</v>
      </c>
      <c r="V18" s="85"/>
      <c r="W18" s="80"/>
      <c r="X18" s="137"/>
      <c r="Y18" s="138"/>
      <c r="AB18" s="23"/>
      <c r="AC18" s="27"/>
      <c r="AD18" s="28"/>
      <c r="AE18" s="79" t="s">
        <v>228</v>
      </c>
      <c r="AF18" s="85"/>
      <c r="AG18" s="334">
        <f t="shared" si="0"/>
        <v>40</v>
      </c>
      <c r="AH18" s="334"/>
      <c r="AI18" s="334"/>
      <c r="AJ18" s="334"/>
      <c r="AK18" s="334"/>
      <c r="AL18" s="334">
        <f t="shared" si="1"/>
        <v>7.0000000000000001E-3</v>
      </c>
      <c r="AM18" s="334"/>
      <c r="AN18" s="334"/>
      <c r="AO18" s="334"/>
      <c r="AP18" s="334">
        <f>IF($U$10="British",Q18,Q18)</f>
        <v>7.0000000000000001E-3</v>
      </c>
      <c r="AQ18" s="334"/>
      <c r="AR18" s="334"/>
      <c r="AS18" s="334"/>
      <c r="AT18" s="92" t="s">
        <v>234</v>
      </c>
      <c r="AU18" s="85"/>
      <c r="AV18" s="80"/>
      <c r="AW18" s="137"/>
      <c r="AX18" s="138"/>
    </row>
    <row r="19" spans="2:61" ht="15.95" customHeight="1" x14ac:dyDescent="0.3">
      <c r="B19" s="22">
        <v>11</v>
      </c>
      <c r="C19" s="23"/>
      <c r="D19" s="27"/>
      <c r="E19" s="28"/>
      <c r="F19" s="79" t="s">
        <v>229</v>
      </c>
      <c r="G19" s="85"/>
      <c r="H19" s="334">
        <v>46.8</v>
      </c>
      <c r="I19" s="334"/>
      <c r="J19" s="334"/>
      <c r="K19" s="334"/>
      <c r="L19" s="334"/>
      <c r="M19" s="334">
        <v>0.08</v>
      </c>
      <c r="N19" s="334"/>
      <c r="O19" s="334"/>
      <c r="P19" s="334"/>
      <c r="Q19" s="334">
        <v>0.08</v>
      </c>
      <c r="R19" s="334"/>
      <c r="S19" s="334"/>
      <c r="T19" s="334"/>
      <c r="U19" s="92" t="s">
        <v>235</v>
      </c>
      <c r="V19" s="85"/>
      <c r="W19" s="80"/>
      <c r="X19" s="137"/>
      <c r="Y19" s="138"/>
      <c r="AB19" s="23"/>
      <c r="AC19" s="27"/>
      <c r="AD19" s="28"/>
      <c r="AE19" s="79" t="s">
        <v>229</v>
      </c>
      <c r="AF19" s="85"/>
      <c r="AG19" s="334">
        <f>IF($U$10="British",H19,H19*(0.3048)^3/0.4536)</f>
        <v>46.8</v>
      </c>
      <c r="AH19" s="334"/>
      <c r="AI19" s="334"/>
      <c r="AJ19" s="334"/>
      <c r="AK19" s="334"/>
      <c r="AL19" s="334">
        <f>IF($U$10="British",M19,M19*(0.3048)^3/0.4536)</f>
        <v>0.08</v>
      </c>
      <c r="AM19" s="334"/>
      <c r="AN19" s="334"/>
      <c r="AO19" s="334"/>
      <c r="AP19" s="334">
        <f>IF($U$10="British",Q19,Q19*(0.3048)^3/0.4536)</f>
        <v>0.08</v>
      </c>
      <c r="AQ19" s="334"/>
      <c r="AR19" s="334"/>
      <c r="AS19" s="334"/>
      <c r="AT19" s="92" t="s">
        <v>235</v>
      </c>
      <c r="AU19" s="85"/>
      <c r="AV19" s="80"/>
      <c r="AW19" s="137"/>
      <c r="AX19" s="138"/>
    </row>
    <row r="20" spans="2:61" ht="15.95" customHeight="1" x14ac:dyDescent="0.3">
      <c r="B20" s="22">
        <v>12</v>
      </c>
      <c r="C20" s="23"/>
      <c r="D20" s="27"/>
      <c r="E20" s="28"/>
      <c r="F20" s="102" t="s">
        <v>230</v>
      </c>
      <c r="G20" s="38"/>
      <c r="H20" s="338">
        <v>9.9999999999999995E-7</v>
      </c>
      <c r="I20" s="339"/>
      <c r="J20" s="339"/>
      <c r="K20" s="339"/>
      <c r="L20" s="340"/>
      <c r="M20" s="338">
        <v>2E-3</v>
      </c>
      <c r="N20" s="339"/>
      <c r="O20" s="339"/>
      <c r="P20" s="340"/>
      <c r="Q20" s="338">
        <v>2E-3</v>
      </c>
      <c r="R20" s="339"/>
      <c r="S20" s="339"/>
      <c r="T20" s="340"/>
      <c r="U20" s="344" t="s">
        <v>245</v>
      </c>
      <c r="V20" s="345"/>
      <c r="W20" s="346"/>
      <c r="X20" s="137"/>
      <c r="Y20" s="138"/>
      <c r="AB20" s="23"/>
      <c r="AC20" s="27"/>
      <c r="AD20" s="28"/>
      <c r="AE20" s="102" t="s">
        <v>230</v>
      </c>
      <c r="AF20" s="38"/>
      <c r="AG20" s="338">
        <f>IF($U$10="British",H20,H20/1.8)</f>
        <v>9.9999999999999995E-7</v>
      </c>
      <c r="AH20" s="339"/>
      <c r="AI20" s="339"/>
      <c r="AJ20" s="339"/>
      <c r="AK20" s="340"/>
      <c r="AL20" s="338">
        <f>IF($U$10="British",M20,M20/1.8)</f>
        <v>2E-3</v>
      </c>
      <c r="AM20" s="339"/>
      <c r="AN20" s="339"/>
      <c r="AO20" s="340"/>
      <c r="AP20" s="338">
        <f>IF($U$10="British",Q20,Q20/1.8)</f>
        <v>2E-3</v>
      </c>
      <c r="AQ20" s="339"/>
      <c r="AR20" s="339"/>
      <c r="AS20" s="340"/>
      <c r="AT20" s="344" t="s">
        <v>245</v>
      </c>
      <c r="AU20" s="345"/>
      <c r="AV20" s="346"/>
      <c r="AW20" s="137"/>
      <c r="AX20" s="138"/>
    </row>
    <row r="21" spans="2:61" ht="15.95" customHeight="1" thickBot="1" x14ac:dyDescent="0.35">
      <c r="B21" s="22">
        <v>13</v>
      </c>
      <c r="C21" s="23"/>
      <c r="D21" s="27"/>
      <c r="E21" s="28"/>
      <c r="F21" s="111" t="s">
        <v>231</v>
      </c>
      <c r="G21" s="37"/>
      <c r="H21" s="341"/>
      <c r="I21" s="342"/>
      <c r="J21" s="342"/>
      <c r="K21" s="342"/>
      <c r="L21" s="343"/>
      <c r="M21" s="341"/>
      <c r="N21" s="342"/>
      <c r="O21" s="342"/>
      <c r="P21" s="343"/>
      <c r="Q21" s="341"/>
      <c r="R21" s="342"/>
      <c r="S21" s="342"/>
      <c r="T21" s="343"/>
      <c r="U21" s="347"/>
      <c r="V21" s="348"/>
      <c r="W21" s="349"/>
      <c r="X21" s="137"/>
      <c r="Y21" s="138"/>
      <c r="AB21" s="23"/>
      <c r="AC21" s="27"/>
      <c r="AD21" s="28"/>
      <c r="AE21" s="111" t="s">
        <v>231</v>
      </c>
      <c r="AF21" s="37"/>
      <c r="AG21" s="341"/>
      <c r="AH21" s="342"/>
      <c r="AI21" s="342"/>
      <c r="AJ21" s="342"/>
      <c r="AK21" s="343"/>
      <c r="AL21" s="341"/>
      <c r="AM21" s="342"/>
      <c r="AN21" s="342"/>
      <c r="AO21" s="343"/>
      <c r="AP21" s="341"/>
      <c r="AQ21" s="342"/>
      <c r="AR21" s="342"/>
      <c r="AS21" s="343"/>
      <c r="AT21" s="347"/>
      <c r="AU21" s="348"/>
      <c r="AV21" s="349"/>
      <c r="AW21" s="137"/>
      <c r="AX21" s="138"/>
    </row>
    <row r="22" spans="2:61" ht="15.95" customHeight="1" x14ac:dyDescent="0.3">
      <c r="B22" s="22">
        <v>14</v>
      </c>
      <c r="C22" s="23"/>
      <c r="D22" s="27"/>
      <c r="E22" s="28"/>
      <c r="F22" s="22"/>
      <c r="H22" s="29"/>
      <c r="I22" s="29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30"/>
      <c r="V22" s="104"/>
      <c r="W22" s="104"/>
      <c r="X22" s="137"/>
      <c r="Y22" s="138"/>
      <c r="AB22" s="23"/>
      <c r="AC22" s="27"/>
      <c r="AD22" s="28"/>
      <c r="AE22" s="22"/>
      <c r="AG22" s="29"/>
      <c r="AH22" s="29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30"/>
      <c r="AU22" s="104"/>
      <c r="AV22" s="104"/>
      <c r="AW22" s="137"/>
      <c r="AX22" s="138"/>
    </row>
    <row r="23" spans="2:61" ht="15.95" customHeight="1" x14ac:dyDescent="0.3">
      <c r="B23" s="22">
        <v>15</v>
      </c>
      <c r="C23" s="23"/>
      <c r="D23" s="27"/>
      <c r="E23" s="32" t="s">
        <v>330</v>
      </c>
      <c r="O23" s="32" t="s">
        <v>331</v>
      </c>
      <c r="X23" s="158"/>
      <c r="Y23" s="138"/>
      <c r="AB23" s="23"/>
      <c r="AC23" s="27"/>
      <c r="AD23" s="32" t="s">
        <v>236</v>
      </c>
      <c r="AE23" s="22"/>
      <c r="AG23" s="29"/>
      <c r="AH23" s="29"/>
      <c r="AI23" s="11"/>
      <c r="AJ23" s="11"/>
      <c r="AK23" s="11"/>
      <c r="AL23" s="11"/>
      <c r="AM23" s="11"/>
      <c r="AN23" s="32" t="s">
        <v>240</v>
      </c>
      <c r="AX23" s="138"/>
    </row>
    <row r="24" spans="2:61" ht="15.95" customHeight="1" thickBot="1" x14ac:dyDescent="0.35">
      <c r="B24" s="22">
        <v>16</v>
      </c>
      <c r="C24" s="23"/>
      <c r="D24" s="27"/>
      <c r="X24" s="158"/>
      <c r="Y24" s="138"/>
      <c r="AB24" s="23"/>
      <c r="AC24" s="27"/>
      <c r="AD24" s="32"/>
      <c r="AE24" s="22"/>
      <c r="AG24" s="29"/>
      <c r="AH24" s="29"/>
      <c r="AI24" s="11"/>
      <c r="AJ24" s="11"/>
      <c r="AK24" s="11"/>
      <c r="AL24" s="11"/>
      <c r="AM24" s="11"/>
      <c r="AX24" s="138"/>
    </row>
    <row r="25" spans="2:61" ht="15.95" customHeight="1" thickBot="1" x14ac:dyDescent="0.35">
      <c r="B25" s="22">
        <v>17</v>
      </c>
      <c r="C25" s="23"/>
      <c r="D25" s="27"/>
      <c r="F25" s="114" t="s">
        <v>39</v>
      </c>
      <c r="G25" s="115"/>
      <c r="H25" s="356">
        <v>10</v>
      </c>
      <c r="I25" s="357"/>
      <c r="J25" s="358"/>
      <c r="K25" s="91" t="s">
        <v>216</v>
      </c>
      <c r="L25" s="123"/>
      <c r="M25" s="1"/>
      <c r="N25" s="88"/>
      <c r="P25" s="78" t="s">
        <v>241</v>
      </c>
      <c r="Q25" s="83"/>
      <c r="R25" s="99"/>
      <c r="S25" s="265">
        <f>1/1000</f>
        <v>1E-3</v>
      </c>
      <c r="T25" s="322"/>
      <c r="U25" s="266"/>
      <c r="V25" s="91" t="s">
        <v>244</v>
      </c>
      <c r="W25" s="106"/>
      <c r="X25" s="22"/>
      <c r="Y25" s="138"/>
      <c r="AB25" s="23"/>
      <c r="AC25" s="27"/>
      <c r="AD25" s="32"/>
      <c r="AE25" s="114" t="s">
        <v>39</v>
      </c>
      <c r="AF25" s="115"/>
      <c r="AG25" s="356">
        <f>IF($U$10="British",H25,H25/0.44704)</f>
        <v>10</v>
      </c>
      <c r="AH25" s="357"/>
      <c r="AI25" s="358"/>
      <c r="AJ25" s="91" t="s">
        <v>216</v>
      </c>
      <c r="AK25" s="123"/>
      <c r="AL25" s="1"/>
      <c r="AM25" s="88"/>
      <c r="AO25" s="78" t="s">
        <v>241</v>
      </c>
      <c r="AP25" s="83"/>
      <c r="AQ25" s="99"/>
      <c r="AR25" s="353">
        <f>IF($U$10="British",S25,S25*4.882431)</f>
        <v>1E-3</v>
      </c>
      <c r="AS25" s="354"/>
      <c r="AT25" s="355"/>
      <c r="AU25" s="91" t="s">
        <v>244</v>
      </c>
      <c r="AV25" s="106"/>
      <c r="AW25" s="22"/>
      <c r="AX25" s="138"/>
      <c r="BG25" s="11"/>
      <c r="BH25" s="11"/>
      <c r="BI25" s="11"/>
    </row>
    <row r="26" spans="2:61" ht="15.95" customHeight="1" thickTop="1" x14ac:dyDescent="0.3">
      <c r="B26" s="22">
        <v>18</v>
      </c>
      <c r="C26" s="23"/>
      <c r="D26" s="27"/>
      <c r="F26" s="110" t="s">
        <v>211</v>
      </c>
      <c r="G26" s="22"/>
      <c r="H26" s="335" t="s">
        <v>218</v>
      </c>
      <c r="I26" s="336"/>
      <c r="J26" s="336"/>
      <c r="K26" s="336"/>
      <c r="L26" s="336"/>
      <c r="M26" s="336"/>
      <c r="N26" s="337"/>
      <c r="P26" s="79" t="s">
        <v>242</v>
      </c>
      <c r="Q26" s="84"/>
      <c r="R26" s="100"/>
      <c r="S26" s="252">
        <f>1/800</f>
        <v>1.25E-3</v>
      </c>
      <c r="T26" s="253"/>
      <c r="U26" s="254"/>
      <c r="V26" s="92" t="s">
        <v>244</v>
      </c>
      <c r="W26" s="21"/>
      <c r="X26" s="22"/>
      <c r="Y26" s="138"/>
      <c r="AB26" s="23"/>
      <c r="AC26" s="27"/>
      <c r="AD26" s="32"/>
      <c r="AE26" s="110" t="s">
        <v>211</v>
      </c>
      <c r="AF26" s="22"/>
      <c r="AG26" s="335" t="str">
        <f>H26</f>
        <v xml:space="preserve">Commonly used </v>
      </c>
      <c r="AH26" s="336"/>
      <c r="AI26" s="336"/>
      <c r="AJ26" s="336"/>
      <c r="AK26" s="336"/>
      <c r="AL26" s="336"/>
      <c r="AM26" s="337"/>
      <c r="AO26" s="79" t="s">
        <v>242</v>
      </c>
      <c r="AP26" s="84"/>
      <c r="AQ26" s="100"/>
      <c r="AR26" s="362">
        <f>IF($U$10="British",S26,S26*4.882431)</f>
        <v>1.25E-3</v>
      </c>
      <c r="AS26" s="363"/>
      <c r="AT26" s="364"/>
      <c r="AU26" s="92" t="s">
        <v>244</v>
      </c>
      <c r="AV26" s="21"/>
      <c r="AW26" s="22"/>
      <c r="AX26" s="138"/>
    </row>
    <row r="27" spans="2:61" ht="15.95" customHeight="1" x14ac:dyDescent="0.3">
      <c r="B27" s="22">
        <v>19</v>
      </c>
      <c r="C27" s="23"/>
      <c r="D27" s="27"/>
      <c r="F27" s="79" t="s">
        <v>212</v>
      </c>
      <c r="G27" s="84"/>
      <c r="H27" s="191">
        <f>VLOOKUP(H26,Emissivity_1,4,0)</f>
        <v>0.9</v>
      </c>
      <c r="I27" s="192"/>
      <c r="J27" s="192"/>
      <c r="K27" s="192"/>
      <c r="L27" s="192"/>
      <c r="M27" s="192"/>
      <c r="N27" s="359"/>
      <c r="P27" s="79" t="str">
        <f>IF($H$38="Roof",$H$38,"")</f>
        <v>Roof</v>
      </c>
      <c r="Q27" s="84"/>
      <c r="R27" s="100"/>
      <c r="S27" s="252">
        <f>1/1000</f>
        <v>1E-3</v>
      </c>
      <c r="T27" s="253"/>
      <c r="U27" s="254"/>
      <c r="V27" s="92" t="s">
        <v>244</v>
      </c>
      <c r="W27" s="21"/>
      <c r="Y27" s="138"/>
      <c r="AB27" s="23"/>
      <c r="AC27" s="27"/>
      <c r="AD27" s="32"/>
      <c r="AE27" s="79" t="s">
        <v>212</v>
      </c>
      <c r="AF27" s="84"/>
      <c r="AG27" s="191">
        <f>H27</f>
        <v>0.9</v>
      </c>
      <c r="AH27" s="192"/>
      <c r="AI27" s="192"/>
      <c r="AJ27" s="192"/>
      <c r="AK27" s="192"/>
      <c r="AL27" s="192"/>
      <c r="AM27" s="359"/>
      <c r="AO27" s="79" t="str">
        <f>IF($H$38="Roof",$H$38,"")</f>
        <v>Roof</v>
      </c>
      <c r="AP27" s="84"/>
      <c r="AQ27" s="100"/>
      <c r="AR27" s="365">
        <f>IF($U$10="British",S27,S27*4.882431)</f>
        <v>1E-3</v>
      </c>
      <c r="AS27" s="366"/>
      <c r="AT27" s="367"/>
      <c r="AU27" s="92" t="s">
        <v>243</v>
      </c>
      <c r="AV27" s="21"/>
      <c r="AX27" s="138"/>
    </row>
    <row r="28" spans="2:61" ht="15.95" customHeight="1" thickBot="1" x14ac:dyDescent="0.35">
      <c r="B28" s="22">
        <v>20</v>
      </c>
      <c r="C28" s="23"/>
      <c r="D28" s="27"/>
      <c r="F28" s="110" t="s">
        <v>58</v>
      </c>
      <c r="G28" s="22"/>
      <c r="H28" s="350">
        <v>0.9</v>
      </c>
      <c r="I28" s="351"/>
      <c r="J28" s="351"/>
      <c r="K28" s="351"/>
      <c r="L28" s="351"/>
      <c r="M28" s="351"/>
      <c r="N28" s="352"/>
      <c r="P28" s="81" t="str">
        <f>IF($H$39="No","Bottom","")</f>
        <v>Bottom</v>
      </c>
      <c r="Q28" s="86"/>
      <c r="R28" s="101"/>
      <c r="S28" s="255">
        <f>1/500</f>
        <v>2E-3</v>
      </c>
      <c r="T28" s="256"/>
      <c r="U28" s="257"/>
      <c r="V28" s="98" t="s">
        <v>244</v>
      </c>
      <c r="W28" s="105"/>
      <c r="Y28" s="138"/>
      <c r="AB28" s="23"/>
      <c r="AC28" s="27"/>
      <c r="AD28" s="32"/>
      <c r="AE28" s="110" t="s">
        <v>58</v>
      </c>
      <c r="AF28" s="22"/>
      <c r="AG28" s="350">
        <f>H28</f>
        <v>0.9</v>
      </c>
      <c r="AH28" s="351"/>
      <c r="AI28" s="351"/>
      <c r="AJ28" s="351"/>
      <c r="AK28" s="351"/>
      <c r="AL28" s="351"/>
      <c r="AM28" s="352"/>
      <c r="AO28" s="81" t="str">
        <f>IF($H$39="No","Bottom","")</f>
        <v>Bottom</v>
      </c>
      <c r="AP28" s="86"/>
      <c r="AQ28" s="101"/>
      <c r="AR28" s="255">
        <f>IF($U$10="British",S28,S28*4.882431)</f>
        <v>2E-3</v>
      </c>
      <c r="AS28" s="256"/>
      <c r="AT28" s="257"/>
      <c r="AU28" s="98" t="s">
        <v>243</v>
      </c>
      <c r="AV28" s="105"/>
      <c r="AX28" s="138"/>
    </row>
    <row r="29" spans="2:61" ht="15.95" customHeight="1" thickTop="1" x14ac:dyDescent="0.3">
      <c r="B29" s="22">
        <v>21</v>
      </c>
      <c r="C29" s="23"/>
      <c r="D29" s="27"/>
      <c r="F29" s="116" t="str">
        <f>IF(H39="No","Ground","")</f>
        <v>Ground</v>
      </c>
      <c r="G29" s="117"/>
      <c r="H29" s="104"/>
      <c r="N29" s="12"/>
      <c r="X29" s="137"/>
      <c r="Y29" s="138"/>
      <c r="AB29" s="23"/>
      <c r="AC29" s="27"/>
      <c r="AD29" s="28"/>
      <c r="AE29" s="116" t="str">
        <f>IF(AG39="No","Ground","")</f>
        <v>Ground</v>
      </c>
      <c r="AF29" s="117"/>
      <c r="AG29" s="104"/>
      <c r="AM29" s="12"/>
      <c r="AW29" s="137"/>
      <c r="AX29" s="138"/>
    </row>
    <row r="30" spans="2:61" ht="15.95" customHeight="1" x14ac:dyDescent="0.3">
      <c r="B30" s="22">
        <v>22</v>
      </c>
      <c r="C30" s="23"/>
      <c r="D30" s="27"/>
      <c r="F30" s="79" t="s">
        <v>213</v>
      </c>
      <c r="G30" s="84"/>
      <c r="H30" s="334">
        <v>40</v>
      </c>
      <c r="I30" s="334"/>
      <c r="J30" s="334"/>
      <c r="K30" s="152" t="s">
        <v>232</v>
      </c>
      <c r="L30" s="153"/>
      <c r="M30" s="153"/>
      <c r="N30" s="154"/>
      <c r="X30" s="137"/>
      <c r="Y30" s="138"/>
      <c r="AB30" s="23"/>
      <c r="AC30" s="27"/>
      <c r="AD30" s="28"/>
      <c r="AE30" s="79" t="s">
        <v>213</v>
      </c>
      <c r="AF30" s="84"/>
      <c r="AG30" s="334">
        <f>IF($U$10="British",H30,H30*9/5+32)</f>
        <v>40</v>
      </c>
      <c r="AH30" s="334"/>
      <c r="AI30" s="334"/>
      <c r="AJ30" s="368" t="s">
        <v>232</v>
      </c>
      <c r="AK30" s="369"/>
      <c r="AL30" s="369"/>
      <c r="AM30" s="370"/>
      <c r="AW30" s="137"/>
      <c r="AX30" s="138"/>
    </row>
    <row r="31" spans="2:61" ht="15.95" customHeight="1" thickBot="1" x14ac:dyDescent="0.35">
      <c r="B31" s="22">
        <v>23</v>
      </c>
      <c r="C31" s="23"/>
      <c r="D31" s="27"/>
      <c r="F31" s="81" t="s">
        <v>214</v>
      </c>
      <c r="G31" s="86"/>
      <c r="H31" s="371">
        <v>0.8</v>
      </c>
      <c r="I31" s="371"/>
      <c r="J31" s="371"/>
      <c r="K31" s="109" t="s">
        <v>215</v>
      </c>
      <c r="L31" s="121"/>
      <c r="M31" s="121"/>
      <c r="N31" s="122"/>
      <c r="X31" s="137"/>
      <c r="Y31" s="138"/>
      <c r="AB31" s="23"/>
      <c r="AC31" s="27"/>
      <c r="AD31" s="28"/>
      <c r="AE31" s="81" t="s">
        <v>214</v>
      </c>
      <c r="AF31" s="86"/>
      <c r="AG31" s="371">
        <f>IF($U$10="British",H31,H31/1.488164)</f>
        <v>0.8</v>
      </c>
      <c r="AH31" s="371"/>
      <c r="AI31" s="371"/>
      <c r="AJ31" s="109" t="s">
        <v>215</v>
      </c>
      <c r="AK31" s="121"/>
      <c r="AL31" s="121"/>
      <c r="AM31" s="122"/>
      <c r="AW31" s="137"/>
      <c r="AX31" s="138"/>
    </row>
    <row r="32" spans="2:61" ht="15.95" customHeight="1" x14ac:dyDescent="0.3">
      <c r="B32" s="22">
        <v>24</v>
      </c>
      <c r="C32" s="23"/>
      <c r="D32" s="27"/>
      <c r="E32" s="28"/>
      <c r="F32" s="22"/>
      <c r="H32" s="29"/>
      <c r="I32" s="29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30"/>
      <c r="V32" s="104"/>
      <c r="W32" s="104"/>
      <c r="X32" s="137"/>
      <c r="Y32" s="138"/>
      <c r="AB32" s="23"/>
      <c r="AC32" s="27"/>
      <c r="AD32" s="28"/>
      <c r="AE32" s="22"/>
      <c r="AG32" s="29"/>
      <c r="AH32" s="29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30"/>
      <c r="AU32" s="104"/>
      <c r="AV32" s="104"/>
      <c r="AW32" s="137"/>
      <c r="AX32" s="138"/>
    </row>
    <row r="33" spans="2:57" ht="15.95" customHeight="1" x14ac:dyDescent="0.3">
      <c r="B33" s="22">
        <v>26</v>
      </c>
      <c r="C33" s="23"/>
      <c r="D33" s="31"/>
      <c r="E33" s="32" t="s">
        <v>224</v>
      </c>
      <c r="F33" s="32"/>
      <c r="G33" s="32"/>
      <c r="H33" s="32"/>
      <c r="I33" s="3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135"/>
      <c r="Y33" s="138"/>
      <c r="AB33" s="23"/>
      <c r="AC33" s="31"/>
      <c r="AD33" s="32" t="s">
        <v>224</v>
      </c>
      <c r="AE33" s="32"/>
      <c r="AF33" s="32"/>
      <c r="AG33" s="32"/>
      <c r="AH33" s="3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135"/>
      <c r="AX33" s="138"/>
    </row>
    <row r="34" spans="2:57" ht="15.95" customHeight="1" x14ac:dyDescent="0.3">
      <c r="B34" s="22">
        <v>27</v>
      </c>
      <c r="C34" s="23"/>
      <c r="D34" s="31"/>
      <c r="E34" s="32" t="s">
        <v>11</v>
      </c>
      <c r="F34" s="32"/>
      <c r="G34" s="32"/>
      <c r="H34" s="32"/>
      <c r="I34" s="32"/>
      <c r="J34" s="22"/>
      <c r="K34" s="22"/>
      <c r="L34" s="22"/>
      <c r="M34" s="22"/>
      <c r="N34" s="22"/>
      <c r="X34" s="135"/>
      <c r="Y34" s="138"/>
      <c r="AB34" s="23"/>
      <c r="AC34" s="31"/>
      <c r="AD34" s="32" t="s">
        <v>11</v>
      </c>
      <c r="AE34" s="32"/>
      <c r="AF34" s="32"/>
      <c r="AG34" s="32"/>
      <c r="AH34" s="32"/>
      <c r="AI34" s="22"/>
      <c r="AJ34" s="22"/>
      <c r="AK34" s="22"/>
      <c r="AL34" s="22"/>
      <c r="AM34" s="22"/>
      <c r="AW34" s="135"/>
      <c r="AX34" s="138"/>
      <c r="AZ34" t="s">
        <v>315</v>
      </c>
    </row>
    <row r="35" spans="2:57" ht="15.95" customHeight="1" thickBot="1" x14ac:dyDescent="0.35">
      <c r="B35" s="22">
        <v>28</v>
      </c>
      <c r="C35" s="23"/>
      <c r="D35" s="31"/>
      <c r="E35" s="22"/>
      <c r="F35" s="22"/>
      <c r="G35" s="22"/>
      <c r="H35" s="22"/>
      <c r="I35" s="22"/>
      <c r="J35" s="22"/>
      <c r="K35" s="22"/>
      <c r="L35" s="22"/>
      <c r="M35" s="22"/>
      <c r="N35" s="22"/>
      <c r="X35" s="135"/>
      <c r="Y35" s="138"/>
      <c r="AB35" s="23"/>
      <c r="AC35" s="31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W35" s="135"/>
      <c r="AX35" s="138"/>
    </row>
    <row r="36" spans="2:57" ht="15.95" customHeight="1" x14ac:dyDescent="0.3">
      <c r="B36" s="22">
        <v>29</v>
      </c>
      <c r="C36" s="23"/>
      <c r="D36" s="31"/>
      <c r="E36" s="22"/>
      <c r="F36" s="78" t="s">
        <v>12</v>
      </c>
      <c r="G36" s="83"/>
      <c r="H36" s="265" t="s">
        <v>323</v>
      </c>
      <c r="I36" s="322"/>
      <c r="J36" s="322"/>
      <c r="K36" s="91"/>
      <c r="L36" s="7"/>
      <c r="M36" s="7"/>
      <c r="N36" s="88"/>
      <c r="P36" s="78" t="str">
        <f>IF(OR(AG37=3,AG37=4),"Diameter (Total)","Length (Total)")</f>
        <v>Length (Total)</v>
      </c>
      <c r="Q36" s="7"/>
      <c r="R36" s="7"/>
      <c r="S36" s="7"/>
      <c r="T36" s="265">
        <v>48</v>
      </c>
      <c r="U36" s="266"/>
      <c r="V36" s="160" t="s">
        <v>208</v>
      </c>
      <c r="W36" s="161"/>
      <c r="X36" s="135"/>
      <c r="Y36" s="138"/>
      <c r="AB36" s="23"/>
      <c r="AC36" s="31"/>
      <c r="AD36" s="22"/>
      <c r="AE36" s="78" t="s">
        <v>12</v>
      </c>
      <c r="AF36" s="83"/>
      <c r="AG36" s="265" t="str">
        <f>H36</f>
        <v>Tank</v>
      </c>
      <c r="AH36" s="322"/>
      <c r="AI36" s="322"/>
      <c r="AJ36" s="91"/>
      <c r="AK36" s="87"/>
      <c r="AL36" s="7"/>
      <c r="AM36" s="88"/>
      <c r="AO36" s="78" t="str">
        <f>P36</f>
        <v>Length (Total)</v>
      </c>
      <c r="AP36" s="7"/>
      <c r="AQ36" s="7"/>
      <c r="AR36" s="7"/>
      <c r="AS36" s="265">
        <f>IF($U$10="British",T36,T36/0.3048)</f>
        <v>48</v>
      </c>
      <c r="AT36" s="266"/>
      <c r="AU36" s="160" t="s">
        <v>208</v>
      </c>
      <c r="AV36" s="161"/>
      <c r="AX36" s="138"/>
      <c r="AZ36" s="141"/>
      <c r="BA36" s="142" t="s">
        <v>307</v>
      </c>
      <c r="BB36" s="142" t="s">
        <v>308</v>
      </c>
      <c r="BC36" s="142" t="s">
        <v>309</v>
      </c>
      <c r="BD36" s="142" t="s">
        <v>310</v>
      </c>
      <c r="BE36" s="143"/>
    </row>
    <row r="37" spans="2:57" ht="15.95" customHeight="1" x14ac:dyDescent="0.3">
      <c r="B37" s="22">
        <v>30</v>
      </c>
      <c r="C37" s="23"/>
      <c r="D37" s="31"/>
      <c r="E37" s="22"/>
      <c r="F37" s="79" t="s">
        <v>13</v>
      </c>
      <c r="G37" s="84"/>
      <c r="H37" s="323" t="s">
        <v>356</v>
      </c>
      <c r="I37" s="324"/>
      <c r="J37" s="324"/>
      <c r="K37" s="92"/>
      <c r="L37" s="85"/>
      <c r="M37" s="85"/>
      <c r="N37" s="80"/>
      <c r="P37" s="79" t="str">
        <f>IF(OR(AG37=3,AG37=4),"Diameter (Wet)","Length (Wet)")</f>
        <v>Length (Wet)</v>
      </c>
      <c r="Q37" s="85"/>
      <c r="R37" s="85"/>
      <c r="S37" s="85"/>
      <c r="T37" s="252">
        <v>24</v>
      </c>
      <c r="U37" s="254"/>
      <c r="V37" s="92" t="s">
        <v>208</v>
      </c>
      <c r="W37" s="80"/>
      <c r="X37" s="135"/>
      <c r="Y37" s="138"/>
      <c r="AB37" s="23"/>
      <c r="AC37" s="31"/>
      <c r="AD37" s="22"/>
      <c r="AE37" s="79" t="s">
        <v>13</v>
      </c>
      <c r="AF37" s="84"/>
      <c r="AG37" s="323">
        <f>VLOOKUP(H37,Body_1,3,0)</f>
        <v>2</v>
      </c>
      <c r="AH37" s="324"/>
      <c r="AI37" s="324"/>
      <c r="AJ37" s="92"/>
      <c r="AK37" s="84"/>
      <c r="AL37" s="85"/>
      <c r="AM37" s="80"/>
      <c r="AO37" s="79" t="str">
        <f>P37</f>
        <v>Length (Wet)</v>
      </c>
      <c r="AP37" s="85"/>
      <c r="AQ37" s="85"/>
      <c r="AR37" s="85"/>
      <c r="AS37" s="252">
        <f>IF($U$10="British",T37,T37/0.3048)</f>
        <v>24</v>
      </c>
      <c r="AT37" s="254"/>
      <c r="AU37" s="92" t="s">
        <v>208</v>
      </c>
      <c r="AV37" s="80"/>
      <c r="AX37" s="138"/>
      <c r="AZ37" s="144">
        <v>1</v>
      </c>
      <c r="BA37" s="145">
        <f>PI()*AS38*(AS36-AS37)+IF(AG38=0,AS38^2/4,0)</f>
        <v>1507.9644737231006</v>
      </c>
      <c r="BB37" s="145">
        <f>PI()*AS38*(AS37)+IF(AG39="Yes",PI()*AS38^2/4,0)</f>
        <v>1507.9644737231006</v>
      </c>
      <c r="BC37" s="145">
        <f>IF(AG38=1,PI()*AS38/2*(AS38^2/4+AS39^2)^0.5,"")</f>
        <v>314.7722596303733</v>
      </c>
      <c r="BD37" s="145">
        <f>IF(H39="No",PI()*AS38^2/4,"")</f>
        <v>314.15926535897933</v>
      </c>
      <c r="BE37" s="146" t="s">
        <v>282</v>
      </c>
    </row>
    <row r="38" spans="2:57" ht="15.95" customHeight="1" x14ac:dyDescent="0.3">
      <c r="B38" s="22">
        <v>31</v>
      </c>
      <c r="C38" s="23"/>
      <c r="D38" s="31"/>
      <c r="E38" s="22"/>
      <c r="F38" s="79" t="s">
        <v>14</v>
      </c>
      <c r="G38" s="85"/>
      <c r="H38" s="323" t="s">
        <v>324</v>
      </c>
      <c r="I38" s="324"/>
      <c r="J38" s="324"/>
      <c r="K38" s="92"/>
      <c r="L38" s="85"/>
      <c r="M38" s="85"/>
      <c r="N38" s="80"/>
      <c r="P38" s="102" t="str">
        <f>IF(AG37=3,"Length",IF(AG37=4,"","Diameter"))</f>
        <v>Diameter</v>
      </c>
      <c r="Q38" s="38"/>
      <c r="R38" s="85"/>
      <c r="S38" s="85"/>
      <c r="T38" s="252">
        <v>20</v>
      </c>
      <c r="U38" s="254"/>
      <c r="V38" s="94" t="s">
        <v>208</v>
      </c>
      <c r="W38" s="96"/>
      <c r="X38" s="135"/>
      <c r="Y38" s="138"/>
      <c r="AB38" s="23"/>
      <c r="AC38" s="31"/>
      <c r="AD38" s="22"/>
      <c r="AE38" s="79" t="s">
        <v>14</v>
      </c>
      <c r="AF38" s="85"/>
      <c r="AG38" s="323">
        <f>VLOOKUP(H38,Head_1,2,0)</f>
        <v>1</v>
      </c>
      <c r="AH38" s="324"/>
      <c r="AI38" s="324"/>
      <c r="AJ38" s="92"/>
      <c r="AK38" s="84"/>
      <c r="AL38" s="85"/>
      <c r="AM38" s="80"/>
      <c r="AO38" s="102" t="str">
        <f>P38</f>
        <v>Diameter</v>
      </c>
      <c r="AP38" s="38"/>
      <c r="AQ38" s="85"/>
      <c r="AR38" s="85"/>
      <c r="AS38" s="252">
        <f>IF($U$10="British",T38,T38/0.3048)</f>
        <v>20</v>
      </c>
      <c r="AT38" s="254"/>
      <c r="AU38" s="94" t="s">
        <v>207</v>
      </c>
      <c r="AV38" s="96"/>
      <c r="AX38" s="138"/>
      <c r="AZ38" s="144">
        <v>2</v>
      </c>
      <c r="BA38" s="145">
        <f>PI()*AS38*(AS36-AS37)+IF(AG38=0,AS38^2/4,0)</f>
        <v>1507.9644737231006</v>
      </c>
      <c r="BB38" s="145">
        <f>PI()*AS38*(AS37)+IF(AG39="Yes",PI()*AS38^2/4,0)</f>
        <v>1507.9644737231006</v>
      </c>
      <c r="BC38" s="145">
        <f>IF(AG38=1,PI()*AS38/2*(AS38^2/4+AS39^2)^0.5,"")</f>
        <v>314.7722596303733</v>
      </c>
      <c r="BD38" s="145">
        <f>IF(H39="No",PI()*AS38^2/4,"")</f>
        <v>314.15926535897933</v>
      </c>
      <c r="BE38" s="146" t="s">
        <v>282</v>
      </c>
    </row>
    <row r="39" spans="2:57" ht="15.95" customHeight="1" thickBot="1" x14ac:dyDescent="0.35">
      <c r="B39" s="22">
        <v>32</v>
      </c>
      <c r="C39" s="23"/>
      <c r="D39" s="31"/>
      <c r="E39" s="34"/>
      <c r="F39" s="81" t="s">
        <v>15</v>
      </c>
      <c r="G39" s="86"/>
      <c r="H39" s="255" t="s">
        <v>325</v>
      </c>
      <c r="I39" s="256"/>
      <c r="J39" s="256"/>
      <c r="K39" s="98"/>
      <c r="L39" s="103"/>
      <c r="M39" s="103"/>
      <c r="N39" s="82"/>
      <c r="P39" s="81" t="str">
        <f>IF(H38="Roof","Height of Roof at center","                    -")</f>
        <v>Height of Roof at center</v>
      </c>
      <c r="Q39" s="140"/>
      <c r="R39" s="103"/>
      <c r="S39" s="103"/>
      <c r="T39" s="255"/>
      <c r="U39" s="257"/>
      <c r="V39" s="98" t="s">
        <v>208</v>
      </c>
      <c r="W39" s="82"/>
      <c r="X39" s="135"/>
      <c r="Y39" s="138"/>
      <c r="AB39" s="23"/>
      <c r="AC39" s="31"/>
      <c r="AD39" s="34"/>
      <c r="AE39" s="81" t="s">
        <v>15</v>
      </c>
      <c r="AF39" s="86"/>
      <c r="AG39" s="255" t="str">
        <f>H39</f>
        <v>No</v>
      </c>
      <c r="AH39" s="256"/>
      <c r="AI39" s="256"/>
      <c r="AJ39" s="98"/>
      <c r="AK39" s="86"/>
      <c r="AL39" s="103"/>
      <c r="AM39" s="82"/>
      <c r="AO39" s="81" t="str">
        <f>P39</f>
        <v>Height of Roof at center</v>
      </c>
      <c r="AP39" s="140"/>
      <c r="AQ39" s="103"/>
      <c r="AR39" s="103"/>
      <c r="AS39" s="255">
        <f>IF(T39&lt;&gt;"",IF($U$10="British",T39,T39/0.3048),0.75/12*AS38/2)</f>
        <v>0.625</v>
      </c>
      <c r="AT39" s="257"/>
      <c r="AU39" s="98" t="s">
        <v>207</v>
      </c>
      <c r="AV39" s="82"/>
      <c r="AX39" s="138"/>
      <c r="AZ39" s="144">
        <v>3</v>
      </c>
      <c r="BA39" s="147">
        <f>elp(BA36,$AG$38,$AS$36,$AS$37,$AS$38)</f>
        <v>5127.0792106585423</v>
      </c>
      <c r="BB39" s="147">
        <f>elp(BB36,$AG$38,$AS$36,$AS$37,$AS$38)</f>
        <v>5127.0792106585423</v>
      </c>
      <c r="BC39" s="145"/>
      <c r="BD39" s="145" t="s">
        <v>316</v>
      </c>
      <c r="BE39" s="146" t="s">
        <v>282</v>
      </c>
    </row>
    <row r="40" spans="2:57" ht="15.95" customHeight="1" thickBot="1" x14ac:dyDescent="0.35">
      <c r="B40" s="22">
        <v>33</v>
      </c>
      <c r="C40" s="23"/>
      <c r="D40" s="31"/>
      <c r="E40" s="34"/>
      <c r="Y40" s="138"/>
      <c r="AB40" s="23"/>
      <c r="AC40" s="31"/>
      <c r="AD40" s="34"/>
      <c r="AX40" s="138"/>
      <c r="AZ40" s="148">
        <v>4</v>
      </c>
      <c r="BA40" s="121">
        <f>bal(BA36,AS36,AS37)</f>
        <v>3619.1147369354417</v>
      </c>
      <c r="BB40" s="121">
        <f>bal(BB36,AS36,AS37)</f>
        <v>3619.1147369354417</v>
      </c>
      <c r="BC40" s="150" t="s">
        <v>316</v>
      </c>
      <c r="BD40" s="150" t="s">
        <v>316</v>
      </c>
      <c r="BE40" s="149" t="s">
        <v>282</v>
      </c>
    </row>
    <row r="41" spans="2:57" ht="15.95" customHeight="1" x14ac:dyDescent="0.3">
      <c r="B41" s="22">
        <v>34</v>
      </c>
      <c r="C41" s="23"/>
      <c r="D41" s="31"/>
      <c r="E41" s="32" t="s">
        <v>329</v>
      </c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135"/>
      <c r="Y41" s="138"/>
      <c r="AB41" s="23"/>
      <c r="AC41" s="31"/>
      <c r="AD41" s="32" t="s">
        <v>329</v>
      </c>
      <c r="AW41" s="135"/>
      <c r="AX41" s="138"/>
      <c r="AZ41" s="43"/>
      <c r="BE41" s="135"/>
    </row>
    <row r="42" spans="2:57" ht="15.95" customHeight="1" thickBot="1" x14ac:dyDescent="0.35">
      <c r="B42" s="22">
        <v>35</v>
      </c>
      <c r="C42" s="23"/>
      <c r="D42" s="31"/>
      <c r="E42" s="22"/>
      <c r="F42" s="22"/>
      <c r="H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135"/>
      <c r="Y42" s="138"/>
      <c r="AB42" s="23"/>
      <c r="AC42" s="31"/>
      <c r="AD42" s="34"/>
      <c r="AW42" s="135"/>
      <c r="AX42" s="138"/>
      <c r="BA42">
        <v>9.4488188976377945</v>
      </c>
      <c r="BB42">
        <f>elp(BA36,2,BA43,BA44,BA42)</f>
        <v>33.929636916677403</v>
      </c>
    </row>
    <row r="43" spans="2:57" ht="15.95" customHeight="1" x14ac:dyDescent="0.3">
      <c r="B43" s="22">
        <v>36</v>
      </c>
      <c r="C43" s="23"/>
      <c r="D43" s="31"/>
      <c r="E43" s="34"/>
      <c r="F43" s="108"/>
      <c r="G43" s="87"/>
      <c r="H43" s="260" t="s">
        <v>210</v>
      </c>
      <c r="I43" s="261"/>
      <c r="J43" s="261"/>
      <c r="K43" s="262"/>
      <c r="L43" s="276" t="s">
        <v>80</v>
      </c>
      <c r="M43" s="277"/>
      <c r="N43" s="277"/>
      <c r="O43" s="277"/>
      <c r="P43" s="277"/>
      <c r="Q43" s="277"/>
      <c r="R43" s="277"/>
      <c r="S43" s="277"/>
      <c r="T43" s="277"/>
      <c r="U43" s="278"/>
      <c r="V43" s="87"/>
      <c r="W43" s="88"/>
      <c r="X43" s="135"/>
      <c r="Y43" s="138"/>
      <c r="AB43" s="23"/>
      <c r="AC43" s="31"/>
      <c r="AD43" s="34"/>
      <c r="AE43" s="108"/>
      <c r="AF43" s="87"/>
      <c r="AG43" s="260" t="s">
        <v>210</v>
      </c>
      <c r="AH43" s="261"/>
      <c r="AI43" s="261"/>
      <c r="AJ43" s="262"/>
      <c r="AK43" s="276" t="s">
        <v>80</v>
      </c>
      <c r="AL43" s="277"/>
      <c r="AM43" s="277"/>
      <c r="AN43" s="277"/>
      <c r="AO43" s="277"/>
      <c r="AP43" s="277"/>
      <c r="AQ43" s="277"/>
      <c r="AR43" s="277"/>
      <c r="AS43" s="277"/>
      <c r="AT43" s="278"/>
      <c r="AU43" s="87"/>
      <c r="AV43" s="88"/>
      <c r="AW43" s="135"/>
      <c r="AX43" s="138"/>
      <c r="AZ43" t="s">
        <v>312</v>
      </c>
      <c r="BA43">
        <v>5.8530183727034117</v>
      </c>
    </row>
    <row r="44" spans="2:57" ht="15.95" customHeight="1" x14ac:dyDescent="0.3">
      <c r="B44" s="22">
        <v>37</v>
      </c>
      <c r="C44" s="23"/>
      <c r="D44" s="31"/>
      <c r="E44" s="34"/>
      <c r="F44" s="107"/>
      <c r="G44" s="22"/>
      <c r="H44" s="327"/>
      <c r="I44" s="328"/>
      <c r="J44" s="328"/>
      <c r="K44" s="329"/>
      <c r="L44" s="191" t="s">
        <v>221</v>
      </c>
      <c r="M44" s="192"/>
      <c r="N44" s="192"/>
      <c r="O44" s="193"/>
      <c r="P44" s="191" t="str">
        <f>IF(H38="Roof",H38,"")</f>
        <v>Roof</v>
      </c>
      <c r="Q44" s="192"/>
      <c r="R44" s="193"/>
      <c r="S44" s="191" t="s">
        <v>24</v>
      </c>
      <c r="T44" s="192"/>
      <c r="U44" s="193"/>
      <c r="V44" s="360"/>
      <c r="W44" s="361"/>
      <c r="X44" s="135"/>
      <c r="Y44" s="138"/>
      <c r="AB44" s="23"/>
      <c r="AC44" s="31"/>
      <c r="AD44" s="34"/>
      <c r="AE44" s="107"/>
      <c r="AF44" s="22"/>
      <c r="AG44" s="327"/>
      <c r="AH44" s="328"/>
      <c r="AI44" s="328"/>
      <c r="AJ44" s="329"/>
      <c r="AK44" s="191" t="s">
        <v>221</v>
      </c>
      <c r="AL44" s="192"/>
      <c r="AM44" s="192"/>
      <c r="AN44" s="193"/>
      <c r="AO44" s="191" t="str">
        <f>P44</f>
        <v>Roof</v>
      </c>
      <c r="AP44" s="192"/>
      <c r="AQ44" s="193"/>
      <c r="AR44" s="191" t="str">
        <f>S44</f>
        <v>Bottom</v>
      </c>
      <c r="AS44" s="192"/>
      <c r="AT44" s="193"/>
      <c r="AU44" s="360"/>
      <c r="AV44" s="361"/>
      <c r="AW44" s="135"/>
      <c r="AX44" s="138"/>
      <c r="AZ44" t="s">
        <v>313</v>
      </c>
      <c r="BA44">
        <v>4.6916010498687664</v>
      </c>
    </row>
    <row r="45" spans="2:57" ht="15.95" customHeight="1" x14ac:dyDescent="0.3">
      <c r="B45" s="22">
        <v>38</v>
      </c>
      <c r="C45" s="23"/>
      <c r="D45" s="31"/>
      <c r="F45" s="79" t="s">
        <v>209</v>
      </c>
      <c r="G45" s="93"/>
      <c r="H45" s="252" t="s">
        <v>319</v>
      </c>
      <c r="I45" s="253"/>
      <c r="J45" s="253"/>
      <c r="K45" s="254"/>
      <c r="L45" s="252" t="s">
        <v>222</v>
      </c>
      <c r="M45" s="253"/>
      <c r="N45" s="253"/>
      <c r="O45" s="254"/>
      <c r="P45" s="252" t="s">
        <v>32</v>
      </c>
      <c r="Q45" s="253"/>
      <c r="R45" s="254"/>
      <c r="S45" s="252" t="s">
        <v>346</v>
      </c>
      <c r="T45" s="253"/>
      <c r="U45" s="254"/>
      <c r="V45" s="92"/>
      <c r="W45" s="80"/>
      <c r="X45" s="135"/>
      <c r="Y45" s="138"/>
      <c r="Z45" s="162"/>
      <c r="AB45" s="23"/>
      <c r="AC45" s="31"/>
      <c r="AE45" s="79" t="s">
        <v>209</v>
      </c>
      <c r="AF45" s="93"/>
      <c r="AG45" s="252" t="str">
        <f>H45</f>
        <v>304SS</v>
      </c>
      <c r="AH45" s="253"/>
      <c r="AI45" s="253"/>
      <c r="AJ45" s="254"/>
      <c r="AK45" s="252" t="str">
        <f>L45</f>
        <v>Perite</v>
      </c>
      <c r="AL45" s="253"/>
      <c r="AM45" s="253"/>
      <c r="AN45" s="254"/>
      <c r="AO45" s="252" t="str">
        <f>P45</f>
        <v>No</v>
      </c>
      <c r="AP45" s="253"/>
      <c r="AQ45" s="254"/>
      <c r="AR45" s="252" t="str">
        <f>S45</f>
        <v>No</v>
      </c>
      <c r="AS45" s="253"/>
      <c r="AT45" s="254"/>
      <c r="AU45" s="92"/>
      <c r="AV45" s="80"/>
      <c r="AW45" s="135"/>
      <c r="AX45" s="138"/>
    </row>
    <row r="46" spans="2:57" ht="15.95" customHeight="1" x14ac:dyDescent="0.3">
      <c r="B46" s="22">
        <v>39</v>
      </c>
      <c r="C46" s="23"/>
      <c r="D46" s="31"/>
      <c r="F46" s="79" t="s">
        <v>19</v>
      </c>
      <c r="G46" s="93"/>
      <c r="H46" s="252">
        <v>0.1875</v>
      </c>
      <c r="I46" s="253"/>
      <c r="J46" s="253"/>
      <c r="K46" s="254"/>
      <c r="L46" s="252">
        <v>1.5</v>
      </c>
      <c r="M46" s="253"/>
      <c r="N46" s="253"/>
      <c r="O46" s="254"/>
      <c r="P46" s="252"/>
      <c r="Q46" s="253"/>
      <c r="R46" s="254"/>
      <c r="S46" s="252"/>
      <c r="T46" s="253"/>
      <c r="U46" s="254"/>
      <c r="V46" s="92" t="s">
        <v>317</v>
      </c>
      <c r="W46" s="80"/>
      <c r="X46" s="135"/>
      <c r="Y46" s="138"/>
      <c r="AB46" s="23"/>
      <c r="AC46" s="31"/>
      <c r="AD46" s="22"/>
      <c r="AE46" s="79" t="s">
        <v>19</v>
      </c>
      <c r="AF46" s="93"/>
      <c r="AG46" s="252">
        <f>IF($U$10="British",H46,H46/25.4)</f>
        <v>0.1875</v>
      </c>
      <c r="AH46" s="253"/>
      <c r="AI46" s="253"/>
      <c r="AJ46" s="254"/>
      <c r="AK46" s="252">
        <f>IF($U$10="British",L46,L46/25.4)</f>
        <v>1.5</v>
      </c>
      <c r="AL46" s="253"/>
      <c r="AM46" s="253"/>
      <c r="AN46" s="254"/>
      <c r="AO46" s="252">
        <f>IF($U$10="British",P46,P46/25.4)</f>
        <v>0</v>
      </c>
      <c r="AP46" s="253"/>
      <c r="AQ46" s="254"/>
      <c r="AR46" s="252">
        <f>IF($U$10="British",S46,S46/25.4)</f>
        <v>0</v>
      </c>
      <c r="AS46" s="253"/>
      <c r="AT46" s="254"/>
      <c r="AU46" s="92" t="s">
        <v>317</v>
      </c>
      <c r="AV46" s="80"/>
      <c r="AW46" s="135"/>
      <c r="AX46" s="138"/>
      <c r="AZ46" t="s">
        <v>314</v>
      </c>
      <c r="BA46">
        <f>4*PI()*(BA43/2)^2</f>
        <v>107.6241284300651</v>
      </c>
    </row>
    <row r="47" spans="2:57" ht="15.95" customHeight="1" thickBot="1" x14ac:dyDescent="0.35">
      <c r="B47" s="22">
        <v>40</v>
      </c>
      <c r="C47" s="23"/>
      <c r="D47" s="31"/>
      <c r="F47" s="111" t="s">
        <v>220</v>
      </c>
      <c r="G47" s="89"/>
      <c r="H47" s="255">
        <v>10</v>
      </c>
      <c r="I47" s="256"/>
      <c r="J47" s="256"/>
      <c r="K47" s="257"/>
      <c r="L47" s="255">
        <v>2.8000000000000001E-2</v>
      </c>
      <c r="M47" s="256"/>
      <c r="N47" s="256"/>
      <c r="O47" s="257"/>
      <c r="P47" s="255"/>
      <c r="Q47" s="256"/>
      <c r="R47" s="257"/>
      <c r="S47" s="255"/>
      <c r="T47" s="256"/>
      <c r="U47" s="257"/>
      <c r="V47" s="89" t="s">
        <v>26</v>
      </c>
      <c r="W47" s="90"/>
      <c r="X47" s="135"/>
      <c r="Y47" s="138"/>
      <c r="AB47" s="23"/>
      <c r="AC47" s="31"/>
      <c r="AE47" s="111" t="s">
        <v>220</v>
      </c>
      <c r="AF47" s="89"/>
      <c r="AG47" s="255">
        <f>IF($U$10="British",H47,H47/1.488164)</f>
        <v>10</v>
      </c>
      <c r="AH47" s="256"/>
      <c r="AI47" s="256"/>
      <c r="AJ47" s="257"/>
      <c r="AK47" s="255">
        <f>IF($U$10="British",L47,L47/1.488164)</f>
        <v>2.8000000000000001E-2</v>
      </c>
      <c r="AL47" s="256"/>
      <c r="AM47" s="256"/>
      <c r="AN47" s="257"/>
      <c r="AO47" s="255">
        <f>IF($U$10="British",P47,P47/1.488164)</f>
        <v>0</v>
      </c>
      <c r="AP47" s="256"/>
      <c r="AQ47" s="257"/>
      <c r="AR47" s="255">
        <f>IF($U$10="British",S47,S47/1.488164)</f>
        <v>0</v>
      </c>
      <c r="AS47" s="256"/>
      <c r="AT47" s="257"/>
      <c r="AU47" s="89" t="s">
        <v>215</v>
      </c>
      <c r="AV47" s="90"/>
      <c r="AW47" s="135"/>
      <c r="AX47" s="138"/>
      <c r="BA47">
        <f>bal(BA36,BA43,BA44)</f>
        <v>21.355908892512915</v>
      </c>
    </row>
    <row r="48" spans="2:57" ht="15.95" customHeight="1" x14ac:dyDescent="0.3">
      <c r="B48" s="22">
        <v>41</v>
      </c>
      <c r="C48" s="23"/>
      <c r="D48" s="31"/>
      <c r="X48" s="135"/>
      <c r="Y48" s="138"/>
      <c r="AB48" s="23"/>
      <c r="AC48" s="31"/>
      <c r="AW48" s="135"/>
      <c r="AX48" s="138"/>
      <c r="BA48">
        <f>bal(BB36,BA43,BA44)</f>
        <v>86.268219537552184</v>
      </c>
    </row>
    <row r="49" spans="2:50" ht="15.95" customHeight="1" x14ac:dyDescent="0.3">
      <c r="B49" s="22">
        <v>42</v>
      </c>
      <c r="C49" s="23"/>
      <c r="D49" s="31"/>
      <c r="E49" s="32" t="str">
        <f>"1.3"&amp;" "&amp;H36&amp;" "&amp;"Temparature / Heat transfer"</f>
        <v>1.3 Tank Temparature / Heat transfer</v>
      </c>
      <c r="X49" s="135"/>
      <c r="Y49" s="138"/>
      <c r="AB49" s="23"/>
      <c r="AC49" s="31"/>
      <c r="AW49" s="135"/>
      <c r="AX49" s="138"/>
    </row>
    <row r="50" spans="2:50" ht="15.95" customHeight="1" x14ac:dyDescent="0.3">
      <c r="B50" s="22">
        <v>43</v>
      </c>
      <c r="C50" s="23"/>
      <c r="D50" s="31"/>
      <c r="P50" s="372" t="s">
        <v>25</v>
      </c>
      <c r="Q50" s="372"/>
      <c r="R50" s="372"/>
      <c r="S50" s="373">
        <f>SUM(H56:U56)</f>
        <v>9477.2209893385407</v>
      </c>
      <c r="T50" s="373"/>
      <c r="U50" s="373"/>
      <c r="V50" s="374" t="s">
        <v>27</v>
      </c>
      <c r="W50" s="374"/>
      <c r="X50" s="135"/>
      <c r="Y50" s="138"/>
      <c r="AB50" s="23"/>
      <c r="AC50" s="31"/>
      <c r="AW50" s="135"/>
      <c r="AX50" s="138"/>
    </row>
    <row r="51" spans="2:50" ht="15.95" customHeight="1" thickBot="1" x14ac:dyDescent="0.35">
      <c r="B51" s="22">
        <v>44</v>
      </c>
      <c r="C51" s="23"/>
      <c r="D51" s="31"/>
      <c r="F51" s="135"/>
      <c r="G51" s="135"/>
      <c r="H51" s="135"/>
      <c r="I51" s="135"/>
      <c r="J51" s="135"/>
      <c r="K51" s="135"/>
      <c r="X51" s="135"/>
      <c r="Y51" s="138"/>
      <c r="AB51" s="23"/>
      <c r="AC51" s="31"/>
      <c r="AW51" s="135"/>
      <c r="AX51" s="138"/>
    </row>
    <row r="52" spans="2:50" ht="15.95" customHeight="1" x14ac:dyDescent="0.3">
      <c r="B52" s="22">
        <v>45</v>
      </c>
      <c r="C52" s="23"/>
      <c r="D52" s="31"/>
      <c r="F52" s="78"/>
      <c r="G52" s="83"/>
      <c r="H52" s="260" t="s">
        <v>21</v>
      </c>
      <c r="I52" s="261"/>
      <c r="J52" s="261"/>
      <c r="K52" s="262"/>
      <c r="L52" s="260" t="s">
        <v>22</v>
      </c>
      <c r="M52" s="261"/>
      <c r="N52" s="261"/>
      <c r="O52" s="262"/>
      <c r="P52" s="260" t="str">
        <f>IF(H38="ROOF",H38,"")</f>
        <v>Roof</v>
      </c>
      <c r="Q52" s="261"/>
      <c r="R52" s="262"/>
      <c r="S52" s="260" t="str">
        <f>IF(H39="No","Bottom","")</f>
        <v>Bottom</v>
      </c>
      <c r="T52" s="261"/>
      <c r="U52" s="262"/>
      <c r="V52" s="260"/>
      <c r="W52" s="263"/>
      <c r="X52" s="135"/>
      <c r="Y52" s="138"/>
      <c r="AB52" s="23"/>
      <c r="AC52" s="31"/>
      <c r="AE52" s="135"/>
      <c r="AF52" s="155"/>
      <c r="AG52" s="155"/>
      <c r="AH52" s="155"/>
      <c r="AI52" s="22"/>
      <c r="AJ52" s="22"/>
      <c r="AK52" s="22"/>
      <c r="AL52" s="22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135"/>
      <c r="AX52" s="139"/>
    </row>
    <row r="53" spans="2:50" ht="15.95" customHeight="1" x14ac:dyDescent="0.3">
      <c r="B53" s="22">
        <v>46</v>
      </c>
      <c r="C53" s="23"/>
      <c r="D53" s="31"/>
      <c r="F53" s="79" t="s">
        <v>226</v>
      </c>
      <c r="G53" s="93"/>
      <c r="H53" s="300">
        <f>IF($U$10="British",AG320,(AG175-32)*5/9)</f>
        <v>45.551425681473091</v>
      </c>
      <c r="I53" s="301"/>
      <c r="J53" s="301"/>
      <c r="K53" s="302"/>
      <c r="L53" s="303">
        <f>IF($U$10="British",AG321,(AG321-32)*5/9)</f>
        <v>51.82466868601454</v>
      </c>
      <c r="M53" s="304"/>
      <c r="N53" s="304"/>
      <c r="O53" s="305"/>
      <c r="P53" s="306">
        <f>IF(H38="ROOF",IF($U$10="British",MAX(AG177,AG179,AG180),(MAX(AG177,AG179,AG180)-32)*5/9),"")</f>
        <v>36.392636538480282</v>
      </c>
      <c r="Q53" s="307"/>
      <c r="R53" s="308"/>
      <c r="S53" s="309">
        <f>IF(H39="No",IF($U$10="British",AG323,(AG178-32)*5/9),"")</f>
        <v>52.626563932622574</v>
      </c>
      <c r="T53" s="310"/>
      <c r="U53" s="311"/>
      <c r="V53" s="92" t="s">
        <v>232</v>
      </c>
      <c r="W53" s="80"/>
      <c r="X53" s="135"/>
      <c r="Y53" s="138"/>
      <c r="Z53" t="s">
        <v>349</v>
      </c>
      <c r="AB53" s="23"/>
      <c r="AX53" s="138"/>
    </row>
    <row r="54" spans="2:50" ht="15.95" customHeight="1" x14ac:dyDescent="0.3">
      <c r="B54" s="22">
        <v>47</v>
      </c>
      <c r="C54" s="23"/>
      <c r="D54" s="31"/>
      <c r="F54" s="79" t="s">
        <v>20</v>
      </c>
      <c r="G54" s="93"/>
      <c r="H54" s="241">
        <f>AG344</f>
        <v>0.14147102292795977</v>
      </c>
      <c r="I54" s="242"/>
      <c r="J54" s="242"/>
      <c r="K54" s="243"/>
      <c r="L54" s="309">
        <f>IF($U$10="British",AK344,AK199*4.882431)</f>
        <v>0.16867118452280019</v>
      </c>
      <c r="M54" s="310"/>
      <c r="N54" s="310"/>
      <c r="O54" s="311"/>
      <c r="P54" s="309">
        <f>IF(P52="","",IF($U$10="British",AO344,AO199*4.882431))</f>
        <v>0.16251956978938015</v>
      </c>
      <c r="Q54" s="310"/>
      <c r="R54" s="311"/>
      <c r="S54" s="309">
        <f>IF(S52="","",IF($U$10="British",AR344,AR199*4.882431))</f>
        <v>8.9735583856589987E-2</v>
      </c>
      <c r="T54" s="310"/>
      <c r="U54" s="311"/>
      <c r="V54" s="92" t="s">
        <v>26</v>
      </c>
      <c r="W54" s="80"/>
      <c r="X54" s="135"/>
      <c r="Y54" s="138"/>
      <c r="AB54" s="23"/>
      <c r="AE54" s="135"/>
      <c r="AF54" s="155"/>
      <c r="AG54" s="155"/>
      <c r="AH54" s="155"/>
      <c r="AI54" s="22"/>
      <c r="AJ54" s="22"/>
      <c r="AK54" s="22"/>
      <c r="AL54" s="22"/>
      <c r="AM54" s="22"/>
      <c r="AN54" s="22"/>
      <c r="AX54" s="138"/>
    </row>
    <row r="55" spans="2:50" ht="15.95" customHeight="1" x14ac:dyDescent="0.3">
      <c r="B55" s="22">
        <v>48</v>
      </c>
      <c r="C55" s="23"/>
      <c r="D55" s="31"/>
      <c r="F55" s="79" t="s">
        <v>281</v>
      </c>
      <c r="G55" s="93"/>
      <c r="H55" s="306">
        <f>IF($U$10="British",VLOOKUP($AG$37,$AZ$36:$BE$40,2,0),VLOOKUP($AG$37,$AZ$36:$BE$40,2,0)*0.3048^2)</f>
        <v>1507.9644737231006</v>
      </c>
      <c r="I55" s="307"/>
      <c r="J55" s="307"/>
      <c r="K55" s="308"/>
      <c r="L55" s="306">
        <f>IF($U$10="British",VLOOKUP($AG$37,$AZ$36:$BE$40,3,0),VLOOKUP($AG$37,$AZ$36:$BE$40,3,0)*0.3048^2)</f>
        <v>1507.9644737231006</v>
      </c>
      <c r="M55" s="307"/>
      <c r="N55" s="307"/>
      <c r="O55" s="308"/>
      <c r="P55" s="306">
        <f>IF(P52="","",IF($U$10="British",VLOOKUP($AG$37,$AZ$36:$BE$40,4,0),VLOOKUP($AG$37,$AZ$36:$BE$40,4,0)*0.3048^2))</f>
        <v>314.7722596303733</v>
      </c>
      <c r="Q55" s="307"/>
      <c r="R55" s="308"/>
      <c r="S55" s="306">
        <f>IF(S52="","",IF($U$10="British",VLOOKUP($AG$37,$AZ$36:$BE$40,5,0),VLOOKUP($AG$37,$AZ$36:$BE$40,5,0)*0.3048^2))</f>
        <v>314.15926535897933</v>
      </c>
      <c r="T55" s="307"/>
      <c r="U55" s="308"/>
      <c r="V55" s="92" t="s">
        <v>282</v>
      </c>
      <c r="W55" s="80"/>
      <c r="X55" s="135"/>
      <c r="Y55" s="138"/>
      <c r="AB55" s="23"/>
      <c r="AX55" s="138"/>
    </row>
    <row r="56" spans="2:50" ht="15.95" customHeight="1" thickBot="1" x14ac:dyDescent="0.35">
      <c r="B56" s="22">
        <v>49</v>
      </c>
      <c r="C56" s="23"/>
      <c r="D56" s="31"/>
      <c r="F56" s="111" t="s">
        <v>253</v>
      </c>
      <c r="G56" s="89"/>
      <c r="H56" s="375">
        <f>H54*H55*(M15-Q15)</f>
        <v>3199.9991495494432</v>
      </c>
      <c r="I56" s="376"/>
      <c r="J56" s="376"/>
      <c r="K56" s="377"/>
      <c r="L56" s="375">
        <f>L55*L54*(H15-Q15)</f>
        <v>5087.0030800235272</v>
      </c>
      <c r="M56" s="376"/>
      <c r="N56" s="376"/>
      <c r="O56" s="377"/>
      <c r="P56" s="378">
        <f>IF(H38="ROOF",(AL15-AP15)*P54*P55,"")</f>
        <v>767.34978325139014</v>
      </c>
      <c r="Q56" s="379"/>
      <c r="R56" s="380"/>
      <c r="S56" s="378">
        <f>IF(H39="No",S55*S54*(AG15-AG30),"")</f>
        <v>422.86897651418093</v>
      </c>
      <c r="T56" s="379"/>
      <c r="U56" s="380"/>
      <c r="V56" s="163" t="s">
        <v>27</v>
      </c>
      <c r="W56" s="90"/>
      <c r="X56" s="135"/>
      <c r="Y56" s="138"/>
      <c r="AB56" s="23"/>
      <c r="AE56" s="135"/>
      <c r="AX56" s="138"/>
    </row>
    <row r="57" spans="2:50" ht="15.95" customHeight="1" thickBot="1" x14ac:dyDescent="0.35">
      <c r="B57" s="22">
        <v>50</v>
      </c>
      <c r="C57" s="23"/>
      <c r="D57" s="31"/>
      <c r="X57" s="135"/>
      <c r="Y57" s="138"/>
      <c r="AB57" s="23"/>
      <c r="AX57" s="138"/>
    </row>
    <row r="58" spans="2:50" ht="15.95" customHeight="1" x14ac:dyDescent="0.3">
      <c r="B58" s="22">
        <v>51</v>
      </c>
      <c r="C58" s="23"/>
      <c r="D58" s="31"/>
      <c r="F58" s="172" t="s">
        <v>350</v>
      </c>
      <c r="H58" s="235">
        <f>calc(H52,F53,AG15,AL15,AP15,AG19,AL19,AP19,AG16,AL16,AP16,AG17,AL17,AP17,AG18,AL18,AP18,AG20,AL20,AP20,AG25,AG28,AG30,AG31,AR25,AR26,AR27,AR28,AG37,AS36,AS37,AS38,AG46,AG47,AK46,AO46,AR46,AK47,AO47,AR47)</f>
        <v>45.551292968323175</v>
      </c>
      <c r="I58" s="236"/>
      <c r="J58" s="236"/>
      <c r="K58" s="237"/>
      <c r="L58" s="238">
        <f>calc(L52,F53,AG15,AL15,AP15,AG19,AL19,AP19,AG16,AL16,AP16,AG17,AL17,AP17,AG18,AL18,AP18,AG20,AL20,AP20,AG25,AG28,AG30,AG31,AR25,AR26,AR27,AR28,AG37,AS36,AS37,AS38,AG46,AG47,AK46,AO46,AR46,AK47,AO47,AR47)</f>
        <v>51.824607375977102</v>
      </c>
      <c r="M58" s="239"/>
      <c r="N58" s="239"/>
      <c r="O58" s="240"/>
      <c r="P58" s="238">
        <f>calc(P52,F53,AG15,AL15,AP15,AG19,AL19,AP19,AG16,AL16,AP16,AG17,AL17,AP17,AG18,AL18,AP18,AG20,AL20,AP20,AG25,AG28,AG30,AG31,AR25,AR26,AR27,AR28,AG37,AS36,AS37,AS38,AG46,AG47,AK46,AO46,AR46,AK47,AO47,AR47)</f>
        <v>36.25794184909158</v>
      </c>
      <c r="Q58" s="239"/>
      <c r="R58" s="240"/>
      <c r="S58" s="238">
        <f>calc(S52,F53,AG15,AL15,AP15,AG19,AL19,AP19,AG16,AL16,AP16,AG17,AL17,AP17,AG18,AL18,AP18,AG20,AL20,AP20,AG25,AG28,AG30,AG31,AR25,AR26,AR27,AR28,AG37,AS36,AS37,AS38,AG46,AG47,AK46,AO46,AR46,AK47,AO47,AR47)</f>
        <v>52.62607970049384</v>
      </c>
      <c r="T58" s="239"/>
      <c r="U58" s="240"/>
      <c r="V58" s="92" t="s">
        <v>232</v>
      </c>
      <c r="X58" s="135"/>
      <c r="Y58" s="138"/>
      <c r="AB58" s="23"/>
      <c r="AE58" s="135"/>
      <c r="AX58" s="138"/>
    </row>
    <row r="59" spans="2:50" ht="15.95" customHeight="1" x14ac:dyDescent="0.3">
      <c r="B59" s="22">
        <v>52</v>
      </c>
      <c r="C59" s="23"/>
      <c r="D59" s="31"/>
      <c r="E59" s="32"/>
      <c r="H59" s="241">
        <f>calc(H52,F54,AG15,AL15,AP15,AG19,AL19,AP19,AG16,AL16,AP16,AG17,AL17,AP17,AG18,AL18,AP18,AG20,AL20,AP20,AG25,AG28,AG30,AG31,AR25,AR26,AR27,AR28,AG37,AS36,AS37,AS38,AG46,AG47,AK46,AO46,AR46,AK47,AO47,AR47)</f>
        <v>0.14147146013917763</v>
      </c>
      <c r="I59" s="242"/>
      <c r="J59" s="242"/>
      <c r="K59" s="243"/>
      <c r="L59" s="241">
        <f>calc(L52,F54,AG15,AL15,AP15,AG19,AL19,AP19,AG16,AL16,AP16,AG17,AL17,AP17,AG18,AL18,AP18,AG20,AL20,AP20,AG25,AG28,AG30,AG31,AR25,AR26,AR27,AR28,AG37,AS36,AS37,AS38,AG46,AG47,AK46,AO46,AR46,AK47,AO47,AR47)</f>
        <v>0.16867129461182959</v>
      </c>
      <c r="M59" s="242"/>
      <c r="N59" s="242"/>
      <c r="O59" s="243"/>
      <c r="P59" s="244">
        <f>calc(P52,F54,AG15,AL15,AP15,AG19,AL19,AP19,AG16,AL16,AP16,AG17,AL17,AP17,AG18,AL18,AP18,AG20,AL20,AP20,AG25,AG28,AG30,AG31,AR25,AR26,AR27,AR28,AG37,AS36,AS37,AS38,AG46,AG47,AK46,AO46,AR46,AK47,AO47,AR47)</f>
        <v>0.1625195448348393</v>
      </c>
      <c r="Q59" s="245"/>
      <c r="R59" s="246"/>
      <c r="S59" s="247">
        <f>calc(S52,F54,AG15,AL15,AP15,AG19,AL19,AP19,AG16,AL16,AP16,AG17,AL17,AP17,AG18,AL18,AP18,AG20,AL20,AP20,AG25,AG28,AG30,AG31,AR25,AR26,AR27,AR28,AG37,AS36,AS37,AS38,AG46,AG47,AK46,AO46,AR46,AK47,AO47,AR47)</f>
        <v>8.9736300927291984E-2</v>
      </c>
      <c r="T59" s="248"/>
      <c r="U59" s="249"/>
      <c r="V59" s="92" t="s">
        <v>26</v>
      </c>
      <c r="X59" s="135"/>
      <c r="Y59" s="138"/>
      <c r="AB59" s="23"/>
      <c r="AC59" s="31"/>
      <c r="AD59" s="32"/>
      <c r="AE59" s="22"/>
      <c r="AF59" s="22"/>
      <c r="AG59" s="22"/>
      <c r="AH59" s="22"/>
      <c r="AJ59" s="22"/>
      <c r="AK59" s="22"/>
      <c r="AL59" s="22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135"/>
      <c r="AX59" s="138"/>
    </row>
    <row r="60" spans="2:50" ht="15.95" customHeight="1" x14ac:dyDescent="0.3">
      <c r="B60" s="22">
        <v>53</v>
      </c>
      <c r="C60" s="23"/>
      <c r="D60" s="31"/>
      <c r="E60" s="32"/>
      <c r="F60" s="22"/>
      <c r="G60" s="22"/>
      <c r="H60" s="22"/>
      <c r="I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135"/>
      <c r="Y60" s="138"/>
      <c r="AB60" s="23"/>
      <c r="AC60" s="31"/>
      <c r="AD60" s="32"/>
      <c r="AE60" s="22"/>
      <c r="AF60" s="22"/>
      <c r="AG60" s="22"/>
      <c r="AH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135"/>
      <c r="AX60" s="138"/>
    </row>
    <row r="61" spans="2:50" ht="15.95" customHeight="1" x14ac:dyDescent="0.3">
      <c r="B61" s="22">
        <v>54</v>
      </c>
      <c r="C61" s="23"/>
      <c r="D61" s="31"/>
      <c r="E61" s="32"/>
      <c r="F61" s="22"/>
      <c r="G61" s="22"/>
      <c r="H61" s="22"/>
      <c r="I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135"/>
      <c r="Y61" s="138"/>
      <c r="AB61" s="23"/>
      <c r="AC61" s="31"/>
      <c r="AD61" s="32"/>
      <c r="AE61" s="22"/>
      <c r="AF61" s="22"/>
      <c r="AG61" s="22"/>
      <c r="AH61" s="22"/>
      <c r="AJ61" s="22"/>
      <c r="AK61" s="22"/>
      <c r="AL61" s="22"/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135"/>
      <c r="AX61" s="138"/>
    </row>
    <row r="62" spans="2:50" ht="15.95" customHeight="1" thickBot="1" x14ac:dyDescent="0.35">
      <c r="B62" s="22">
        <v>55</v>
      </c>
      <c r="C62" s="23"/>
      <c r="D62" s="31"/>
      <c r="E62" s="32"/>
      <c r="F62" s="22"/>
      <c r="G62" s="22"/>
      <c r="H62" s="22"/>
      <c r="I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135"/>
      <c r="Y62" s="122"/>
      <c r="AB62" s="36"/>
      <c r="AC62" s="151"/>
      <c r="AD62" s="130"/>
      <c r="AE62" s="89"/>
      <c r="AF62" s="89"/>
      <c r="AG62" s="89"/>
      <c r="AH62" s="89"/>
      <c r="AI62" s="37"/>
      <c r="AJ62" s="89"/>
      <c r="AK62" s="89"/>
      <c r="AL62" s="89"/>
      <c r="AM62" s="89"/>
      <c r="AN62" s="89"/>
      <c r="AO62" s="89"/>
      <c r="AP62" s="89"/>
      <c r="AQ62" s="89"/>
      <c r="AR62" s="89"/>
      <c r="AS62" s="89"/>
      <c r="AT62" s="89"/>
      <c r="AU62" s="89"/>
      <c r="AV62" s="89"/>
      <c r="AW62" s="37"/>
      <c r="AX62" s="122"/>
    </row>
    <row r="63" spans="2:50" ht="15.95" customHeight="1" x14ac:dyDescent="0.3">
      <c r="C63" s="312"/>
      <c r="D63" s="313"/>
      <c r="E63" s="313"/>
      <c r="F63" s="313"/>
      <c r="G63" s="313"/>
      <c r="H63" s="313"/>
      <c r="I63" s="313"/>
      <c r="J63" s="313"/>
      <c r="K63" s="1"/>
      <c r="L63" s="2"/>
      <c r="M63" s="3"/>
      <c r="N63" s="1"/>
      <c r="O63" s="3"/>
      <c r="P63" s="3"/>
      <c r="Q63" s="7"/>
      <c r="R63" s="1"/>
      <c r="S63" s="4" t="s">
        <v>0</v>
      </c>
      <c r="T63" s="3"/>
      <c r="U63" s="5">
        <v>2</v>
      </c>
      <c r="V63" s="97" t="s">
        <v>1</v>
      </c>
      <c r="W63" s="6">
        <v>2</v>
      </c>
      <c r="X63" s="7"/>
      <c r="Y63" s="8"/>
    </row>
    <row r="64" spans="2:50" ht="15.95" customHeight="1" x14ac:dyDescent="0.3">
      <c r="C64" s="314"/>
      <c r="D64" s="195"/>
      <c r="E64" s="195"/>
      <c r="F64" s="195"/>
      <c r="G64" s="195"/>
      <c r="H64" s="195"/>
      <c r="I64" s="195"/>
      <c r="J64" s="195"/>
      <c r="L64" s="9"/>
      <c r="M64" s="10" t="s">
        <v>2</v>
      </c>
      <c r="O64" s="11"/>
      <c r="P64" s="11"/>
      <c r="Q64" s="330"/>
      <c r="R64" s="330"/>
      <c r="S64" s="330"/>
      <c r="T64" s="330"/>
      <c r="U64" s="330"/>
      <c r="V64" s="330"/>
      <c r="W64" s="330"/>
      <c r="X64" s="330"/>
      <c r="Y64" s="12"/>
    </row>
    <row r="65" spans="2:49" ht="15.95" customHeight="1" x14ac:dyDescent="0.3">
      <c r="C65" s="314"/>
      <c r="D65" s="195"/>
      <c r="E65" s="195"/>
      <c r="F65" s="195"/>
      <c r="G65" s="195"/>
      <c r="H65" s="195"/>
      <c r="I65" s="195"/>
      <c r="J65" s="195"/>
      <c r="L65" s="9"/>
      <c r="M65" s="10" t="s">
        <v>4</v>
      </c>
      <c r="O65" s="11"/>
      <c r="P65" s="11"/>
      <c r="Q65" s="330"/>
      <c r="R65" s="330"/>
      <c r="S65" s="330"/>
      <c r="T65" s="330"/>
      <c r="U65" s="330"/>
      <c r="V65" s="330"/>
      <c r="W65" s="330"/>
      <c r="X65" s="330"/>
      <c r="Y65" s="12"/>
    </row>
    <row r="66" spans="2:49" ht="15.95" customHeight="1" x14ac:dyDescent="0.3">
      <c r="C66" s="315"/>
      <c r="D66" s="198"/>
      <c r="E66" s="198"/>
      <c r="F66" s="198"/>
      <c r="G66" s="198"/>
      <c r="H66" s="198"/>
      <c r="I66" s="198"/>
      <c r="J66" s="198"/>
      <c r="L66" s="9"/>
      <c r="M66" s="10" t="s">
        <v>6</v>
      </c>
      <c r="O66" s="11"/>
      <c r="P66" s="11"/>
      <c r="Q66" s="330"/>
      <c r="R66" s="330"/>
      <c r="S66" s="330"/>
      <c r="T66" s="330"/>
      <c r="U66" s="330"/>
      <c r="V66" s="330"/>
      <c r="W66" s="330"/>
      <c r="X66" s="330"/>
      <c r="Y66" s="12"/>
    </row>
    <row r="67" spans="2:49" ht="15.95" customHeight="1" x14ac:dyDescent="0.3">
      <c r="C67" s="316" t="s">
        <v>7</v>
      </c>
      <c r="D67" s="317"/>
      <c r="E67" s="317"/>
      <c r="F67" s="317"/>
      <c r="G67" s="317"/>
      <c r="H67" s="317"/>
      <c r="I67" s="317"/>
      <c r="J67" s="317"/>
      <c r="K67" s="317"/>
      <c r="L67" s="318"/>
      <c r="M67" s="14" t="s">
        <v>8</v>
      </c>
      <c r="O67" s="11"/>
      <c r="P67" s="11"/>
      <c r="Q67" s="330"/>
      <c r="R67" s="330"/>
      <c r="S67" s="330"/>
      <c r="T67" s="330"/>
      <c r="U67" s="330"/>
      <c r="V67" s="330"/>
      <c r="W67" s="330"/>
      <c r="X67" s="330"/>
      <c r="Y67" s="12"/>
    </row>
    <row r="68" spans="2:49" ht="15.95" customHeight="1" x14ac:dyDescent="0.3">
      <c r="C68" s="319"/>
      <c r="D68" s="320"/>
      <c r="E68" s="320"/>
      <c r="F68" s="320"/>
      <c r="G68" s="320"/>
      <c r="H68" s="320"/>
      <c r="I68" s="320"/>
      <c r="J68" s="320"/>
      <c r="K68" s="320"/>
      <c r="L68" s="321"/>
      <c r="M68" s="15" t="s">
        <v>9</v>
      </c>
      <c r="O68" s="11"/>
      <c r="P68" s="112"/>
      <c r="Q68" s="330"/>
      <c r="R68" s="330"/>
      <c r="S68" s="330"/>
      <c r="T68" s="330"/>
      <c r="U68" s="330"/>
      <c r="V68" s="330"/>
      <c r="W68" s="330"/>
      <c r="X68" s="330"/>
      <c r="Y68" s="16"/>
    </row>
    <row r="69" spans="2:49" ht="3.95" customHeight="1" x14ac:dyDescent="0.3">
      <c r="C69" s="17"/>
      <c r="D69" s="18"/>
      <c r="E69" s="18"/>
      <c r="F69" s="18"/>
      <c r="G69" s="18"/>
      <c r="H69" s="18"/>
      <c r="I69" s="18"/>
      <c r="J69" s="18"/>
      <c r="K69" s="19"/>
      <c r="L69" s="19"/>
      <c r="M69" s="19"/>
      <c r="N69" s="19"/>
      <c r="O69" s="19"/>
      <c r="P69" s="19"/>
      <c r="Q69" s="20"/>
      <c r="R69" s="20"/>
      <c r="S69" s="20"/>
      <c r="T69" s="20"/>
      <c r="U69" s="20"/>
      <c r="V69" s="20"/>
      <c r="W69" s="20"/>
      <c r="X69" s="20"/>
      <c r="Y69" s="21"/>
    </row>
    <row r="70" spans="2:49" ht="15.95" customHeight="1" x14ac:dyDescent="0.3">
      <c r="B70" s="22">
        <v>1</v>
      </c>
      <c r="C70" s="23"/>
      <c r="X70" s="39"/>
      <c r="Y70" s="23"/>
      <c r="AB70" s="13"/>
      <c r="AC70" s="13"/>
      <c r="AK70" s="125"/>
      <c r="AP70" s="126"/>
    </row>
    <row r="71" spans="2:49" ht="15.95" customHeight="1" x14ac:dyDescent="0.3">
      <c r="B71" s="22">
        <v>2</v>
      </c>
      <c r="C71" s="23"/>
      <c r="D71" s="27"/>
      <c r="E71" s="119" t="s">
        <v>327</v>
      </c>
      <c r="S71" s="120"/>
      <c r="T71" s="120"/>
      <c r="U71" s="120"/>
      <c r="V71" s="120"/>
      <c r="X71" s="33"/>
      <c r="Y71" s="23"/>
    </row>
    <row r="72" spans="2:49" ht="15.95" customHeight="1" x14ac:dyDescent="0.3">
      <c r="B72" s="22">
        <v>3</v>
      </c>
      <c r="C72" s="23"/>
      <c r="E72" t="s">
        <v>328</v>
      </c>
      <c r="X72" s="33"/>
      <c r="Y72" s="23"/>
    </row>
    <row r="73" spans="2:49" ht="15.95" customHeight="1" x14ac:dyDescent="0.3">
      <c r="B73" s="22"/>
      <c r="C73" s="23"/>
      <c r="F73" t="s">
        <v>332</v>
      </c>
      <c r="X73" s="33"/>
      <c r="Y73" s="23"/>
    </row>
    <row r="74" spans="2:49" ht="15.95" customHeight="1" thickBot="1" x14ac:dyDescent="0.35">
      <c r="B74" s="22">
        <v>4</v>
      </c>
      <c r="C74" s="23"/>
      <c r="H74" s="381"/>
      <c r="I74" s="381"/>
      <c r="J74" s="381"/>
      <c r="S74" s="381"/>
      <c r="T74" s="381"/>
      <c r="U74" s="381"/>
      <c r="V74" s="381"/>
      <c r="W74" s="381"/>
      <c r="X74" s="33"/>
      <c r="Y74" s="23"/>
    </row>
    <row r="75" spans="2:49" ht="15.95" customHeight="1" x14ac:dyDescent="0.3">
      <c r="B75" s="22">
        <v>5</v>
      </c>
      <c r="C75" s="23"/>
      <c r="F75" s="78"/>
      <c r="G75" s="83"/>
      <c r="H75" s="260" t="s">
        <v>246</v>
      </c>
      <c r="I75" s="261"/>
      <c r="J75" s="261"/>
      <c r="K75" s="262"/>
      <c r="L75" s="260" t="s">
        <v>247</v>
      </c>
      <c r="M75" s="261"/>
      <c r="N75" s="261"/>
      <c r="O75" s="262"/>
      <c r="P75" s="260" t="s">
        <v>248</v>
      </c>
      <c r="Q75" s="261"/>
      <c r="R75" s="262"/>
      <c r="S75" s="260" t="s">
        <v>249</v>
      </c>
      <c r="T75" s="261"/>
      <c r="U75" s="262"/>
      <c r="V75" s="260"/>
      <c r="W75" s="263"/>
      <c r="X75" s="33"/>
      <c r="Y75" s="23"/>
      <c r="AB75" s="135"/>
      <c r="AC75" s="135"/>
      <c r="AE75" s="78"/>
      <c r="AF75" s="83"/>
      <c r="AG75" s="260" t="s">
        <v>246</v>
      </c>
      <c r="AH75" s="261"/>
      <c r="AI75" s="261"/>
      <c r="AJ75" s="262"/>
      <c r="AK75" s="260" t="s">
        <v>247</v>
      </c>
      <c r="AL75" s="261"/>
      <c r="AM75" s="261"/>
      <c r="AN75" s="262"/>
      <c r="AO75" s="260" t="s">
        <v>248</v>
      </c>
      <c r="AP75" s="261"/>
      <c r="AQ75" s="262"/>
      <c r="AR75" s="260" t="s">
        <v>249</v>
      </c>
      <c r="AS75" s="261"/>
      <c r="AT75" s="262"/>
      <c r="AU75" s="260"/>
      <c r="AV75" s="263"/>
    </row>
    <row r="76" spans="2:49" ht="15.95" customHeight="1" x14ac:dyDescent="0.3">
      <c r="B76" s="22">
        <v>6</v>
      </c>
      <c r="C76" s="23"/>
      <c r="F76" s="79" t="s">
        <v>250</v>
      </c>
      <c r="G76" s="93"/>
      <c r="H76" s="252">
        <v>2.375</v>
      </c>
      <c r="I76" s="253"/>
      <c r="J76" s="253"/>
      <c r="K76" s="254"/>
      <c r="L76" s="252">
        <v>2.375</v>
      </c>
      <c r="M76" s="253"/>
      <c r="N76" s="253"/>
      <c r="O76" s="254"/>
      <c r="P76" s="252">
        <f>L76</f>
        <v>2.375</v>
      </c>
      <c r="Q76" s="253"/>
      <c r="R76" s="254"/>
      <c r="S76" s="252"/>
      <c r="T76" s="253"/>
      <c r="U76" s="254"/>
      <c r="V76" s="92" t="s">
        <v>317</v>
      </c>
      <c r="W76" s="80"/>
      <c r="X76" s="33"/>
      <c r="Y76" s="23"/>
      <c r="AB76" s="135"/>
      <c r="AC76" s="135"/>
      <c r="AE76" s="79" t="s">
        <v>250</v>
      </c>
      <c r="AF76" s="93"/>
      <c r="AG76" s="252">
        <f>IF($U$10="British",H76,H76/25.4)</f>
        <v>2.375</v>
      </c>
      <c r="AH76" s="253"/>
      <c r="AI76" s="253"/>
      <c r="AJ76" s="254"/>
      <c r="AK76" s="252">
        <f>IF($U$10="British",L76,L76/25.4)</f>
        <v>2.375</v>
      </c>
      <c r="AL76" s="253"/>
      <c r="AM76" s="253"/>
      <c r="AN76" s="254"/>
      <c r="AO76" s="252">
        <f>IF($U$10="British",P76,P76/25.4)</f>
        <v>2.375</v>
      </c>
      <c r="AP76" s="253"/>
      <c r="AQ76" s="254"/>
      <c r="AR76" s="252">
        <f>IF($U$10="British",S76,S76/25.4)</f>
        <v>0</v>
      </c>
      <c r="AS76" s="253"/>
      <c r="AT76" s="254"/>
      <c r="AU76" s="92" t="s">
        <v>317</v>
      </c>
      <c r="AV76" s="80"/>
    </row>
    <row r="77" spans="2:49" ht="15.95" customHeight="1" x14ac:dyDescent="0.3">
      <c r="B77" s="22">
        <v>7</v>
      </c>
      <c r="C77" s="23"/>
      <c r="F77" s="79" t="s">
        <v>251</v>
      </c>
      <c r="G77" s="93"/>
      <c r="H77" s="252">
        <v>100</v>
      </c>
      <c r="I77" s="253"/>
      <c r="J77" s="253"/>
      <c r="K77" s="254"/>
      <c r="L77" s="252">
        <v>100</v>
      </c>
      <c r="M77" s="253"/>
      <c r="N77" s="253"/>
      <c r="O77" s="254"/>
      <c r="P77" s="252">
        <f>L77</f>
        <v>100</v>
      </c>
      <c r="Q77" s="253"/>
      <c r="R77" s="254"/>
      <c r="S77" s="252"/>
      <c r="T77" s="253"/>
      <c r="U77" s="254"/>
      <c r="V77" s="92" t="s">
        <v>232</v>
      </c>
      <c r="W77" s="80"/>
      <c r="X77" s="33"/>
      <c r="Y77" s="23"/>
      <c r="AB77" s="135"/>
      <c r="AC77" s="135"/>
      <c r="AE77" s="79" t="s">
        <v>251</v>
      </c>
      <c r="AF77" s="93"/>
      <c r="AG77" s="252">
        <f>IF($U$10="British",H77,H77*9/5+32)</f>
        <v>100</v>
      </c>
      <c r="AH77" s="253"/>
      <c r="AI77" s="253"/>
      <c r="AJ77" s="254"/>
      <c r="AK77" s="252">
        <f>IF($U$10="British",L77,L77*9/5+32)</f>
        <v>100</v>
      </c>
      <c r="AL77" s="253"/>
      <c r="AM77" s="253"/>
      <c r="AN77" s="254"/>
      <c r="AO77" s="252">
        <f>IF($U$10="British",P77,P77*9/5+32)</f>
        <v>100</v>
      </c>
      <c r="AP77" s="253"/>
      <c r="AQ77" s="254"/>
      <c r="AR77" s="252">
        <f>IF($U$10="British",S77,S77*9/5+32)</f>
        <v>0</v>
      </c>
      <c r="AS77" s="253"/>
      <c r="AT77" s="254"/>
      <c r="AU77" s="92" t="s">
        <v>232</v>
      </c>
      <c r="AV77" s="80"/>
    </row>
    <row r="78" spans="2:49" ht="15.95" customHeight="1" thickBot="1" x14ac:dyDescent="0.35">
      <c r="B78" s="22">
        <v>8</v>
      </c>
      <c r="C78" s="23"/>
      <c r="E78" s="32"/>
      <c r="F78" s="111" t="s">
        <v>252</v>
      </c>
      <c r="G78" s="89"/>
      <c r="H78" s="255">
        <f>1/200</f>
        <v>5.0000000000000001E-3</v>
      </c>
      <c r="I78" s="256"/>
      <c r="J78" s="256"/>
      <c r="K78" s="257"/>
      <c r="L78" s="255">
        <f>1/200</f>
        <v>5.0000000000000001E-3</v>
      </c>
      <c r="M78" s="256"/>
      <c r="N78" s="256"/>
      <c r="O78" s="257"/>
      <c r="P78" s="255">
        <f>L78</f>
        <v>5.0000000000000001E-3</v>
      </c>
      <c r="Q78" s="256"/>
      <c r="R78" s="257"/>
      <c r="S78" s="255"/>
      <c r="T78" s="256"/>
      <c r="U78" s="257"/>
      <c r="V78" s="89" t="s">
        <v>244</v>
      </c>
      <c r="W78" s="90"/>
      <c r="X78" s="33"/>
      <c r="Y78" s="23"/>
      <c r="AB78" s="135"/>
      <c r="AC78" s="135"/>
      <c r="AD78" s="32"/>
      <c r="AE78" s="111" t="s">
        <v>252</v>
      </c>
      <c r="AF78" s="89"/>
      <c r="AG78" s="255">
        <f>IF($U$10="British",H78,H78*4.882431)</f>
        <v>5.0000000000000001E-3</v>
      </c>
      <c r="AH78" s="256"/>
      <c r="AI78" s="256"/>
      <c r="AJ78" s="257"/>
      <c r="AK78" s="255">
        <f>IF($U$10="British",L78,L78*4.882431)</f>
        <v>5.0000000000000001E-3</v>
      </c>
      <c r="AL78" s="256"/>
      <c r="AM78" s="256"/>
      <c r="AN78" s="257"/>
      <c r="AO78" s="255">
        <f>IF($U$10="British",P78,P78*4.882431)</f>
        <v>5.0000000000000001E-3</v>
      </c>
      <c r="AP78" s="256"/>
      <c r="AQ78" s="257"/>
      <c r="AR78" s="255">
        <f>IF($U$10="British",S78,S78*4.882431)</f>
        <v>0</v>
      </c>
      <c r="AS78" s="256"/>
      <c r="AT78" s="257"/>
      <c r="AU78" s="89" t="s">
        <v>244</v>
      </c>
      <c r="AV78" s="90"/>
    </row>
    <row r="79" spans="2:49" ht="15.95" customHeight="1" x14ac:dyDescent="0.3">
      <c r="B79" s="22">
        <v>9</v>
      </c>
      <c r="C79" s="23"/>
      <c r="X79" s="33"/>
      <c r="Y79" s="23"/>
    </row>
    <row r="80" spans="2:49" ht="15.95" customHeight="1" x14ac:dyDescent="0.3">
      <c r="B80" s="22"/>
      <c r="C80" s="23"/>
      <c r="Y80" s="23"/>
      <c r="AW80" s="135"/>
    </row>
    <row r="81" spans="2:52" ht="15.95" customHeight="1" x14ac:dyDescent="0.3">
      <c r="B81" s="22"/>
      <c r="C81" s="23"/>
      <c r="E81" s="32" t="s">
        <v>335</v>
      </c>
      <c r="F81" s="22"/>
      <c r="H81" s="29"/>
      <c r="I81" s="29"/>
      <c r="J81" s="11"/>
      <c r="K81" s="11"/>
      <c r="N81" s="158"/>
      <c r="O81" s="158"/>
      <c r="P81" s="159"/>
      <c r="Q81" s="159"/>
      <c r="R81" s="159"/>
      <c r="S81" s="159"/>
      <c r="T81" s="159"/>
      <c r="U81" s="159"/>
      <c r="V81" s="155"/>
      <c r="W81" s="155"/>
      <c r="X81" s="33"/>
      <c r="Y81" s="23"/>
      <c r="AN81" s="32" t="s">
        <v>237</v>
      </c>
    </row>
    <row r="82" spans="2:52" ht="15.95" customHeight="1" thickBot="1" x14ac:dyDescent="0.35">
      <c r="B82" s="22"/>
      <c r="C82" s="23"/>
      <c r="E82" s="32"/>
      <c r="F82" s="22"/>
      <c r="H82" s="29"/>
      <c r="I82" s="29"/>
      <c r="J82" s="11"/>
      <c r="K82" s="11"/>
      <c r="N82" s="158"/>
      <c r="O82" s="158"/>
      <c r="P82" s="159"/>
      <c r="Q82" s="159"/>
      <c r="R82" s="159"/>
      <c r="S82" s="159"/>
      <c r="T82" s="159"/>
      <c r="U82" s="159"/>
      <c r="V82" s="155"/>
      <c r="W82" s="155"/>
      <c r="X82" s="33"/>
      <c r="Y82" s="23"/>
      <c r="AN82" s="32"/>
    </row>
    <row r="83" spans="2:52" ht="15.95" customHeight="1" x14ac:dyDescent="0.3">
      <c r="B83" s="22"/>
      <c r="C83" s="23"/>
      <c r="E83" s="32"/>
      <c r="F83" s="264"/>
      <c r="G83" s="261"/>
      <c r="H83" s="260" t="s">
        <v>336</v>
      </c>
      <c r="I83" s="261"/>
      <c r="J83" s="261"/>
      <c r="K83" s="262"/>
      <c r="L83" s="260" t="s">
        <v>338</v>
      </c>
      <c r="M83" s="261"/>
      <c r="N83" s="261"/>
      <c r="O83" s="262"/>
      <c r="P83" s="260" t="s">
        <v>340</v>
      </c>
      <c r="Q83" s="261"/>
      <c r="R83" s="262"/>
      <c r="S83" s="260" t="s">
        <v>273</v>
      </c>
      <c r="T83" s="261"/>
      <c r="U83" s="262"/>
      <c r="V83" s="260"/>
      <c r="W83" s="263"/>
      <c r="X83" s="33"/>
      <c r="Y83" s="23"/>
      <c r="AE83" s="264"/>
      <c r="AF83" s="261"/>
      <c r="AG83" s="260" t="s">
        <v>336</v>
      </c>
      <c r="AH83" s="261"/>
      <c r="AI83" s="261"/>
      <c r="AJ83" s="262"/>
      <c r="AK83" s="260" t="s">
        <v>338</v>
      </c>
      <c r="AL83" s="261"/>
      <c r="AM83" s="261"/>
      <c r="AN83" s="262"/>
      <c r="AO83" s="260" t="s">
        <v>340</v>
      </c>
      <c r="AP83" s="261"/>
      <c r="AQ83" s="262"/>
      <c r="AR83" s="260" t="s">
        <v>273</v>
      </c>
      <c r="AS83" s="261"/>
      <c r="AT83" s="262"/>
      <c r="AU83" s="260"/>
      <c r="AV83" s="263"/>
      <c r="AY83" s="162" t="str">
        <f>AG83</f>
        <v>STEAM</v>
      </c>
    </row>
    <row r="84" spans="2:52" ht="15.95" customHeight="1" x14ac:dyDescent="0.3">
      <c r="B84" s="22"/>
      <c r="C84" s="23"/>
      <c r="E84" s="32"/>
      <c r="F84" s="79" t="s">
        <v>238</v>
      </c>
      <c r="G84" s="93"/>
      <c r="H84" s="252">
        <v>49.38</v>
      </c>
      <c r="I84" s="253"/>
      <c r="J84" s="253"/>
      <c r="K84" s="254"/>
      <c r="L84" s="252"/>
      <c r="M84" s="253"/>
      <c r="N84" s="253"/>
      <c r="O84" s="254"/>
      <c r="P84" s="252"/>
      <c r="Q84" s="253"/>
      <c r="R84" s="254"/>
      <c r="S84" s="252"/>
      <c r="T84" s="253"/>
      <c r="U84" s="254"/>
      <c r="V84" s="92" t="s">
        <v>322</v>
      </c>
      <c r="W84" s="80"/>
      <c r="X84" s="33"/>
      <c r="Y84" s="23"/>
      <c r="AE84" s="79" t="s">
        <v>238</v>
      </c>
      <c r="AF84" s="93"/>
      <c r="AG84" s="252"/>
      <c r="AH84" s="253"/>
      <c r="AI84" s="253"/>
      <c r="AJ84" s="254"/>
      <c r="AK84" s="252"/>
      <c r="AL84" s="253"/>
      <c r="AM84" s="253"/>
      <c r="AN84" s="254"/>
      <c r="AO84" s="252"/>
      <c r="AP84" s="253"/>
      <c r="AQ84" s="254"/>
      <c r="AR84" s="252"/>
      <c r="AS84" s="253"/>
      <c r="AT84" s="254"/>
      <c r="AU84" s="92" t="s">
        <v>322</v>
      </c>
      <c r="AV84" s="80"/>
      <c r="AY84" s="162" t="str">
        <f>AK83</f>
        <v>HOT WATER</v>
      </c>
    </row>
    <row r="85" spans="2:52" ht="15.95" customHeight="1" x14ac:dyDescent="0.3">
      <c r="B85" s="22"/>
      <c r="C85" s="23"/>
      <c r="E85" s="32"/>
      <c r="F85" s="79" t="s">
        <v>226</v>
      </c>
      <c r="G85" s="93"/>
      <c r="H85" s="252">
        <v>296.60000000000002</v>
      </c>
      <c r="I85" s="253"/>
      <c r="J85" s="253"/>
      <c r="K85" s="254"/>
      <c r="L85" s="252">
        <v>220</v>
      </c>
      <c r="M85" s="253"/>
      <c r="N85" s="253"/>
      <c r="O85" s="254"/>
      <c r="P85" s="252">
        <v>130</v>
      </c>
      <c r="Q85" s="253"/>
      <c r="R85" s="254"/>
      <c r="S85" s="252">
        <v>140</v>
      </c>
      <c r="T85" s="253"/>
      <c r="U85" s="254"/>
      <c r="V85" s="92" t="s">
        <v>232</v>
      </c>
      <c r="W85" s="80"/>
      <c r="X85" s="33"/>
      <c r="Y85" s="23"/>
      <c r="AE85" s="79" t="s">
        <v>226</v>
      </c>
      <c r="AF85" s="84"/>
      <c r="AG85" s="252">
        <f>IF($U$10="British",H85,H85*9/5+32)</f>
        <v>296.60000000000002</v>
      </c>
      <c r="AH85" s="253"/>
      <c r="AI85" s="253"/>
      <c r="AJ85" s="254"/>
      <c r="AK85" s="252">
        <f>IF($U$10="British",L85,L85*9/5+32)</f>
        <v>220</v>
      </c>
      <c r="AL85" s="253"/>
      <c r="AM85" s="253"/>
      <c r="AN85" s="254"/>
      <c r="AO85" s="252">
        <f>IF($U$10="British",P85,P85*9/5+32)</f>
        <v>130</v>
      </c>
      <c r="AP85" s="253"/>
      <c r="AQ85" s="254"/>
      <c r="AR85" s="252">
        <f>IF($U$10="British",S85,S85*9/5+32)</f>
        <v>140</v>
      </c>
      <c r="AS85" s="253"/>
      <c r="AT85" s="254"/>
      <c r="AU85" s="92" t="s">
        <v>232</v>
      </c>
      <c r="AV85" s="80"/>
      <c r="AY85" s="162" t="str">
        <f>AO83</f>
        <v>COLD WATER</v>
      </c>
    </row>
    <row r="86" spans="2:52" ht="15.95" customHeight="1" x14ac:dyDescent="0.3">
      <c r="B86" s="22"/>
      <c r="C86" s="23"/>
      <c r="E86" s="32"/>
      <c r="F86" s="79" t="s">
        <v>227</v>
      </c>
      <c r="G86" s="93"/>
      <c r="H86" s="252">
        <v>913</v>
      </c>
      <c r="I86" s="253"/>
      <c r="J86" s="253"/>
      <c r="K86" s="254"/>
      <c r="L86" s="252">
        <v>813</v>
      </c>
      <c r="M86" s="253"/>
      <c r="N86" s="253"/>
      <c r="O86" s="254"/>
      <c r="P86" s="252">
        <v>713</v>
      </c>
      <c r="Q86" s="253"/>
      <c r="R86" s="254"/>
      <c r="S86" s="252">
        <v>313</v>
      </c>
      <c r="T86" s="253"/>
      <c r="U86" s="254"/>
      <c r="V86" s="92" t="s">
        <v>239</v>
      </c>
      <c r="W86" s="80"/>
      <c r="X86" s="33"/>
      <c r="Y86" s="23"/>
      <c r="AE86" s="79" t="s">
        <v>227</v>
      </c>
      <c r="AF86" s="84"/>
      <c r="AG86" s="252">
        <f>IF($U$10="British",H86,H86/0.2519958*0.4536)</f>
        <v>913</v>
      </c>
      <c r="AH86" s="253"/>
      <c r="AI86" s="253"/>
      <c r="AJ86" s="254"/>
      <c r="AK86" s="252">
        <f>IF($U$10="British",L86,L86/0.2519958*0.4536)</f>
        <v>813</v>
      </c>
      <c r="AL86" s="253"/>
      <c r="AM86" s="253"/>
      <c r="AN86" s="254"/>
      <c r="AO86" s="252">
        <f>IF($U$10="British",P86,P86/0.2519958*0.4536)</f>
        <v>713</v>
      </c>
      <c r="AP86" s="253"/>
      <c r="AQ86" s="254"/>
      <c r="AR86" s="252">
        <f>IF($U$10="British",S86,S86/0.2519958*0.4536)</f>
        <v>313</v>
      </c>
      <c r="AS86" s="253"/>
      <c r="AT86" s="254"/>
      <c r="AU86" s="92" t="s">
        <v>239</v>
      </c>
      <c r="AV86" s="80"/>
      <c r="AY86" s="162" t="str">
        <f>AR83</f>
        <v>-</v>
      </c>
    </row>
    <row r="87" spans="2:52" ht="15.95" customHeight="1" thickBot="1" x14ac:dyDescent="0.35">
      <c r="B87" s="22"/>
      <c r="C87" s="23"/>
      <c r="E87" s="32"/>
      <c r="F87" s="81" t="s">
        <v>254</v>
      </c>
      <c r="G87" s="164"/>
      <c r="H87" s="255">
        <v>1500</v>
      </c>
      <c r="I87" s="256"/>
      <c r="J87" s="256"/>
      <c r="K87" s="257"/>
      <c r="L87" s="255">
        <v>1400</v>
      </c>
      <c r="M87" s="256"/>
      <c r="N87" s="256"/>
      <c r="O87" s="257"/>
      <c r="P87" s="255">
        <v>1300</v>
      </c>
      <c r="Q87" s="256"/>
      <c r="R87" s="257"/>
      <c r="S87" s="255">
        <v>1200</v>
      </c>
      <c r="T87" s="256"/>
      <c r="U87" s="257"/>
      <c r="V87" s="98" t="s">
        <v>26</v>
      </c>
      <c r="W87" s="82"/>
      <c r="X87" s="33"/>
      <c r="Y87" s="23"/>
      <c r="AE87" s="81" t="s">
        <v>254</v>
      </c>
      <c r="AF87" s="86"/>
      <c r="AG87" s="255">
        <f>IF($U$10="British",H87,H87/4.882431)</f>
        <v>1500</v>
      </c>
      <c r="AH87" s="256"/>
      <c r="AI87" s="256"/>
      <c r="AJ87" s="257"/>
      <c r="AK87" s="255">
        <f>IF($U$10="British",L87,L87/4.882431)</f>
        <v>1400</v>
      </c>
      <c r="AL87" s="256"/>
      <c r="AM87" s="256"/>
      <c r="AN87" s="257"/>
      <c r="AO87" s="255">
        <f>IF($U$10="British",P87,P87/4.882431)</f>
        <v>1300</v>
      </c>
      <c r="AP87" s="256"/>
      <c r="AQ87" s="257"/>
      <c r="AR87" s="255">
        <f>IF($U$10="British",S87,S87/4.882431)</f>
        <v>1200</v>
      </c>
      <c r="AS87" s="256"/>
      <c r="AT87" s="257"/>
      <c r="AU87" s="98" t="s">
        <v>26</v>
      </c>
      <c r="AV87" s="82"/>
    </row>
    <row r="88" spans="2:52" ht="15.95" customHeight="1" x14ac:dyDescent="0.3">
      <c r="B88" s="22"/>
      <c r="C88" s="23"/>
      <c r="F88" s="155"/>
      <c r="G88" s="155"/>
      <c r="H88" s="158"/>
      <c r="I88" s="158"/>
      <c r="J88" s="158"/>
      <c r="K88" s="158"/>
      <c r="L88" s="158"/>
      <c r="M88" s="158"/>
      <c r="N88" s="158"/>
      <c r="O88" s="158"/>
      <c r="P88" s="159"/>
      <c r="Q88" s="159"/>
      <c r="R88" s="159"/>
      <c r="S88" s="159"/>
      <c r="T88" s="159"/>
      <c r="U88" s="159"/>
      <c r="V88" s="155"/>
      <c r="W88" s="155"/>
      <c r="X88" s="33"/>
      <c r="Y88" s="23"/>
    </row>
    <row r="89" spans="2:52" ht="15.95" customHeight="1" x14ac:dyDescent="0.3">
      <c r="B89" s="22">
        <v>10</v>
      </c>
      <c r="C89" s="23"/>
      <c r="X89" s="33"/>
      <c r="Y89" s="23"/>
    </row>
    <row r="90" spans="2:52" ht="15.95" customHeight="1" x14ac:dyDescent="0.3">
      <c r="B90" s="22">
        <v>11</v>
      </c>
      <c r="C90" s="35"/>
      <c r="E90" t="s">
        <v>255</v>
      </c>
      <c r="X90" s="33"/>
      <c r="Y90" s="35"/>
      <c r="AD90" t="s">
        <v>320</v>
      </c>
    </row>
    <row r="91" spans="2:52" ht="15.95" customHeight="1" thickBot="1" x14ac:dyDescent="0.35">
      <c r="B91" s="22">
        <v>12</v>
      </c>
      <c r="C91" s="23"/>
      <c r="D91" s="31"/>
      <c r="X91" s="33"/>
      <c r="Y91" s="23"/>
      <c r="AB91" s="129"/>
    </row>
    <row r="92" spans="2:52" ht="15.95" customHeight="1" x14ac:dyDescent="0.3">
      <c r="B92" s="22">
        <v>13</v>
      </c>
      <c r="C92" s="23"/>
      <c r="D92" s="31"/>
      <c r="F92" s="78"/>
      <c r="G92" s="83"/>
      <c r="H92" s="260" t="s">
        <v>246</v>
      </c>
      <c r="I92" s="261"/>
      <c r="J92" s="261"/>
      <c r="K92" s="262"/>
      <c r="L92" s="260" t="s">
        <v>247</v>
      </c>
      <c r="M92" s="261"/>
      <c r="N92" s="261"/>
      <c r="O92" s="262"/>
      <c r="P92" s="260" t="s">
        <v>248</v>
      </c>
      <c r="Q92" s="261"/>
      <c r="R92" s="262"/>
      <c r="S92" s="260" t="s">
        <v>249</v>
      </c>
      <c r="T92" s="261"/>
      <c r="U92" s="262"/>
      <c r="V92" s="260" t="s">
        <v>341</v>
      </c>
      <c r="W92" s="263"/>
      <c r="X92" s="33"/>
      <c r="Y92" s="23"/>
      <c r="AE92" s="78"/>
      <c r="AF92" s="83"/>
      <c r="AG92" s="260" t="s">
        <v>246</v>
      </c>
      <c r="AH92" s="261"/>
      <c r="AI92" s="261"/>
      <c r="AJ92" s="262"/>
      <c r="AK92" s="260" t="s">
        <v>247</v>
      </c>
      <c r="AL92" s="261"/>
      <c r="AM92" s="261"/>
      <c r="AN92" s="262"/>
      <c r="AO92" s="260" t="s">
        <v>248</v>
      </c>
      <c r="AP92" s="261"/>
      <c r="AQ92" s="262"/>
      <c r="AR92" s="260" t="s">
        <v>249</v>
      </c>
      <c r="AS92" s="261"/>
      <c r="AT92" s="262"/>
      <c r="AU92" s="260"/>
      <c r="AV92" s="263"/>
      <c r="AY92" s="157"/>
    </row>
    <row r="93" spans="2:52" ht="15.95" customHeight="1" x14ac:dyDescent="0.3">
      <c r="B93" s="22">
        <v>14</v>
      </c>
      <c r="C93" s="23"/>
      <c r="D93" s="31"/>
      <c r="F93" s="79" t="s">
        <v>253</v>
      </c>
      <c r="G93" s="84"/>
      <c r="H93" s="258">
        <f>S50</f>
        <v>9477.2209893385407</v>
      </c>
      <c r="I93" s="253"/>
      <c r="J93" s="253"/>
      <c r="K93" s="254"/>
      <c r="L93" s="258">
        <f>H93</f>
        <v>9477.2209893385407</v>
      </c>
      <c r="M93" s="253"/>
      <c r="N93" s="253"/>
      <c r="O93" s="254"/>
      <c r="P93" s="258">
        <f>L93</f>
        <v>9477.2209893385407</v>
      </c>
      <c r="Q93" s="253"/>
      <c r="R93" s="254"/>
      <c r="S93" s="252"/>
      <c r="T93" s="253"/>
      <c r="U93" s="254"/>
      <c r="V93" s="92" t="s">
        <v>27</v>
      </c>
      <c r="W93" s="80"/>
      <c r="X93" s="33"/>
      <c r="Y93" s="23"/>
      <c r="AE93" s="79" t="s">
        <v>296</v>
      </c>
      <c r="AF93" s="84"/>
      <c r="AG93" s="258">
        <f>IF($U$10="British",H93,H93/0.2519958)</f>
        <v>9477.2209893385407</v>
      </c>
      <c r="AH93" s="253"/>
      <c r="AI93" s="253"/>
      <c r="AJ93" s="254"/>
      <c r="AK93" s="258">
        <f>IF($U$10="British",L93,L93/0.2519958)</f>
        <v>9477.2209893385407</v>
      </c>
      <c r="AL93" s="253"/>
      <c r="AM93" s="253"/>
      <c r="AN93" s="254"/>
      <c r="AO93" s="252">
        <f>IF($U$10="British",P93,P93/0.2519958)</f>
        <v>9477.2209893385407</v>
      </c>
      <c r="AP93" s="253"/>
      <c r="AQ93" s="254"/>
      <c r="AR93" s="252">
        <f>IF($U$10="British",S93,S93/0.2519958)</f>
        <v>0</v>
      </c>
      <c r="AS93" s="253"/>
      <c r="AT93" s="254"/>
      <c r="AU93" s="92" t="s">
        <v>27</v>
      </c>
      <c r="AV93" s="80"/>
      <c r="AY93" s="92" t="s">
        <v>27</v>
      </c>
      <c r="AZ93" s="80"/>
    </row>
    <row r="94" spans="2:52" ht="15.95" customHeight="1" x14ac:dyDescent="0.3">
      <c r="B94" s="22"/>
      <c r="C94" s="23"/>
      <c r="D94" s="31"/>
      <c r="F94" s="79" t="s">
        <v>333</v>
      </c>
      <c r="G94" s="84"/>
      <c r="H94" s="258" t="s">
        <v>334</v>
      </c>
      <c r="I94" s="253"/>
      <c r="J94" s="253"/>
      <c r="K94" s="254"/>
      <c r="L94" s="258" t="s">
        <v>339</v>
      </c>
      <c r="M94" s="253"/>
      <c r="N94" s="253"/>
      <c r="O94" s="254"/>
      <c r="P94" s="258" t="s">
        <v>337</v>
      </c>
      <c r="Q94" s="259"/>
      <c r="R94" s="259"/>
      <c r="S94" s="258"/>
      <c r="T94" s="259"/>
      <c r="U94" s="259"/>
      <c r="V94" s="92"/>
      <c r="W94" s="80"/>
      <c r="X94" s="33"/>
      <c r="Y94" s="23"/>
      <c r="AE94" s="79" t="s">
        <v>333</v>
      </c>
      <c r="AF94" s="84"/>
      <c r="AG94" s="258" t="str">
        <f>H94</f>
        <v>STEAM</v>
      </c>
      <c r="AH94" s="253"/>
      <c r="AI94" s="253"/>
      <c r="AJ94" s="254"/>
      <c r="AK94" s="258" t="str">
        <f>L94</f>
        <v>COLD WATER</v>
      </c>
      <c r="AL94" s="253"/>
      <c r="AM94" s="253"/>
      <c r="AN94" s="254"/>
      <c r="AO94" s="252" t="str">
        <f>P94</f>
        <v>HOT WATER</v>
      </c>
      <c r="AP94" s="253"/>
      <c r="AQ94" s="254"/>
      <c r="AR94" s="252">
        <f>S94</f>
        <v>0</v>
      </c>
      <c r="AS94" s="253"/>
      <c r="AT94" s="254"/>
      <c r="AU94" s="92"/>
      <c r="AV94" s="80"/>
      <c r="AY94" s="92"/>
      <c r="AZ94" s="80"/>
    </row>
    <row r="95" spans="2:52" ht="15.95" customHeight="1" x14ac:dyDescent="0.3">
      <c r="B95" s="22">
        <v>15</v>
      </c>
      <c r="C95" s="23"/>
      <c r="D95" s="31"/>
      <c r="F95" s="79" t="s">
        <v>300</v>
      </c>
      <c r="G95" s="84"/>
      <c r="H95" s="267">
        <f>IF(H93="","",IF($U$10="British",AG98,AG98*0.4536))</f>
        <v>10.380307764883396</v>
      </c>
      <c r="I95" s="268"/>
      <c r="J95" s="268"/>
      <c r="K95" s="269"/>
      <c r="L95" s="267">
        <f>IF(L93="","",IF($U$10="British",AK98,AK98*0.4536))</f>
        <v>13.292035048160646</v>
      </c>
      <c r="M95" s="268"/>
      <c r="N95" s="268"/>
      <c r="O95" s="269"/>
      <c r="P95" s="273">
        <f>IF(P93="","",IF($U$10="British",AO98,AO98*0.4536))</f>
        <v>11.657098387870283</v>
      </c>
      <c r="Q95" s="274"/>
      <c r="R95" s="275"/>
      <c r="S95" s="273" t="str">
        <f>IF(S93="","",IF($U$10="British",AR98,AR98*0.4536))</f>
        <v/>
      </c>
      <c r="T95" s="274"/>
      <c r="U95" s="275"/>
      <c r="V95" s="92" t="s">
        <v>318</v>
      </c>
      <c r="W95" s="80"/>
      <c r="X95" s="33"/>
      <c r="Y95" s="23"/>
      <c r="AE95" s="79" t="s">
        <v>297</v>
      </c>
      <c r="AF95" s="84"/>
      <c r="AG95" s="191">
        <f>HLOOKUP($AG$94,$AG$83:$AT$87,3,0)</f>
        <v>296.60000000000002</v>
      </c>
      <c r="AH95" s="192"/>
      <c r="AI95" s="192"/>
      <c r="AJ95" s="193"/>
      <c r="AK95" s="191">
        <f>HLOOKUP($AK$94,$AG$83:$AT$87,3,0)</f>
        <v>130</v>
      </c>
      <c r="AL95" s="192"/>
      <c r="AM95" s="192"/>
      <c r="AN95" s="193"/>
      <c r="AO95" s="191">
        <f>HLOOKUP($AO$94,$AG$83:$AT$87,3,0)</f>
        <v>220</v>
      </c>
      <c r="AP95" s="192"/>
      <c r="AQ95" s="192"/>
      <c r="AR95" s="191" t="e">
        <f>HLOOKUP(AR94,$AG$83:$AT$87,3,0)</f>
        <v>#N/A</v>
      </c>
      <c r="AS95" s="192"/>
      <c r="AT95" s="192"/>
      <c r="AU95" s="92"/>
      <c r="AV95" s="80"/>
      <c r="AY95" s="92" t="s">
        <v>318</v>
      </c>
      <c r="AZ95" s="80"/>
    </row>
    <row r="96" spans="2:52" ht="15.95" customHeight="1" x14ac:dyDescent="0.3">
      <c r="B96" s="22">
        <v>16</v>
      </c>
      <c r="C96" s="23"/>
      <c r="D96" s="31"/>
      <c r="F96" s="79" t="s">
        <v>301</v>
      </c>
      <c r="G96" s="84"/>
      <c r="H96" s="273">
        <f>IF($H$93="","",IF($U$10="British",AG99,(AG99-32)*5/9))</f>
        <v>295.71099142146454</v>
      </c>
      <c r="I96" s="274"/>
      <c r="J96" s="274"/>
      <c r="K96" s="275"/>
      <c r="L96" s="273">
        <f>IF(L93="","",IF($U$10="British",AK99,(AK99-32)*5/9))</f>
        <v>129.93870033882098</v>
      </c>
      <c r="M96" s="274"/>
      <c r="N96" s="274"/>
      <c r="O96" s="275"/>
      <c r="P96" s="273">
        <f>IF($P$93="","",IF($U$10="British",AO99,(AO99-32)*5/9))</f>
        <v>219.85840732849908</v>
      </c>
      <c r="Q96" s="274"/>
      <c r="R96" s="275"/>
      <c r="S96" s="273" t="str">
        <f>IF($S$93="","",IF($U$10="British",AR99,(AR99-32)*5/9))</f>
        <v/>
      </c>
      <c r="T96" s="274"/>
      <c r="U96" s="275"/>
      <c r="V96" s="92" t="s">
        <v>232</v>
      </c>
      <c r="W96" s="80"/>
      <c r="X96" s="33"/>
      <c r="Y96" s="23"/>
      <c r="AE96" s="79" t="s">
        <v>298</v>
      </c>
      <c r="AF96" s="84"/>
      <c r="AG96" s="191">
        <f>HLOOKUP($AG$94,$AG$83:$AT$87,4,0)</f>
        <v>913</v>
      </c>
      <c r="AH96" s="192"/>
      <c r="AI96" s="192"/>
      <c r="AJ96" s="193"/>
      <c r="AK96" s="191">
        <f>HLOOKUP($AK$94,$AG$83:$AT$87,4,0)</f>
        <v>713</v>
      </c>
      <c r="AL96" s="192"/>
      <c r="AM96" s="192"/>
      <c r="AN96" s="193"/>
      <c r="AO96" s="191">
        <f>HLOOKUP($AO$94,$AG$83:$AT$87,4,0)</f>
        <v>813</v>
      </c>
      <c r="AP96" s="192"/>
      <c r="AQ96" s="192"/>
      <c r="AR96" s="191" t="e">
        <f>HLOOKUP(AR95,$AG$83:$AT$87,3,0)</f>
        <v>#N/A</v>
      </c>
      <c r="AS96" s="192"/>
      <c r="AT96" s="192"/>
      <c r="AU96" s="92"/>
      <c r="AV96" s="80"/>
      <c r="AY96" s="92" t="s">
        <v>232</v>
      </c>
      <c r="AZ96" s="80"/>
    </row>
    <row r="97" spans="2:52" ht="15.95" customHeight="1" x14ac:dyDescent="0.3">
      <c r="B97" s="22">
        <v>17</v>
      </c>
      <c r="C97" s="23"/>
      <c r="D97" s="31"/>
      <c r="F97" s="79" t="s">
        <v>302</v>
      </c>
      <c r="G97" s="84"/>
      <c r="H97" s="273">
        <f>IF($H$93="","",IF($U$10="British",AG100,(AG100-32)*5/9))</f>
        <v>175.35549571073227</v>
      </c>
      <c r="I97" s="274"/>
      <c r="J97" s="274"/>
      <c r="K97" s="275"/>
      <c r="L97" s="273">
        <f>IF(L93="","",IF($U$10="British",AK100,(AK100-32)*5/9))</f>
        <v>92.46935016941049</v>
      </c>
      <c r="M97" s="274"/>
      <c r="N97" s="274"/>
      <c r="O97" s="275"/>
      <c r="P97" s="273">
        <f>IF($P$93="","",IF($U$10="British",AO100,(AO100-32)*5/9))</f>
        <v>137.42920366424954</v>
      </c>
      <c r="Q97" s="274"/>
      <c r="R97" s="275"/>
      <c r="S97" s="273" t="str">
        <f>IF($S$93="","",IF($U$10="British",AR100,(AR100-32)*5/9))</f>
        <v/>
      </c>
      <c r="T97" s="274"/>
      <c r="U97" s="275"/>
      <c r="V97" s="92" t="s">
        <v>232</v>
      </c>
      <c r="W97" s="80"/>
      <c r="X97" s="33"/>
      <c r="Y97" s="23"/>
      <c r="AE97" s="79" t="s">
        <v>299</v>
      </c>
      <c r="AF97" s="84"/>
      <c r="AG97" s="191">
        <f>HLOOKUP($AG$94,$AG$83:$AT$87,5,0)</f>
        <v>1500</v>
      </c>
      <c r="AH97" s="192"/>
      <c r="AI97" s="192"/>
      <c r="AJ97" s="193"/>
      <c r="AK97" s="191">
        <f>HLOOKUP($AK$94,$AG$83:$AT$87,5,0)</f>
        <v>1300</v>
      </c>
      <c r="AL97" s="192"/>
      <c r="AM97" s="192"/>
      <c r="AN97" s="193"/>
      <c r="AO97" s="191">
        <f>HLOOKUP($AO$94,$AG$83:$AT$87,5,0)</f>
        <v>1400</v>
      </c>
      <c r="AP97" s="192"/>
      <c r="AQ97" s="192"/>
      <c r="AR97" s="191" t="e">
        <f>HLOOKUP(AR96,$AG$83:$AT$87,3,0)</f>
        <v>#N/A</v>
      </c>
      <c r="AS97" s="192"/>
      <c r="AT97" s="192"/>
      <c r="AU97" s="92"/>
      <c r="AV97" s="80"/>
      <c r="AY97" s="92" t="s">
        <v>232</v>
      </c>
      <c r="AZ97" s="80"/>
    </row>
    <row r="98" spans="2:52" ht="15.95" customHeight="1" x14ac:dyDescent="0.3">
      <c r="B98" s="22">
        <v>18</v>
      </c>
      <c r="C98" s="23"/>
      <c r="F98" s="79" t="s">
        <v>264</v>
      </c>
      <c r="G98" s="84"/>
      <c r="H98" s="273">
        <f>IF($H$93="","",AG101)</f>
        <v>181.89471129813521</v>
      </c>
      <c r="I98" s="274"/>
      <c r="J98" s="274"/>
      <c r="K98" s="275"/>
      <c r="L98" s="273">
        <f>IF(L93="","",AK101)</f>
        <v>56.627880524660654</v>
      </c>
      <c r="M98" s="274"/>
      <c r="N98" s="274"/>
      <c r="O98" s="275"/>
      <c r="P98" s="273">
        <f>IF(P93="","",AO101)</f>
        <v>124.57624900718906</v>
      </c>
      <c r="Q98" s="274"/>
      <c r="R98" s="275"/>
      <c r="S98" s="273" t="str">
        <f>IF(S93="","",AR101)</f>
        <v/>
      </c>
      <c r="T98" s="274"/>
      <c r="U98" s="275"/>
      <c r="V98" s="92"/>
      <c r="W98" s="80"/>
      <c r="X98" s="33"/>
      <c r="Y98" s="23"/>
      <c r="AE98" s="79" t="s">
        <v>300</v>
      </c>
      <c r="AF98" s="84"/>
      <c r="AG98" s="267">
        <f>AG93/AG96</f>
        <v>10.380307764883396</v>
      </c>
      <c r="AH98" s="268"/>
      <c r="AI98" s="268"/>
      <c r="AJ98" s="269"/>
      <c r="AK98" s="267">
        <f>AK93/AK96</f>
        <v>13.292035048160646</v>
      </c>
      <c r="AL98" s="268"/>
      <c r="AM98" s="268"/>
      <c r="AN98" s="269"/>
      <c r="AO98" s="273">
        <f>AO93/AO96</f>
        <v>11.657098387870283</v>
      </c>
      <c r="AP98" s="274"/>
      <c r="AQ98" s="275"/>
      <c r="AR98" s="273" t="e">
        <f>AR93/AR96</f>
        <v>#N/A</v>
      </c>
      <c r="AS98" s="274"/>
      <c r="AT98" s="275"/>
      <c r="AU98" s="92" t="s">
        <v>318</v>
      </c>
      <c r="AV98" s="80"/>
      <c r="AY98" s="92"/>
      <c r="AZ98" s="80"/>
    </row>
    <row r="99" spans="2:52" ht="15.95" customHeight="1" x14ac:dyDescent="0.3">
      <c r="B99" s="22">
        <v>19</v>
      </c>
      <c r="C99" s="23"/>
      <c r="F99" s="79" t="s">
        <v>265</v>
      </c>
      <c r="G99" s="84"/>
      <c r="H99" s="273">
        <f>IF(H93="","",$AG$18*2.42*$AG$17/$AG$16)</f>
        <v>484</v>
      </c>
      <c r="I99" s="274"/>
      <c r="J99" s="274"/>
      <c r="K99" s="275"/>
      <c r="L99" s="273">
        <f>IF(L93="","",$AG$18*2.42*$AG$17/$AG$16)</f>
        <v>484</v>
      </c>
      <c r="M99" s="274"/>
      <c r="N99" s="274"/>
      <c r="O99" s="275"/>
      <c r="P99" s="273">
        <f>IF(P93="","",$AG$18*2.42*$AG$17/$AG$16)</f>
        <v>484</v>
      </c>
      <c r="Q99" s="274"/>
      <c r="R99" s="275"/>
      <c r="S99" s="273" t="str">
        <f>IF(S93="","",$AG$18*2.42*$AG$17/$AG$16)</f>
        <v/>
      </c>
      <c r="T99" s="274"/>
      <c r="U99" s="275"/>
      <c r="V99" s="92"/>
      <c r="W99" s="80"/>
      <c r="X99" s="33"/>
      <c r="Y99" s="23"/>
      <c r="AE99" s="79" t="s">
        <v>301</v>
      </c>
      <c r="AF99" s="84"/>
      <c r="AG99" s="273">
        <f>Tw(AG77,AG95,AG97,$AG$15,AG76,AG19,AG16,$AG$18,$AG$20,$AG$17)</f>
        <v>295.71099142146454</v>
      </c>
      <c r="AH99" s="274"/>
      <c r="AI99" s="274"/>
      <c r="AJ99" s="275"/>
      <c r="AK99" s="273">
        <f>Tw(AK77,AK95,AK97,$AG$15,AK76,AG19,AG16,$AG$18,$AG$20,$AG$17)</f>
        <v>129.93870033882098</v>
      </c>
      <c r="AL99" s="274"/>
      <c r="AM99" s="274"/>
      <c r="AN99" s="275"/>
      <c r="AO99" s="273">
        <f>Tw(AO77,AO95,AO97,$AG$15,AO76,AG19,AG16,$AG$18,$AG$20,$AG$17)</f>
        <v>219.85840732849908</v>
      </c>
      <c r="AP99" s="274"/>
      <c r="AQ99" s="275"/>
      <c r="AR99" s="273" t="e">
        <f>Tw(AR77,AR95,AR97,$AG$15,AR76,$AG$19,$AG$16,$AG$18,$AG$20,$AG$17)</f>
        <v>#VALUE!</v>
      </c>
      <c r="AS99" s="274"/>
      <c r="AT99" s="275"/>
      <c r="AU99" s="92" t="s">
        <v>232</v>
      </c>
      <c r="AV99" s="80"/>
      <c r="AY99" s="92"/>
      <c r="AZ99" s="80"/>
    </row>
    <row r="100" spans="2:52" ht="15.95" customHeight="1" x14ac:dyDescent="0.3">
      <c r="B100" s="22">
        <v>20</v>
      </c>
      <c r="C100" s="23"/>
      <c r="F100" s="79" t="s">
        <v>303</v>
      </c>
      <c r="G100" s="84"/>
      <c r="H100" s="270">
        <f>IF($H$93="","",IF($U$10="British",AG103,AG103*4.882431))</f>
        <v>5.5352992676349198</v>
      </c>
      <c r="I100" s="271"/>
      <c r="J100" s="271"/>
      <c r="K100" s="272"/>
      <c r="L100" s="270">
        <f>IF(L93="","",IF($U$10="British",AK103,AK103*4.882431))</f>
        <v>4.1346967710771532</v>
      </c>
      <c r="M100" s="271"/>
      <c r="N100" s="271"/>
      <c r="O100" s="272"/>
      <c r="P100" s="270">
        <f>IF(P93="","",IF($U$10="British",AO103,AO103*4.882431))</f>
        <v>5.0355266721288681</v>
      </c>
      <c r="Q100" s="271"/>
      <c r="R100" s="272"/>
      <c r="S100" s="270" t="str">
        <f>IF(S93="","",IF($U$10="British",AR103,AR103*4.882431))</f>
        <v/>
      </c>
      <c r="T100" s="271"/>
      <c r="U100" s="272"/>
      <c r="V100" s="92" t="s">
        <v>26</v>
      </c>
      <c r="W100" s="80"/>
      <c r="X100" s="33"/>
      <c r="Y100" s="23"/>
      <c r="AE100" s="79" t="s">
        <v>302</v>
      </c>
      <c r="AF100" s="84"/>
      <c r="AG100" s="273">
        <f>(AG99+AG15)/2</f>
        <v>175.35549571073227</v>
      </c>
      <c r="AH100" s="274"/>
      <c r="AI100" s="274"/>
      <c r="AJ100" s="275"/>
      <c r="AK100" s="273">
        <f>(AK99+AG15)/2</f>
        <v>92.46935016941049</v>
      </c>
      <c r="AL100" s="274"/>
      <c r="AM100" s="274"/>
      <c r="AN100" s="275"/>
      <c r="AO100" s="273">
        <f>(AO99+AG15)/2</f>
        <v>137.42920366424954</v>
      </c>
      <c r="AP100" s="274"/>
      <c r="AQ100" s="275"/>
      <c r="AR100" s="273" t="e">
        <f>(AR99+AG15)/2</f>
        <v>#VALUE!</v>
      </c>
      <c r="AS100" s="274"/>
      <c r="AT100" s="275"/>
      <c r="AU100" s="92" t="s">
        <v>232</v>
      </c>
      <c r="AV100" s="80"/>
      <c r="AY100" s="92" t="s">
        <v>26</v>
      </c>
      <c r="AZ100" s="80"/>
    </row>
    <row r="101" spans="2:52" ht="15.95" customHeight="1" x14ac:dyDescent="0.3">
      <c r="B101" s="22">
        <v>21</v>
      </c>
      <c r="C101" s="23"/>
      <c r="F101" s="79" t="s">
        <v>304</v>
      </c>
      <c r="G101" s="84"/>
      <c r="H101" s="270">
        <f>IF($H$93="","",IF($U$10="British",AG104,AG104*4.882431))</f>
        <v>5.3669556035774217</v>
      </c>
      <c r="I101" s="271"/>
      <c r="J101" s="271"/>
      <c r="K101" s="272"/>
      <c r="L101" s="270">
        <f>IF(L93="","",IF($U$10="British",AK104,AK104*4.882431))</f>
        <v>4.040038868966743</v>
      </c>
      <c r="M101" s="271"/>
      <c r="N101" s="271"/>
      <c r="O101" s="272"/>
      <c r="P101" s="270">
        <f>IF(P93="","",1/(1/P100+AO78+1/$AG$87))</f>
        <v>4.8958259855781456</v>
      </c>
      <c r="Q101" s="271"/>
      <c r="R101" s="272"/>
      <c r="S101" s="270" t="str">
        <f>IF(S93="","",1/(1/S100+AR78+1/$AG$87))</f>
        <v/>
      </c>
      <c r="T101" s="271"/>
      <c r="U101" s="272"/>
      <c r="V101" s="92" t="s">
        <v>26</v>
      </c>
      <c r="W101" s="80"/>
      <c r="X101" s="12"/>
      <c r="Y101" s="23"/>
      <c r="AE101" s="79" t="s">
        <v>264</v>
      </c>
      <c r="AF101" s="84"/>
      <c r="AG101" s="273">
        <f>$AG$19^2*4.17*10^8*$AG$20/(2.42*$AG$18)^2*(AG76/12)^3*ABS($AG$15-AG99)</f>
        <v>181.89471129813521</v>
      </c>
      <c r="AH101" s="274"/>
      <c r="AI101" s="274"/>
      <c r="AJ101" s="275"/>
      <c r="AK101" s="273">
        <f>$AG$19^2*4.17*10^8*$AG$20/(2.42*$AG$18)^2*(AK76/12)^3*ABS($AG$15-AK99)</f>
        <v>56.627880524660654</v>
      </c>
      <c r="AL101" s="274"/>
      <c r="AM101" s="274"/>
      <c r="AN101" s="275"/>
      <c r="AO101" s="273">
        <f>$AG$19^2*4.17*10^8*$AG$20/(2.42*$AG$18)^2*(AK76/12)^3*ABS($AG$15-AO99)</f>
        <v>124.57624900718906</v>
      </c>
      <c r="AP101" s="274"/>
      <c r="AQ101" s="275"/>
      <c r="AR101" s="273" t="e">
        <f>$AG$19^2*4.17*10^8*$AG$20/(2.42*$AG$18)^2*(AN76/12)^3*ABS($AG$15-AR99)</f>
        <v>#VALUE!</v>
      </c>
      <c r="AS101" s="274"/>
      <c r="AT101" s="275"/>
      <c r="AU101" s="92"/>
      <c r="AV101" s="80"/>
      <c r="AY101" s="92" t="s">
        <v>26</v>
      </c>
      <c r="AZ101" s="80"/>
    </row>
    <row r="102" spans="2:52" ht="15.95" customHeight="1" x14ac:dyDescent="0.3">
      <c r="B102" s="22">
        <v>22</v>
      </c>
      <c r="C102" s="23"/>
      <c r="F102" s="79" t="s">
        <v>305</v>
      </c>
      <c r="G102" s="84"/>
      <c r="H102" s="267">
        <f>IF($H$93="","",IF($U$10="British",AG105,AG105*0.3048^2))</f>
        <v>7.3089682430588692</v>
      </c>
      <c r="I102" s="268"/>
      <c r="J102" s="268"/>
      <c r="K102" s="269"/>
      <c r="L102" s="267">
        <f>IF(L93="","",IF($U$10="British",AK105,AK105*0.3048^2))</f>
        <v>31.277656137212293</v>
      </c>
      <c r="M102" s="268"/>
      <c r="N102" s="268"/>
      <c r="O102" s="269"/>
      <c r="P102" s="270">
        <f>IF(P93="","",IF($U$10="British",AO105,AO105*4.882431))</f>
        <v>11.731973957997067</v>
      </c>
      <c r="Q102" s="271"/>
      <c r="R102" s="272"/>
      <c r="S102" s="270" t="str">
        <f>IF(S93="","",IF($U$10="British",AR105,AR105*4.882431))</f>
        <v/>
      </c>
      <c r="T102" s="271"/>
      <c r="U102" s="272"/>
      <c r="V102" s="92" t="s">
        <v>282</v>
      </c>
      <c r="W102" s="80"/>
      <c r="Y102" s="23"/>
      <c r="AE102" s="79" t="s">
        <v>265</v>
      </c>
      <c r="AF102" s="84"/>
      <c r="AG102" s="273">
        <f>IF(H93="","",$AG$18*2.42*$AG$17/$AG$16)</f>
        <v>484</v>
      </c>
      <c r="AH102" s="274"/>
      <c r="AI102" s="274"/>
      <c r="AJ102" s="275"/>
      <c r="AK102" s="273">
        <f>$AG$18*2.42*$AG$17/$AG$16</f>
        <v>484</v>
      </c>
      <c r="AL102" s="274"/>
      <c r="AM102" s="274"/>
      <c r="AN102" s="275"/>
      <c r="AO102" s="273">
        <f>$AG$18*2.42*$AG$17/$AG$16</f>
        <v>484</v>
      </c>
      <c r="AP102" s="274"/>
      <c r="AQ102" s="275"/>
      <c r="AR102" s="273">
        <f>$AG$18*2.42*$AG$17/$AG$16</f>
        <v>484</v>
      </c>
      <c r="AS102" s="274"/>
      <c r="AT102" s="275"/>
      <c r="AU102" s="92"/>
      <c r="AV102" s="80"/>
      <c r="AY102" s="92" t="s">
        <v>282</v>
      </c>
      <c r="AZ102" s="80"/>
    </row>
    <row r="103" spans="2:52" ht="15.95" customHeight="1" thickBot="1" x14ac:dyDescent="0.35">
      <c r="B103" s="22">
        <v>23</v>
      </c>
      <c r="C103" s="23"/>
      <c r="F103" s="81" t="s">
        <v>306</v>
      </c>
      <c r="G103" s="86"/>
      <c r="H103" s="331">
        <f>IF(H93="","",IF($U$10="British",AG106,AG106*0.3048))</f>
        <v>11.75503250308552</v>
      </c>
      <c r="I103" s="332"/>
      <c r="J103" s="332"/>
      <c r="K103" s="333"/>
      <c r="L103" s="331">
        <f>IF(L93="","",IF($U$10="British",AK106,AK106*0.3048))</f>
        <v>50.303935150139559</v>
      </c>
      <c r="M103" s="332"/>
      <c r="N103" s="332"/>
      <c r="O103" s="333"/>
      <c r="P103" s="331">
        <f>IF(P93="","",IF($U$10="British",AO106,AO106*0.3048))</f>
        <v>18.868564018263122</v>
      </c>
      <c r="Q103" s="332"/>
      <c r="R103" s="333"/>
      <c r="S103" s="331" t="str">
        <f>IF(S93="","",IF($U$10="British",AR106,AR106*0.3048))</f>
        <v/>
      </c>
      <c r="T103" s="332"/>
      <c r="U103" s="333"/>
      <c r="V103" s="98" t="s">
        <v>208</v>
      </c>
      <c r="W103" s="82"/>
      <c r="Y103" s="23"/>
      <c r="AE103" s="79" t="s">
        <v>303</v>
      </c>
      <c r="AF103" s="84"/>
      <c r="AG103" s="270">
        <f>CCoeff(AG101,AG102,AG76/12,$AG$16)</f>
        <v>5.5352992676349198</v>
      </c>
      <c r="AH103" s="271"/>
      <c r="AI103" s="271"/>
      <c r="AJ103" s="272"/>
      <c r="AK103" s="270">
        <f>CCoeff(AK101,AK102,AK76/12,$AG$16)</f>
        <v>4.1346967710771532</v>
      </c>
      <c r="AL103" s="271"/>
      <c r="AM103" s="271"/>
      <c r="AN103" s="272"/>
      <c r="AO103" s="270">
        <f>CCoeff(AO101,AO102,AO76/12,$AG$16)</f>
        <v>5.0355266721288681</v>
      </c>
      <c r="AP103" s="271"/>
      <c r="AQ103" s="272"/>
      <c r="AR103" s="270" t="e">
        <f>CCoeff(AR101,AR102,AR76/12,$AG$16)</f>
        <v>#VALUE!</v>
      </c>
      <c r="AS103" s="271"/>
      <c r="AT103" s="272"/>
      <c r="AU103" s="92" t="s">
        <v>26</v>
      </c>
      <c r="AV103" s="80"/>
      <c r="AY103" s="98" t="s">
        <v>208</v>
      </c>
      <c r="AZ103" s="82"/>
    </row>
    <row r="104" spans="2:52" ht="15.95" customHeight="1" x14ac:dyDescent="0.3">
      <c r="B104" s="22">
        <v>24</v>
      </c>
      <c r="C104" s="23"/>
      <c r="Y104" s="23"/>
      <c r="AE104" s="79" t="s">
        <v>304</v>
      </c>
      <c r="AF104" s="84"/>
      <c r="AG104" s="267">
        <f>1/(1/AG103+AG78+1/$AG$87)</f>
        <v>5.3669556035774217</v>
      </c>
      <c r="AH104" s="268"/>
      <c r="AI104" s="268"/>
      <c r="AJ104" s="269"/>
      <c r="AK104" s="270">
        <f>1/(1/AK103+AK78+1/$AG$87)</f>
        <v>4.040038868966743</v>
      </c>
      <c r="AL104" s="271"/>
      <c r="AM104" s="271"/>
      <c r="AN104" s="272"/>
      <c r="AO104" s="270">
        <f>1/(1/AO103+AO78+1/$AG$87)</f>
        <v>4.8958259855781456</v>
      </c>
      <c r="AP104" s="271"/>
      <c r="AQ104" s="272"/>
      <c r="AR104" s="270" t="e">
        <f>1/(1/AR103+AR78+1/$AG$87)</f>
        <v>#VALUE!</v>
      </c>
      <c r="AS104" s="271"/>
      <c r="AT104" s="272"/>
      <c r="AU104" s="92" t="s">
        <v>26</v>
      </c>
      <c r="AV104" s="80"/>
    </row>
    <row r="105" spans="2:52" ht="15.95" customHeight="1" x14ac:dyDescent="0.3">
      <c r="B105" s="22">
        <v>25</v>
      </c>
      <c r="C105" s="23"/>
      <c r="Y105" s="23"/>
      <c r="AE105" s="79" t="s">
        <v>305</v>
      </c>
      <c r="AF105" s="84"/>
      <c r="AG105" s="270">
        <f>AG93/AG104/(AG95-$AG$15)</f>
        <v>7.3089682430588692</v>
      </c>
      <c r="AH105" s="271"/>
      <c r="AI105" s="271"/>
      <c r="AJ105" s="272"/>
      <c r="AK105" s="270">
        <f>AK93/AK104/(AK95-$AG$15)</f>
        <v>31.277656137212293</v>
      </c>
      <c r="AL105" s="271"/>
      <c r="AM105" s="271"/>
      <c r="AN105" s="272"/>
      <c r="AO105" s="270">
        <f>AO93/AO104/(AO95-$AG$15)</f>
        <v>11.731973957997067</v>
      </c>
      <c r="AP105" s="271"/>
      <c r="AQ105" s="272"/>
      <c r="AR105" s="270" t="e">
        <f>AR93/AR104/(AR95-$AG$15)</f>
        <v>#VALUE!</v>
      </c>
      <c r="AS105" s="271"/>
      <c r="AT105" s="272"/>
      <c r="AU105" s="92" t="s">
        <v>282</v>
      </c>
      <c r="AV105" s="80"/>
    </row>
    <row r="106" spans="2:52" ht="15.95" customHeight="1" thickBot="1" x14ac:dyDescent="0.35">
      <c r="B106" s="22">
        <v>26</v>
      </c>
      <c r="C106" s="23"/>
      <c r="Y106" s="23"/>
      <c r="AE106" s="81" t="s">
        <v>306</v>
      </c>
      <c r="AF106" s="86"/>
      <c r="AG106" s="331">
        <f>AG105/PI()/(AG76/12)</f>
        <v>11.75503250308552</v>
      </c>
      <c r="AH106" s="332"/>
      <c r="AI106" s="332"/>
      <c r="AJ106" s="333"/>
      <c r="AK106" s="331">
        <f>AK105/PI()/(AK76/12)</f>
        <v>50.303935150139559</v>
      </c>
      <c r="AL106" s="332"/>
      <c r="AM106" s="332"/>
      <c r="AN106" s="333"/>
      <c r="AO106" s="331">
        <f>AO105/PI()/(AO76/12)</f>
        <v>18.868564018263122</v>
      </c>
      <c r="AP106" s="332"/>
      <c r="AQ106" s="333"/>
      <c r="AR106" s="331" t="e">
        <f>AR105/PI()/(AR76/12)</f>
        <v>#VALUE!</v>
      </c>
      <c r="AS106" s="332"/>
      <c r="AT106" s="333"/>
      <c r="AU106" s="98" t="s">
        <v>208</v>
      </c>
      <c r="AV106" s="82"/>
    </row>
    <row r="107" spans="2:52" ht="15.95" customHeight="1" x14ac:dyDescent="0.3">
      <c r="B107" s="22">
        <v>27</v>
      </c>
      <c r="C107" s="23"/>
      <c r="F107" s="156"/>
      <c r="G107" s="156"/>
      <c r="H107" s="156"/>
      <c r="I107" s="156"/>
      <c r="J107" s="156"/>
      <c r="K107" s="156"/>
      <c r="L107" s="156"/>
      <c r="M107" s="156"/>
      <c r="N107" s="156"/>
      <c r="O107" s="156"/>
      <c r="P107" s="156"/>
      <c r="Q107" s="156"/>
      <c r="R107" s="156"/>
      <c r="S107" s="156"/>
      <c r="T107" s="156"/>
      <c r="U107" s="156"/>
      <c r="V107" s="155"/>
      <c r="W107" s="155"/>
      <c r="Y107" s="23"/>
      <c r="AE107" s="155"/>
      <c r="AF107" s="155"/>
      <c r="AG107" s="156"/>
      <c r="AH107" s="156"/>
      <c r="AI107" s="156"/>
      <c r="AJ107" s="156"/>
      <c r="AK107" s="156"/>
      <c r="AL107" s="156"/>
      <c r="AM107" s="156"/>
      <c r="AN107" s="156"/>
      <c r="AO107" s="156"/>
      <c r="AP107" s="156"/>
      <c r="AQ107" s="156"/>
      <c r="AR107" s="156"/>
      <c r="AS107" s="156"/>
      <c r="AT107" s="156"/>
      <c r="AU107" s="155"/>
      <c r="AV107" s="155"/>
    </row>
    <row r="108" spans="2:52" ht="15.95" customHeight="1" x14ac:dyDescent="0.3">
      <c r="B108" s="22">
        <v>52</v>
      </c>
      <c r="C108" s="23"/>
      <c r="Y108" s="23"/>
      <c r="AE108" s="155">
        <f>Coeff1(AO117,AR117,AK117,$AL$16)</f>
        <v>0.57568392557313408</v>
      </c>
      <c r="AF108" s="155"/>
      <c r="AG108" s="156"/>
      <c r="AH108" s="156"/>
      <c r="AI108" s="156"/>
      <c r="AJ108" s="156"/>
      <c r="AK108" s="156"/>
      <c r="AL108" s="156"/>
      <c r="AM108" s="156"/>
      <c r="AN108" s="156"/>
      <c r="AO108" s="156"/>
      <c r="AP108" s="156"/>
      <c r="AQ108" s="156"/>
      <c r="AR108" s="156"/>
      <c r="AS108" s="156"/>
      <c r="AT108" s="156"/>
      <c r="AU108" s="155"/>
      <c r="AV108" s="155"/>
    </row>
    <row r="109" spans="2:52" ht="15.95" customHeight="1" x14ac:dyDescent="0.3">
      <c r="B109" s="22">
        <v>53</v>
      </c>
      <c r="C109" s="23"/>
      <c r="Y109" s="23"/>
      <c r="AE109" s="173">
        <f>$AL$19^2*4.17*10^8*$AL$20/(2.42*$AL$18)^2</f>
        <v>18600268.466105111</v>
      </c>
      <c r="AF109" s="155"/>
      <c r="AG109" s="156"/>
      <c r="AH109" s="156"/>
      <c r="AI109" s="156"/>
      <c r="AJ109" s="156"/>
      <c r="AK109" s="156"/>
      <c r="AL109" s="156"/>
      <c r="AM109" s="156"/>
      <c r="AN109" s="156"/>
      <c r="AO109" s="156"/>
      <c r="AP109" s="156"/>
      <c r="AQ109" s="156"/>
      <c r="AR109" s="156"/>
      <c r="AS109" s="156"/>
      <c r="AT109" s="156"/>
      <c r="AU109" s="155"/>
      <c r="AV109" s="155"/>
    </row>
    <row r="110" spans="2:52" ht="15.95" customHeight="1" x14ac:dyDescent="0.3">
      <c r="B110" s="22">
        <v>54</v>
      </c>
      <c r="C110" s="23"/>
      <c r="Y110" s="23"/>
      <c r="AE110" s="155"/>
      <c r="AF110" s="155"/>
      <c r="AG110" s="156"/>
      <c r="AH110" s="156"/>
      <c r="AI110" s="156"/>
      <c r="AJ110" s="156"/>
      <c r="AK110" s="156"/>
      <c r="AL110" s="156"/>
      <c r="AM110" s="156"/>
      <c r="AN110" s="156"/>
      <c r="AO110" s="156"/>
      <c r="AP110" s="156"/>
      <c r="AQ110" s="156"/>
      <c r="AR110" s="156"/>
      <c r="AS110" s="156"/>
      <c r="AT110" s="156"/>
      <c r="AU110" s="155"/>
      <c r="AV110" s="155"/>
    </row>
    <row r="111" spans="2:52" ht="15.95" customHeight="1" thickBot="1" x14ac:dyDescent="0.35">
      <c r="B111" s="22">
        <v>55</v>
      </c>
      <c r="C111" s="36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6"/>
      <c r="AE111" s="155"/>
      <c r="AF111" s="155"/>
      <c r="AG111" s="156"/>
      <c r="AH111" s="156"/>
      <c r="AI111" s="156"/>
      <c r="AJ111" s="156"/>
      <c r="AK111" s="156"/>
      <c r="AL111" s="156"/>
      <c r="AM111" s="156"/>
      <c r="AN111" s="156"/>
      <c r="AO111" s="156"/>
      <c r="AP111" s="156"/>
      <c r="AQ111" s="156"/>
      <c r="AR111" s="156"/>
      <c r="AS111" s="156"/>
      <c r="AT111" s="156"/>
      <c r="AU111" s="155"/>
      <c r="AV111" s="155"/>
    </row>
    <row r="112" spans="2:52" ht="15.95" customHeight="1" x14ac:dyDescent="0.3"/>
    <row r="113" spans="30:60" ht="15.95" customHeight="1" x14ac:dyDescent="0.3">
      <c r="AD113" s="132" t="s">
        <v>256</v>
      </c>
      <c r="AJ113" s="124"/>
      <c r="AK113" s="127"/>
      <c r="AO113" s="360"/>
      <c r="AP113" s="360"/>
      <c r="AQ113" s="360"/>
    </row>
    <row r="114" spans="30:60" ht="15.95" customHeight="1" x14ac:dyDescent="0.3">
      <c r="AD114" s="131" t="s">
        <v>257</v>
      </c>
      <c r="AJ114" s="10"/>
      <c r="AK114" s="128"/>
    </row>
    <row r="115" spans="30:60" ht="15.95" customHeight="1" x14ac:dyDescent="0.3">
      <c r="AD115" t="s">
        <v>258</v>
      </c>
      <c r="AJ115" s="10"/>
    </row>
    <row r="116" spans="30:60" ht="15.95" customHeight="1" x14ac:dyDescent="0.3">
      <c r="AD116" s="133"/>
      <c r="AE116" s="85"/>
      <c r="AF116" s="134"/>
      <c r="AG116" s="191" t="s">
        <v>271</v>
      </c>
      <c r="AH116" s="192"/>
      <c r="AI116" s="192"/>
      <c r="AJ116" s="193"/>
      <c r="AK116" s="191" t="s">
        <v>270</v>
      </c>
      <c r="AL116" s="192"/>
      <c r="AM116" s="192"/>
      <c r="AN116" s="193"/>
      <c r="AO116" s="191" t="s">
        <v>264</v>
      </c>
      <c r="AP116" s="192"/>
      <c r="AQ116" s="193"/>
      <c r="AR116" s="191" t="s">
        <v>265</v>
      </c>
      <c r="AS116" s="192"/>
      <c r="AT116" s="193"/>
    </row>
    <row r="117" spans="30:60" ht="15.95" customHeight="1" x14ac:dyDescent="0.3">
      <c r="AD117" s="133" t="s">
        <v>259</v>
      </c>
      <c r="AE117" s="85"/>
      <c r="AF117" s="134"/>
      <c r="AG117" s="191">
        <f>(AL15+AP15)/2</f>
        <v>42.5</v>
      </c>
      <c r="AH117" s="192"/>
      <c r="AI117" s="192"/>
      <c r="AJ117" s="193"/>
      <c r="AK117" s="191">
        <f>IF(OR(AG37=3,AG37=4),AS36,AS36-AS37)</f>
        <v>24</v>
      </c>
      <c r="AL117" s="192"/>
      <c r="AM117" s="192"/>
      <c r="AN117" s="193"/>
      <c r="AO117" s="224">
        <f>$AL$19^2*4.17*10^8*$AL$20/(2.42*$AL$18)^2*AK117^3*ABS($AL$15-AG117)</f>
        <v>1928475834565.7778</v>
      </c>
      <c r="AP117" s="225"/>
      <c r="AQ117" s="226"/>
      <c r="AR117" s="191">
        <f>$AL$18*2.42*$AL$17/$AL$16</f>
        <v>0.28046357615894041</v>
      </c>
      <c r="AS117" s="192"/>
      <c r="AT117" s="193"/>
      <c r="AZ117" s="133" t="s">
        <v>259</v>
      </c>
      <c r="BA117" s="133" t="s">
        <v>260</v>
      </c>
      <c r="BB117" s="133" t="s">
        <v>266</v>
      </c>
      <c r="BC117" s="133" t="s">
        <v>267</v>
      </c>
      <c r="BD117" s="133" t="s">
        <v>268</v>
      </c>
      <c r="BE117" s="133" t="s">
        <v>269</v>
      </c>
      <c r="BF117" s="133" t="s">
        <v>261</v>
      </c>
      <c r="BG117" s="133" t="s">
        <v>262</v>
      </c>
      <c r="BH117" s="133" t="s">
        <v>263</v>
      </c>
    </row>
    <row r="118" spans="30:60" ht="15.95" customHeight="1" x14ac:dyDescent="0.3">
      <c r="AD118" s="133" t="s">
        <v>260</v>
      </c>
      <c r="AE118" s="85"/>
      <c r="AF118" s="134"/>
      <c r="AG118" s="191">
        <f>(AG15+AP15)/2</f>
        <v>45</v>
      </c>
      <c r="AH118" s="192"/>
      <c r="AI118" s="192"/>
      <c r="AJ118" s="193"/>
      <c r="AK118" s="191">
        <f>IF(OR(AG37=3,AG37=4),AS36,AS36-AK117)</f>
        <v>24</v>
      </c>
      <c r="AL118" s="192"/>
      <c r="AM118" s="192"/>
      <c r="AN118" s="193"/>
      <c r="AO118" s="224">
        <f>$AG$19^2*4.17*10^8*$AG$20/(2.42*$AG$18)^2*AK118^3*ABS($AG$15-AG118)</f>
        <v>13474441.450720578</v>
      </c>
      <c r="AP118" s="225"/>
      <c r="AQ118" s="226"/>
      <c r="AR118" s="191">
        <f>$AG$18*2.42*$AG$17/$AG$16</f>
        <v>484</v>
      </c>
      <c r="AS118" s="192"/>
      <c r="AT118" s="193"/>
      <c r="AZ118" s="167"/>
      <c r="BA118" s="85">
        <v>45.553318382673027</v>
      </c>
      <c r="BB118" s="85"/>
      <c r="BC118" s="85"/>
      <c r="BD118" s="85"/>
      <c r="BE118" s="85"/>
      <c r="BF118" s="85"/>
      <c r="BG118" s="85"/>
      <c r="BH118" s="85"/>
    </row>
    <row r="119" spans="30:60" ht="15.95" customHeight="1" x14ac:dyDescent="0.3">
      <c r="AD119" s="133" t="s">
        <v>266</v>
      </c>
      <c r="AE119" s="85"/>
      <c r="AF119" s="134"/>
      <c r="AG119" s="191">
        <f>AG117</f>
        <v>42.5</v>
      </c>
      <c r="AH119" s="192"/>
      <c r="AI119" s="192"/>
      <c r="AJ119" s="193"/>
      <c r="AK119" s="191">
        <f>AS38</f>
        <v>20</v>
      </c>
      <c r="AL119" s="192"/>
      <c r="AM119" s="192"/>
      <c r="AN119" s="193"/>
      <c r="AO119" s="288">
        <f>$AL$19^2*4.17*10^8*$AL$20/(2.42*$AL$18)^2*AK119^3*ABS($AL$15-AG119)</f>
        <v>1116016107966.3066</v>
      </c>
      <c r="AP119" s="289"/>
      <c r="AQ119" s="290"/>
      <c r="AR119" s="191">
        <f>$AL$18*2.42*$AL$17/$AL$16</f>
        <v>0.28046357615894041</v>
      </c>
      <c r="AS119" s="192"/>
      <c r="AT119" s="193"/>
      <c r="AZ119" s="168">
        <f>calc(H52,F54,AG15,AL15,AP15,AG19,AL19,AP19,AG16,AL16,AP16,AG17,AL17,AP17,AG18,AL18,AP18,AG20,AL20,AP20,AG25,AG28,AG30,AG31,AR25,AR26,AR27,AR28,AG37,AS36,AS37,AS38,AG46,AG47,AK46,AO46,AR46,AK47,AO47,AR47)</f>
        <v>0.14147146013917763</v>
      </c>
      <c r="BA119">
        <v>51.825936723780273</v>
      </c>
    </row>
    <row r="120" spans="30:60" ht="15.95" customHeight="1" x14ac:dyDescent="0.3">
      <c r="AD120" s="133" t="s">
        <v>267</v>
      </c>
      <c r="AE120" s="85"/>
      <c r="AF120" s="134"/>
      <c r="AG120" s="191">
        <f>(AG30+AG15)/2</f>
        <v>47.5</v>
      </c>
      <c r="AH120" s="192"/>
      <c r="AI120" s="192"/>
      <c r="AJ120" s="193"/>
      <c r="AK120" s="191">
        <f>AS38</f>
        <v>20</v>
      </c>
      <c r="AL120" s="192"/>
      <c r="AM120" s="192"/>
      <c r="AN120" s="193"/>
      <c r="AO120" s="224">
        <f>$AG$19^2*4.17*10^8*$AG$20/(2.42*$AG$18)^2*AK120^3*ABS($AG$15-AG120)</f>
        <v>5848281.8796530282</v>
      </c>
      <c r="AP120" s="225"/>
      <c r="AQ120" s="226"/>
      <c r="AR120" s="191">
        <f>$AG$18*2.42*$AG$17/$AG$16</f>
        <v>484</v>
      </c>
      <c r="AS120" s="192"/>
      <c r="AT120" s="193"/>
      <c r="AZ120" s="168"/>
      <c r="BA120">
        <v>36.256777712916929</v>
      </c>
    </row>
    <row r="121" spans="30:60" ht="15.95" customHeight="1" x14ac:dyDescent="0.3">
      <c r="AD121" s="133" t="s">
        <v>268</v>
      </c>
      <c r="AE121" s="85"/>
      <c r="AF121" s="134"/>
      <c r="AG121" s="191">
        <f>IF(OR($P$45="No",$P$45=""),AG117,AP15+0.25*(AL15-AP15))</f>
        <v>42.5</v>
      </c>
      <c r="AH121" s="192"/>
      <c r="AI121" s="192"/>
      <c r="AJ121" s="193"/>
      <c r="AK121" s="191">
        <f>AS38</f>
        <v>20</v>
      </c>
      <c r="AL121" s="192"/>
      <c r="AM121" s="192"/>
      <c r="AN121" s="193"/>
      <c r="AO121" s="224">
        <f>$AP$19^2*4.17*10^8*$AP$20/(2.42*$AP$18)^2*AK121^3*ABS($AP$15-AG121)</f>
        <v>1116016107966.3066</v>
      </c>
      <c r="AP121" s="225"/>
      <c r="AQ121" s="226"/>
      <c r="AR121" s="191">
        <f>$AP$18*2.42*$AP$17/$AP$16</f>
        <v>0.28233333333333333</v>
      </c>
      <c r="AS121" s="192"/>
      <c r="AT121" s="193"/>
      <c r="AZ121" s="168"/>
      <c r="BA121">
        <v>52.631836241292916</v>
      </c>
    </row>
    <row r="122" spans="30:60" ht="15.95" customHeight="1" x14ac:dyDescent="0.3">
      <c r="AD122" s="133" t="s">
        <v>269</v>
      </c>
      <c r="AE122" s="85"/>
      <c r="AF122" s="134"/>
      <c r="AG122" s="191">
        <f>AP15+IF(OR($P$45="No",$P$45=""),0.5,0.25)*(AL15-AP15)</f>
        <v>42.5</v>
      </c>
      <c r="AH122" s="192"/>
      <c r="AI122" s="192"/>
      <c r="AJ122" s="193"/>
      <c r="AK122" s="191" t="s">
        <v>273</v>
      </c>
      <c r="AL122" s="192"/>
      <c r="AM122" s="192"/>
      <c r="AN122" s="193"/>
      <c r="AO122" s="224" t="s">
        <v>273</v>
      </c>
      <c r="AP122" s="225"/>
      <c r="AQ122" s="226"/>
      <c r="AR122" s="191" t="s">
        <v>272</v>
      </c>
      <c r="AS122" s="192"/>
      <c r="AT122" s="193"/>
    </row>
    <row r="123" spans="30:60" ht="15.95" customHeight="1" x14ac:dyDescent="0.3">
      <c r="AD123" s="133" t="s">
        <v>261</v>
      </c>
      <c r="AE123" s="85"/>
      <c r="AF123" s="134"/>
      <c r="AG123" s="191">
        <f>IF(OR(L45="No",L45=""),AG118,AP15+0.25*(AG15-AP15))</f>
        <v>40</v>
      </c>
      <c r="AH123" s="192"/>
      <c r="AI123" s="192"/>
      <c r="AJ123" s="193"/>
      <c r="AK123" s="191">
        <f>AS36</f>
        <v>48</v>
      </c>
      <c r="AL123" s="192"/>
      <c r="AM123" s="192"/>
      <c r="AN123" s="193"/>
      <c r="AO123" s="224">
        <f>$AP$19^2*4.17*10^8*$AP$20/(2.42*$AP$18)^2*AK123^3*ABS($AP$15-AG123)</f>
        <v>10285204451017.482</v>
      </c>
      <c r="AP123" s="225"/>
      <c r="AQ123" s="226"/>
      <c r="AR123" s="191">
        <f>$AP$18*2.42*$AP$17/$AP$16</f>
        <v>0.28233333333333333</v>
      </c>
      <c r="AS123" s="192"/>
      <c r="AT123" s="193"/>
    </row>
    <row r="124" spans="30:60" ht="15.95" customHeight="1" x14ac:dyDescent="0.3">
      <c r="AD124" s="133" t="s">
        <v>262</v>
      </c>
      <c r="AE124" s="85"/>
      <c r="AF124" s="134"/>
      <c r="AG124" s="191">
        <f>IF(OR(L45="No",L45=""),AG117,AP15+0.25*(AL15-AP15))</f>
        <v>38.75</v>
      </c>
      <c r="AH124" s="192"/>
      <c r="AI124" s="192"/>
      <c r="AJ124" s="193"/>
      <c r="AK124" s="191" t="s">
        <v>273</v>
      </c>
      <c r="AL124" s="192"/>
      <c r="AM124" s="192"/>
      <c r="AN124" s="193"/>
      <c r="AO124" s="191" t="s">
        <v>273</v>
      </c>
      <c r="AP124" s="192"/>
      <c r="AQ124" s="193"/>
      <c r="AR124" s="191" t="s">
        <v>272</v>
      </c>
      <c r="AS124" s="192"/>
      <c r="AT124" s="193"/>
    </row>
    <row r="125" spans="30:60" ht="15.95" customHeight="1" x14ac:dyDescent="0.3">
      <c r="AD125" s="133" t="s">
        <v>263</v>
      </c>
      <c r="AE125" s="85"/>
      <c r="AF125" s="134"/>
      <c r="AG125" s="191">
        <f>AP15+IF(OR(L45="No",L45=""),0.5,0.25)*(AG15-AP15)</f>
        <v>40</v>
      </c>
      <c r="AH125" s="192"/>
      <c r="AI125" s="192"/>
      <c r="AJ125" s="193"/>
      <c r="AK125" s="191" t="s">
        <v>273</v>
      </c>
      <c r="AL125" s="192"/>
      <c r="AM125" s="192"/>
      <c r="AN125" s="193"/>
      <c r="AO125" s="191" t="s">
        <v>273</v>
      </c>
      <c r="AP125" s="192"/>
      <c r="AQ125" s="193"/>
      <c r="AR125" s="191" t="s">
        <v>272</v>
      </c>
      <c r="AS125" s="192"/>
      <c r="AT125" s="193"/>
      <c r="AZ125" s="166" t="s">
        <v>342</v>
      </c>
    </row>
    <row r="126" spans="30:60" ht="15.95" customHeight="1" x14ac:dyDescent="0.3">
      <c r="AZ126" s="166" t="s">
        <v>345</v>
      </c>
    </row>
    <row r="127" spans="30:60" ht="15.95" customHeight="1" x14ac:dyDescent="0.3">
      <c r="AD127" t="s">
        <v>274</v>
      </c>
      <c r="AZ127" t="s">
        <v>343</v>
      </c>
    </row>
    <row r="128" spans="30:60" ht="15.95" customHeight="1" x14ac:dyDescent="0.3">
      <c r="AD128" s="133"/>
      <c r="AE128" s="85"/>
      <c r="AF128" s="134"/>
      <c r="AG128" s="191" t="s">
        <v>275</v>
      </c>
      <c r="AH128" s="192"/>
      <c r="AI128" s="192"/>
      <c r="AJ128" s="193"/>
      <c r="AK128" s="191" t="s">
        <v>276</v>
      </c>
      <c r="AL128" s="192"/>
      <c r="AM128" s="192"/>
      <c r="AN128" s="193"/>
      <c r="AO128" s="191" t="s">
        <v>277</v>
      </c>
      <c r="AP128" s="192"/>
      <c r="AQ128" s="193"/>
      <c r="AR128" s="191" t="s">
        <v>278</v>
      </c>
      <c r="AS128" s="192"/>
      <c r="AT128" s="193"/>
      <c r="AU128" s="190"/>
      <c r="AV128" s="182"/>
      <c r="AW128" s="183"/>
      <c r="AY128">
        <f>COUNTA(AD129:AD140)</f>
        <v>12</v>
      </c>
      <c r="AZ128" s="166" t="s">
        <v>344</v>
      </c>
    </row>
    <row r="129" spans="2:52" ht="15.95" customHeight="1" x14ac:dyDescent="0.3">
      <c r="AD129" s="133" t="s">
        <v>283</v>
      </c>
      <c r="AE129" s="85"/>
      <c r="AF129" s="134"/>
      <c r="AG129" s="191">
        <f>IF(MAX(Coeff1(AO117,AR117,AK117,$AL$16),Coeff2(AO117,AR117,AK117,$AL$16))&lt;&gt;0,MAX(Coeff1(AO117,AR117,AK117,$AL$16),Coeff2(AO117,AR117,AK117,$AL$16)),Coeff4(AO117,AR117,AK117,$AL$16))</f>
        <v>0.57568392557313408</v>
      </c>
      <c r="AH129" s="192"/>
      <c r="AI129" s="192"/>
      <c r="AJ129" s="193"/>
      <c r="AK129" s="191"/>
      <c r="AL129" s="192"/>
      <c r="AM129" s="192"/>
      <c r="AN129" s="193"/>
      <c r="AO129" s="191"/>
      <c r="AP129" s="192"/>
      <c r="AQ129" s="193"/>
      <c r="AR129" s="191"/>
      <c r="AS129" s="192"/>
      <c r="AT129" s="193"/>
      <c r="AU129" s="190" t="s">
        <v>26</v>
      </c>
      <c r="AV129" s="182"/>
      <c r="AW129" s="183"/>
    </row>
    <row r="130" spans="2:52" ht="15.95" customHeight="1" x14ac:dyDescent="0.3">
      <c r="AD130" s="133" t="s">
        <v>284</v>
      </c>
      <c r="AE130" s="85"/>
      <c r="AF130" s="134"/>
      <c r="AG130" s="191"/>
      <c r="AH130" s="192"/>
      <c r="AI130" s="192"/>
      <c r="AJ130" s="193"/>
      <c r="AK130" s="191">
        <f>MAX(Coeff1(AO118,AR118,AK118,$AG$16),Coeff3(AO118,AR118,AK118,$AG$16),Coeff4(AO118,AR118,AK118,$AG$16))</f>
        <v>1.4152213179077369</v>
      </c>
      <c r="AL130" s="192"/>
      <c r="AM130" s="192"/>
      <c r="AN130" s="193"/>
      <c r="AO130" s="294"/>
      <c r="AP130" s="295"/>
      <c r="AQ130" s="296"/>
      <c r="AR130" s="191"/>
      <c r="AS130" s="192"/>
      <c r="AT130" s="193"/>
      <c r="AU130" s="190" t="s">
        <v>26</v>
      </c>
      <c r="AV130" s="182"/>
      <c r="AW130" s="183"/>
    </row>
    <row r="131" spans="2:52" ht="15.95" customHeight="1" x14ac:dyDescent="0.3">
      <c r="AD131" s="133" t="s">
        <v>285</v>
      </c>
      <c r="AE131" s="85"/>
      <c r="AF131" s="134"/>
      <c r="AG131" s="191"/>
      <c r="AH131" s="192"/>
      <c r="AI131" s="192"/>
      <c r="AJ131" s="193"/>
      <c r="AK131" s="191"/>
      <c r="AL131" s="192"/>
      <c r="AM131" s="192"/>
      <c r="AN131" s="193"/>
      <c r="AO131" s="297">
        <f>Coeff5(AO119,AR119,AK119,$AL$16)</f>
        <v>0.1524745809280178</v>
      </c>
      <c r="AP131" s="298"/>
      <c r="AQ131" s="299"/>
      <c r="AR131" s="191"/>
      <c r="AS131" s="192"/>
      <c r="AT131" s="193"/>
      <c r="AU131" s="190" t="s">
        <v>26</v>
      </c>
      <c r="AV131" s="182"/>
      <c r="AW131" s="183"/>
    </row>
    <row r="132" spans="2:52" ht="15.95" customHeight="1" x14ac:dyDescent="0.3">
      <c r="AD132" s="133" t="s">
        <v>286</v>
      </c>
      <c r="AE132" s="85"/>
      <c r="AF132" s="134"/>
      <c r="AG132" s="191"/>
      <c r="AH132" s="192"/>
      <c r="AI132" s="192"/>
      <c r="AJ132" s="193"/>
      <c r="AK132" s="191"/>
      <c r="AL132" s="192"/>
      <c r="AM132" s="192"/>
      <c r="AN132" s="193"/>
      <c r="AO132" s="294"/>
      <c r="AP132" s="295"/>
      <c r="AQ132" s="296"/>
      <c r="AR132" s="191">
        <f>Coeff6(AO120,AR120,AK120,$AG$16)</f>
        <v>1.1050898585118787</v>
      </c>
      <c r="AS132" s="192"/>
      <c r="AT132" s="193"/>
      <c r="AU132" s="190" t="s">
        <v>26</v>
      </c>
      <c r="AV132" s="182"/>
      <c r="AW132" s="183"/>
    </row>
    <row r="133" spans="2:52" ht="15.95" customHeight="1" x14ac:dyDescent="0.3">
      <c r="AD133" s="133" t="s">
        <v>287</v>
      </c>
      <c r="AE133" s="85"/>
      <c r="AF133" s="134"/>
      <c r="AG133" s="191"/>
      <c r="AH133" s="192"/>
      <c r="AI133" s="192"/>
      <c r="AJ133" s="193"/>
      <c r="AK133" s="191"/>
      <c r="AL133" s="192"/>
      <c r="AM133" s="192"/>
      <c r="AN133" s="193"/>
      <c r="AO133" s="191"/>
      <c r="AP133" s="192"/>
      <c r="AQ133" s="193"/>
      <c r="AR133" s="203">
        <f>8*$AG$31/PI()/$AS$38</f>
        <v>0.10185916357881301</v>
      </c>
      <c r="AS133" s="204"/>
      <c r="AT133" s="205"/>
      <c r="AU133" s="190" t="s">
        <v>26</v>
      </c>
      <c r="AV133" s="182"/>
      <c r="AW133" s="183"/>
      <c r="AZ133">
        <f>(0.868*ABS((AL15-$AP$15)/1.8)^-0.246)*($AG$25/2.236936)+1</f>
        <v>3.3032694796041264</v>
      </c>
    </row>
    <row r="134" spans="2:52" ht="15.95" customHeight="1" x14ac:dyDescent="0.3">
      <c r="AD134" s="133" t="s">
        <v>288</v>
      </c>
      <c r="AE134" s="85"/>
      <c r="AF134" s="134"/>
      <c r="AG134" s="191">
        <f>(0.868*ABS((AL15-$AP$15)/1.8)^-0.246)*($AG$25/2.236936)+1</f>
        <v>3.3032694796041264</v>
      </c>
      <c r="AH134" s="192"/>
      <c r="AI134" s="192"/>
      <c r="AJ134" s="193"/>
      <c r="AK134" s="191">
        <f>(0.868*ABS((AG15-$AP$15)/1.8)^-0.246)*($AG$25/2.236936)+1</f>
        <v>3.145901699102954</v>
      </c>
      <c r="AL134" s="192"/>
      <c r="AM134" s="192"/>
      <c r="AN134" s="193"/>
      <c r="AO134" s="297">
        <f>(0.868*ABS((AL15-$AP$15)/1.8)^-0.246)*($AG$25/2.236936)+1</f>
        <v>3.3032694796041264</v>
      </c>
      <c r="AP134" s="298"/>
      <c r="AQ134" s="299"/>
      <c r="AR134" s="191"/>
      <c r="AS134" s="192"/>
      <c r="AT134" s="193"/>
      <c r="AU134" s="190"/>
      <c r="AV134" s="182"/>
      <c r="AW134" s="183"/>
    </row>
    <row r="135" spans="2:52" ht="15.95" customHeight="1" x14ac:dyDescent="0.3">
      <c r="AD135" s="133" t="s">
        <v>289</v>
      </c>
      <c r="AE135" s="85"/>
      <c r="AF135" s="134"/>
      <c r="AG135" s="191"/>
      <c r="AH135" s="192"/>
      <c r="AI135" s="192"/>
      <c r="AJ135" s="193"/>
      <c r="AK135" s="191"/>
      <c r="AL135" s="192"/>
      <c r="AM135" s="192"/>
      <c r="AN135" s="193"/>
      <c r="AO135" s="203">
        <f>Coeff6(AO121,AR121,AK121,$AP$16)*AO134</f>
        <v>2.1608074470843612</v>
      </c>
      <c r="AP135" s="204"/>
      <c r="AQ135" s="205"/>
      <c r="AR135" s="191"/>
      <c r="AS135" s="192"/>
      <c r="AT135" s="193"/>
      <c r="AU135" s="190" t="s">
        <v>26</v>
      </c>
      <c r="AV135" s="182"/>
      <c r="AW135" s="183"/>
    </row>
    <row r="136" spans="2:52" ht="15.95" customHeight="1" x14ac:dyDescent="0.3">
      <c r="AD136" s="133" t="s">
        <v>290</v>
      </c>
      <c r="AE136" s="85"/>
      <c r="AF136" s="134"/>
      <c r="AG136" s="191">
        <f>MAX(Coeff1(AO123,AR123,AK123,$AP$16),Coeff2(AO123,AR123,AK123,$AP$16),Coeff4(AO123,AR123,AK123,$AP$16))*AG134</f>
        <v>1.7319826593747341</v>
      </c>
      <c r="AH136" s="192"/>
      <c r="AI136" s="192"/>
      <c r="AJ136" s="193"/>
      <c r="AK136" s="191">
        <f>MAX(Coeff1(AO123,AR123,AK123,$AP$16),Coeff2(AO123,AR123,AK123,$AP$16),Coeff4(AO123,AR123,AK123,$AP$16))*AK134</f>
        <v>1.6494709936885956</v>
      </c>
      <c r="AL136" s="192"/>
      <c r="AM136" s="192"/>
      <c r="AN136" s="193"/>
      <c r="AO136" s="191"/>
      <c r="AP136" s="192"/>
      <c r="AQ136" s="193"/>
      <c r="AR136" s="191"/>
      <c r="AS136" s="192"/>
      <c r="AT136" s="193"/>
      <c r="AU136" s="190" t="s">
        <v>26</v>
      </c>
      <c r="AV136" s="182"/>
      <c r="AW136" s="183"/>
    </row>
    <row r="137" spans="2:52" ht="15.95" customHeight="1" x14ac:dyDescent="0.3">
      <c r="AD137" s="133" t="s">
        <v>291</v>
      </c>
      <c r="AE137" s="85"/>
      <c r="AF137" s="134"/>
      <c r="AG137" s="191">
        <f>Coeff7(AG124,$AP$15,$AG$28)</f>
        <v>0.75649748061621103</v>
      </c>
      <c r="AH137" s="192"/>
      <c r="AI137" s="192"/>
      <c r="AJ137" s="193"/>
      <c r="AK137" s="191">
        <f>Coeff7(AG125,$AP$15,$AG$28)</f>
        <v>0.75936414228750004</v>
      </c>
      <c r="AL137" s="192"/>
      <c r="AM137" s="192"/>
      <c r="AN137" s="193"/>
      <c r="AO137" s="191">
        <f>Coeff7(AG122,$AP$15,$AG$28)</f>
        <v>0.76512631830468758</v>
      </c>
      <c r="AP137" s="192"/>
      <c r="AQ137" s="193"/>
      <c r="AR137" s="191"/>
      <c r="AS137" s="192"/>
      <c r="AT137" s="193"/>
      <c r="AU137" s="190" t="s">
        <v>26</v>
      </c>
      <c r="AV137" s="182"/>
      <c r="AW137" s="183"/>
    </row>
    <row r="138" spans="2:52" ht="15.95" customHeight="1" x14ac:dyDescent="0.3">
      <c r="AD138" s="133" t="s">
        <v>292</v>
      </c>
      <c r="AE138" s="85"/>
      <c r="AF138" s="134"/>
      <c r="AG138" s="191">
        <f>$AG$47/($AG$46/12)</f>
        <v>640</v>
      </c>
      <c r="AH138" s="192"/>
      <c r="AI138" s="192"/>
      <c r="AJ138" s="193"/>
      <c r="AK138" s="191">
        <f>$AG$47/($AG$46/12)</f>
        <v>640</v>
      </c>
      <c r="AL138" s="192"/>
      <c r="AM138" s="192"/>
      <c r="AN138" s="193"/>
      <c r="AO138" s="191">
        <f>$AG$47/($AG$46/12)</f>
        <v>640</v>
      </c>
      <c r="AP138" s="192"/>
      <c r="AQ138" s="193"/>
      <c r="AR138" s="191">
        <f>$AG$47/($AG$46/12)</f>
        <v>640</v>
      </c>
      <c r="AS138" s="192"/>
      <c r="AT138" s="193"/>
      <c r="AU138" s="190" t="s">
        <v>26</v>
      </c>
      <c r="AV138" s="182"/>
      <c r="AW138" s="183"/>
    </row>
    <row r="139" spans="2:52" ht="15.95" customHeight="1" x14ac:dyDescent="0.3">
      <c r="AD139" s="133" t="s">
        <v>293</v>
      </c>
      <c r="AE139" s="85"/>
      <c r="AF139" s="134"/>
      <c r="AG139" s="194">
        <f>IF(OR($AK$45="",$AK$45="No"),"",$AK$47/$AK$46*12)</f>
        <v>0.22400000000000003</v>
      </c>
      <c r="AH139" s="195"/>
      <c r="AI139" s="195"/>
      <c r="AJ139" s="196"/>
      <c r="AK139" s="194">
        <f>IF(OR($AK$45="",$AK$45="No"),"",$AK$47/$AK$46*12)</f>
        <v>0.22400000000000003</v>
      </c>
      <c r="AL139" s="195"/>
      <c r="AM139" s="195"/>
      <c r="AN139" s="196"/>
      <c r="AO139" s="191" t="str">
        <f>IF(OR($AO$45="",$AO$45="No"),"",$AO$47/$AO$46*12)</f>
        <v/>
      </c>
      <c r="AP139" s="192"/>
      <c r="AQ139" s="193"/>
      <c r="AR139" s="191" t="str">
        <f>IF(OR($AR$45="",$AR$45="No"),"",$AR$47/$AR$46*12)</f>
        <v/>
      </c>
      <c r="AS139" s="192"/>
      <c r="AT139" s="193"/>
      <c r="AU139" s="190" t="s">
        <v>26</v>
      </c>
      <c r="AV139" s="182"/>
      <c r="AW139" s="183"/>
    </row>
    <row r="140" spans="2:52" ht="15.95" customHeight="1" x14ac:dyDescent="0.3">
      <c r="AD140" s="133" t="s">
        <v>294</v>
      </c>
      <c r="AE140" s="85"/>
      <c r="AF140" s="134"/>
      <c r="AG140" s="194">
        <f>1/$AR$25</f>
        <v>1000</v>
      </c>
      <c r="AH140" s="195"/>
      <c r="AI140" s="195"/>
      <c r="AJ140" s="196"/>
      <c r="AK140" s="194">
        <f>1/$AR$26</f>
        <v>800</v>
      </c>
      <c r="AL140" s="195"/>
      <c r="AM140" s="195"/>
      <c r="AN140" s="196"/>
      <c r="AO140" s="194">
        <f>IF($H$38="Roof",1/$AR$27,"")</f>
        <v>1000</v>
      </c>
      <c r="AP140" s="195"/>
      <c r="AQ140" s="195"/>
      <c r="AR140" s="194">
        <f>IF($H$39="No",1/$AR$28,"")</f>
        <v>500</v>
      </c>
      <c r="AS140" s="195"/>
      <c r="AT140" s="195"/>
      <c r="AU140" s="190" t="s">
        <v>26</v>
      </c>
      <c r="AV140" s="182"/>
      <c r="AW140" s="183"/>
    </row>
    <row r="141" spans="2:52" ht="15.95" customHeight="1" x14ac:dyDescent="0.3">
      <c r="AD141" s="133" t="s">
        <v>295</v>
      </c>
      <c r="AE141" s="85"/>
      <c r="AF141" s="134"/>
      <c r="AG141" s="291">
        <f>1/(1/AG129+1/(AG136+AG137)+1/AG138+IF(AG139="",0,1/AG139)+1/AG140)</f>
        <v>0.15138293840908701</v>
      </c>
      <c r="AH141" s="292"/>
      <c r="AI141" s="292"/>
      <c r="AJ141" s="293"/>
      <c r="AK141" s="279">
        <f>1/(1/AK130+1/(AK136+AK137)+1/AK138+IF(AK139="",0,1/AK139)+1/AK140)</f>
        <v>0.17892801000528419</v>
      </c>
      <c r="AL141" s="280"/>
      <c r="AM141" s="280"/>
      <c r="AN141" s="281"/>
      <c r="AO141" s="282">
        <f>IF(H38="Roof",1/(1/AO131+1/(AO135+AO137)+1/AO138+IF(AO139="",0,1/AO139)+1/AO140),0)</f>
        <v>0.1448686656544306</v>
      </c>
      <c r="AP141" s="283"/>
      <c r="AQ141" s="284"/>
      <c r="AR141" s="282">
        <f>1/(1/AR132+1/AR133+1/AR138+IF(AR139="",0,1/AR139)+1/AR140)</f>
        <v>9.3231892907644429E-2</v>
      </c>
      <c r="AS141" s="283"/>
      <c r="AT141" s="284"/>
      <c r="AU141" s="190" t="s">
        <v>26</v>
      </c>
      <c r="AV141" s="182"/>
      <c r="AW141" s="183"/>
    </row>
    <row r="142" spans="2:52" ht="15.95" customHeight="1" x14ac:dyDescent="0.3">
      <c r="B142" s="22"/>
    </row>
    <row r="143" spans="2:52" ht="15.95" customHeight="1" x14ac:dyDescent="0.3">
      <c r="B143" s="22"/>
      <c r="AD143" s="131" t="s">
        <v>280</v>
      </c>
      <c r="AJ143" s="10"/>
      <c r="AK143" s="128"/>
    </row>
    <row r="144" spans="2:52" ht="15.95" customHeight="1" x14ac:dyDescent="0.3">
      <c r="B144" s="22"/>
      <c r="AD144" t="s">
        <v>258</v>
      </c>
      <c r="AJ144" s="10"/>
    </row>
    <row r="145" spans="30:52" ht="15.95" customHeight="1" x14ac:dyDescent="0.3">
      <c r="AD145" s="133"/>
      <c r="AE145" s="85"/>
      <c r="AF145" s="134"/>
      <c r="AG145" s="191" t="s">
        <v>271</v>
      </c>
      <c r="AH145" s="192"/>
      <c r="AI145" s="192"/>
      <c r="AJ145" s="193"/>
      <c r="AK145" s="191" t="s">
        <v>270</v>
      </c>
      <c r="AL145" s="192"/>
      <c r="AM145" s="192"/>
      <c r="AN145" s="193"/>
      <c r="AO145" s="191" t="s">
        <v>264</v>
      </c>
      <c r="AP145" s="192"/>
      <c r="AQ145" s="193"/>
      <c r="AR145" s="191" t="s">
        <v>265</v>
      </c>
      <c r="AS145" s="192"/>
      <c r="AT145" s="193"/>
    </row>
    <row r="146" spans="30:52" ht="15.95" customHeight="1" x14ac:dyDescent="0.3">
      <c r="AD146" s="133" t="s">
        <v>259</v>
      </c>
      <c r="AE146" s="85"/>
      <c r="AF146" s="134"/>
      <c r="AG146" s="285">
        <f>$AL$15-AG141/AG129*($AL$15-$AP$15)</f>
        <v>46.055571511961851</v>
      </c>
      <c r="AH146" s="286"/>
      <c r="AI146" s="286"/>
      <c r="AJ146" s="287"/>
      <c r="AK146" s="191">
        <f t="shared" ref="AK146:AK154" si="2">AK117</f>
        <v>24</v>
      </c>
      <c r="AL146" s="192"/>
      <c r="AM146" s="192"/>
      <c r="AN146" s="193"/>
      <c r="AO146" s="288">
        <f>$AL$19^2*4.17*10^8*$AL$20/(2.42*$AL$18)^2*AK146^3*ABS($AL$15-AG146)</f>
        <v>1014231336047.2531</v>
      </c>
      <c r="AP146" s="289"/>
      <c r="AQ146" s="290"/>
      <c r="AR146" s="191">
        <f t="shared" ref="AR146:AR154" si="3">AR117</f>
        <v>0.28046357615894041</v>
      </c>
      <c r="AS146" s="192"/>
      <c r="AT146" s="193"/>
      <c r="AZ146" s="170"/>
    </row>
    <row r="147" spans="30:52" ht="15.95" customHeight="1" x14ac:dyDescent="0.3">
      <c r="AD147" s="133" t="s">
        <v>260</v>
      </c>
      <c r="AE147" s="85"/>
      <c r="AF147" s="134"/>
      <c r="AG147" s="291">
        <f>$AG$15-AK141/AK130*($AG$15-$AP$15)</f>
        <v>52.471377688546816</v>
      </c>
      <c r="AH147" s="292"/>
      <c r="AI147" s="292"/>
      <c r="AJ147" s="293"/>
      <c r="AK147" s="191">
        <f t="shared" si="2"/>
        <v>24</v>
      </c>
      <c r="AL147" s="192"/>
      <c r="AM147" s="192"/>
      <c r="AN147" s="193"/>
      <c r="AO147" s="224">
        <f>$AG$19^2*4.17*10^8*$AG$20/(2.42*$AG$18)^2*AK147^3*ABS($AG$15-AG147)</f>
        <v>3407177.3286661659</v>
      </c>
      <c r="AP147" s="225"/>
      <c r="AQ147" s="226"/>
      <c r="AR147" s="191">
        <f t="shared" si="3"/>
        <v>484</v>
      </c>
      <c r="AS147" s="192"/>
      <c r="AT147" s="193"/>
    </row>
    <row r="148" spans="30:52" ht="15.95" customHeight="1" x14ac:dyDescent="0.3">
      <c r="AD148" s="133" t="s">
        <v>266</v>
      </c>
      <c r="AE148" s="85"/>
      <c r="AF148" s="134"/>
      <c r="AG148" s="206">
        <f>$AL$15-AO141/AO131*($AL$15-$AP$15)</f>
        <v>35.748247533519496</v>
      </c>
      <c r="AH148" s="207"/>
      <c r="AI148" s="207"/>
      <c r="AJ148" s="208"/>
      <c r="AK148" s="191">
        <f t="shared" si="2"/>
        <v>20</v>
      </c>
      <c r="AL148" s="192"/>
      <c r="AM148" s="192"/>
      <c r="AN148" s="193"/>
      <c r="AO148" s="288">
        <f>$AL$19^2*4.17*10^8*$AL$20/(2.42*$AL$18)^2*AK148^3*ABS($AL$15-AG148)</f>
        <v>2120691375912.1042</v>
      </c>
      <c r="AP148" s="289"/>
      <c r="AQ148" s="290"/>
      <c r="AR148" s="191">
        <f t="shared" si="3"/>
        <v>0.28046357615894041</v>
      </c>
      <c r="AS148" s="192"/>
      <c r="AT148" s="193"/>
    </row>
    <row r="149" spans="30:52" ht="15.95" customHeight="1" x14ac:dyDescent="0.3">
      <c r="AD149" s="133" t="s">
        <v>267</v>
      </c>
      <c r="AE149" s="85"/>
      <c r="AF149" s="134"/>
      <c r="AG149" s="285">
        <f>$AG$15-AR141/AR132*($AG$15-$AP$15)</f>
        <v>53.312682137302552</v>
      </c>
      <c r="AH149" s="286"/>
      <c r="AI149" s="286"/>
      <c r="AJ149" s="287"/>
      <c r="AK149" s="191">
        <f t="shared" si="2"/>
        <v>20</v>
      </c>
      <c r="AL149" s="192"/>
      <c r="AM149" s="192"/>
      <c r="AN149" s="193"/>
      <c r="AO149" s="294">
        <f>$AG$19^2*4.17*10^8*$AG$20/(2.42*$AG$18)^2*AK149^3*ABS($AG$15-AG149)</f>
        <v>1315721.3975504481</v>
      </c>
      <c r="AP149" s="295"/>
      <c r="AQ149" s="296"/>
      <c r="AR149" s="191">
        <f t="shared" si="3"/>
        <v>484</v>
      </c>
      <c r="AS149" s="192"/>
      <c r="AT149" s="193"/>
    </row>
    <row r="150" spans="30:52" ht="15.95" customHeight="1" x14ac:dyDescent="0.3">
      <c r="AD150" s="133" t="s">
        <v>268</v>
      </c>
      <c r="AE150" s="85"/>
      <c r="AF150" s="134"/>
      <c r="AG150" s="206">
        <f>$AP$15+($AL$15-$AP$15)*AO141/(AO135+AO137)</f>
        <v>35.742679144183406</v>
      </c>
      <c r="AH150" s="207"/>
      <c r="AI150" s="207"/>
      <c r="AJ150" s="208"/>
      <c r="AK150" s="191">
        <f t="shared" si="2"/>
        <v>20</v>
      </c>
      <c r="AL150" s="192"/>
      <c r="AM150" s="192"/>
      <c r="AN150" s="193"/>
      <c r="AO150" s="191">
        <f>$AP$19^2*4.17*10^8*$AP$20/(2.42*$AP$18)^2*AK150^3*ABS($AP$15-AG150)</f>
        <v>110512251727.90823</v>
      </c>
      <c r="AP150" s="192"/>
      <c r="AQ150" s="193"/>
      <c r="AR150" s="191">
        <f t="shared" si="3"/>
        <v>0.28233333333333333</v>
      </c>
      <c r="AS150" s="192"/>
      <c r="AT150" s="193"/>
    </row>
    <row r="151" spans="30:52" ht="15.95" customHeight="1" x14ac:dyDescent="0.3">
      <c r="AD151" s="133" t="s">
        <v>269</v>
      </c>
      <c r="AE151" s="85"/>
      <c r="AF151" s="134"/>
      <c r="AG151" s="206">
        <f>$AP$15+($AL$15-$AP$15)*AO141/(AO135+AO137)</f>
        <v>35.742679144183406</v>
      </c>
      <c r="AH151" s="207"/>
      <c r="AI151" s="207"/>
      <c r="AJ151" s="208"/>
      <c r="AK151" s="191" t="str">
        <f t="shared" si="2"/>
        <v>-</v>
      </c>
      <c r="AL151" s="192"/>
      <c r="AM151" s="192"/>
      <c r="AN151" s="193"/>
      <c r="AO151" s="191" t="s">
        <v>273</v>
      </c>
      <c r="AP151" s="192"/>
      <c r="AQ151" s="193"/>
      <c r="AR151" s="191" t="str">
        <f t="shared" si="3"/>
        <v>-</v>
      </c>
      <c r="AS151" s="192"/>
      <c r="AT151" s="193"/>
    </row>
    <row r="152" spans="30:52" ht="15.95" customHeight="1" x14ac:dyDescent="0.3">
      <c r="AD152" s="133" t="s">
        <v>261</v>
      </c>
      <c r="AE152" s="85"/>
      <c r="AF152" s="134"/>
      <c r="AG152" s="206">
        <f>MAX(AG154,AG153)</f>
        <v>36.485597808940796</v>
      </c>
      <c r="AH152" s="207"/>
      <c r="AI152" s="207"/>
      <c r="AJ152" s="208"/>
      <c r="AK152" s="191">
        <f t="shared" si="2"/>
        <v>48</v>
      </c>
      <c r="AL152" s="192"/>
      <c r="AM152" s="192"/>
      <c r="AN152" s="193"/>
      <c r="AO152" s="288">
        <f>$AP$19^2*4.17*10^8*$AP$20/(2.42*$AP$18)^2*AK152^3*ABS($AP$15-AG152)</f>
        <v>3055935439387.9375</v>
      </c>
      <c r="AP152" s="289"/>
      <c r="AQ152" s="290"/>
      <c r="AR152" s="191">
        <f t="shared" si="3"/>
        <v>0.28233333333333333</v>
      </c>
      <c r="AS152" s="192"/>
      <c r="AT152" s="193"/>
    </row>
    <row r="153" spans="30:52" ht="15.95" customHeight="1" x14ac:dyDescent="0.3">
      <c r="AD153" s="133" t="s">
        <v>262</v>
      </c>
      <c r="AE153" s="85"/>
      <c r="AF153" s="134"/>
      <c r="AG153" s="206">
        <f>AG141/(AG136+AG137)*($AL$15-$AP$15)+$AP$15</f>
        <v>35.912502390372531</v>
      </c>
      <c r="AH153" s="207"/>
      <c r="AI153" s="207"/>
      <c r="AJ153" s="208"/>
      <c r="AK153" s="191" t="str">
        <f t="shared" si="2"/>
        <v>-</v>
      </c>
      <c r="AL153" s="192"/>
      <c r="AM153" s="192"/>
      <c r="AN153" s="193"/>
      <c r="AO153" s="191" t="s">
        <v>273</v>
      </c>
      <c r="AP153" s="192"/>
      <c r="AQ153" s="193"/>
      <c r="AR153" s="191" t="str">
        <f t="shared" si="3"/>
        <v>-</v>
      </c>
      <c r="AS153" s="192"/>
      <c r="AT153" s="193"/>
    </row>
    <row r="154" spans="30:52" ht="15.95" customHeight="1" x14ac:dyDescent="0.3">
      <c r="AD154" s="133" t="s">
        <v>263</v>
      </c>
      <c r="AE154" s="85"/>
      <c r="AF154" s="134"/>
      <c r="AG154" s="206">
        <f>$AP$15+($AG$15-$AP$15)*AK141/(AK136+AK137)</f>
        <v>36.485597808940796</v>
      </c>
      <c r="AH154" s="207"/>
      <c r="AI154" s="207"/>
      <c r="AJ154" s="208"/>
      <c r="AK154" s="191" t="str">
        <f t="shared" si="2"/>
        <v>-</v>
      </c>
      <c r="AL154" s="192"/>
      <c r="AM154" s="192"/>
      <c r="AN154" s="193"/>
      <c r="AO154" s="191" t="s">
        <v>273</v>
      </c>
      <c r="AP154" s="192"/>
      <c r="AQ154" s="193"/>
      <c r="AR154" s="191" t="str">
        <f t="shared" si="3"/>
        <v>-</v>
      </c>
      <c r="AS154" s="192"/>
      <c r="AT154" s="193"/>
    </row>
    <row r="155" spans="30:52" ht="15.95" customHeight="1" x14ac:dyDescent="0.3"/>
    <row r="156" spans="30:52" ht="15.95" customHeight="1" x14ac:dyDescent="0.3">
      <c r="AD156" t="s">
        <v>274</v>
      </c>
    </row>
    <row r="157" spans="30:52" ht="15.95" customHeight="1" x14ac:dyDescent="0.3">
      <c r="AD157" s="133"/>
      <c r="AE157" s="85"/>
      <c r="AF157" s="134"/>
      <c r="AG157" s="191" t="s">
        <v>275</v>
      </c>
      <c r="AH157" s="192"/>
      <c r="AI157" s="192"/>
      <c r="AJ157" s="193"/>
      <c r="AK157" s="191" t="s">
        <v>276</v>
      </c>
      <c r="AL157" s="192"/>
      <c r="AM157" s="192"/>
      <c r="AN157" s="193"/>
      <c r="AO157" s="191" t="s">
        <v>277</v>
      </c>
      <c r="AP157" s="192"/>
      <c r="AQ157" s="193"/>
      <c r="AR157" s="191" t="s">
        <v>278</v>
      </c>
      <c r="AS157" s="192"/>
      <c r="AT157" s="193"/>
      <c r="AU157" s="190"/>
      <c r="AV157" s="182"/>
      <c r="AW157" s="183"/>
    </row>
    <row r="158" spans="30:52" ht="15.95" customHeight="1" x14ac:dyDescent="0.3">
      <c r="AD158" s="133" t="s">
        <v>283</v>
      </c>
      <c r="AE158" s="85"/>
      <c r="AF158" s="134"/>
      <c r="AG158" s="191">
        <f>IF(MAX(Coeff1(AO146,AR146,AK146,$AL$16),Coeff2(AO146,AR146,AK146,$AL$16))&lt;&gt;0,MAX(Coeff1(AO146,AR146,AK146,$AL$16),Coeff2(AO146,AR146,AK146,$AL$16)),Coeff4(AO146,AR146,AK146,$AL$16))</f>
        <v>0.45678971782531796</v>
      </c>
      <c r="AH158" s="192"/>
      <c r="AI158" s="192"/>
      <c r="AJ158" s="193"/>
      <c r="AK158" s="184"/>
      <c r="AL158" s="185"/>
      <c r="AM158" s="185"/>
      <c r="AN158" s="186"/>
      <c r="AO158" s="184"/>
      <c r="AP158" s="185"/>
      <c r="AQ158" s="186"/>
      <c r="AR158" s="184"/>
      <c r="AS158" s="185"/>
      <c r="AT158" s="186"/>
      <c r="AU158" s="190" t="s">
        <v>26</v>
      </c>
      <c r="AV158" s="182"/>
      <c r="AW158" s="183"/>
    </row>
    <row r="159" spans="30:52" ht="15.95" customHeight="1" x14ac:dyDescent="0.3">
      <c r="AD159" s="133" t="s">
        <v>284</v>
      </c>
      <c r="AE159" s="85"/>
      <c r="AF159" s="134"/>
      <c r="AG159" s="184"/>
      <c r="AH159" s="185"/>
      <c r="AI159" s="185"/>
      <c r="AJ159" s="186"/>
      <c r="AK159" s="184">
        <f>MAX(Coeff1(AO147,AR147,AK147,$AG$16),Coeff3(AO147,AR147,AK147,$AG$16),Coeff4(AO147,AR147,AK147,$AG$16))</f>
        <v>1.0035646456968539</v>
      </c>
      <c r="AL159" s="185"/>
      <c r="AM159" s="185"/>
      <c r="AN159" s="186"/>
      <c r="AO159" s="184"/>
      <c r="AP159" s="185"/>
      <c r="AQ159" s="186"/>
      <c r="AR159" s="184"/>
      <c r="AS159" s="185"/>
      <c r="AT159" s="186"/>
      <c r="AU159" s="190" t="s">
        <v>26</v>
      </c>
      <c r="AV159" s="182"/>
      <c r="AW159" s="183"/>
    </row>
    <row r="160" spans="30:52" ht="15.95" customHeight="1" x14ac:dyDescent="0.3">
      <c r="AD160" s="133" t="s">
        <v>285</v>
      </c>
      <c r="AE160" s="85"/>
      <c r="AF160" s="134"/>
      <c r="AG160" s="184"/>
      <c r="AH160" s="185"/>
      <c r="AI160" s="185"/>
      <c r="AJ160" s="186"/>
      <c r="AK160" s="184"/>
      <c r="AL160" s="185"/>
      <c r="AM160" s="185"/>
      <c r="AN160" s="186"/>
      <c r="AO160" s="184">
        <f>Coeff5(AO148,AR148,AK148,$AL$16)</f>
        <v>0.17901903024253227</v>
      </c>
      <c r="AP160" s="185"/>
      <c r="AQ160" s="186"/>
      <c r="AR160" s="184"/>
      <c r="AS160" s="185"/>
      <c r="AT160" s="186"/>
      <c r="AU160" s="190" t="s">
        <v>26</v>
      </c>
      <c r="AV160" s="182"/>
      <c r="AW160" s="183"/>
    </row>
    <row r="161" spans="29:49" x14ac:dyDescent="0.3">
      <c r="AD161" s="133" t="s">
        <v>286</v>
      </c>
      <c r="AE161" s="85"/>
      <c r="AF161" s="134"/>
      <c r="AG161" s="184"/>
      <c r="AH161" s="185"/>
      <c r="AI161" s="185"/>
      <c r="AJ161" s="186"/>
      <c r="AK161" s="184"/>
      <c r="AL161" s="185"/>
      <c r="AM161" s="185"/>
      <c r="AN161" s="186"/>
      <c r="AO161" s="184"/>
      <c r="AP161" s="185"/>
      <c r="AQ161" s="186"/>
      <c r="AR161" s="184">
        <f>Coeff6(AO149,AR149,AK149,$AG$16)</f>
        <v>0.67546422913214177</v>
      </c>
      <c r="AS161" s="185"/>
      <c r="AT161" s="186"/>
      <c r="AU161" s="190" t="s">
        <v>26</v>
      </c>
      <c r="AV161" s="182"/>
      <c r="AW161" s="183"/>
    </row>
    <row r="162" spans="29:49" x14ac:dyDescent="0.3">
      <c r="AD162" s="133" t="s">
        <v>287</v>
      </c>
      <c r="AE162" s="85"/>
      <c r="AF162" s="134"/>
      <c r="AG162" s="184"/>
      <c r="AH162" s="185"/>
      <c r="AI162" s="185"/>
      <c r="AJ162" s="186"/>
      <c r="AK162" s="184"/>
      <c r="AL162" s="185"/>
      <c r="AM162" s="185"/>
      <c r="AN162" s="186"/>
      <c r="AO162" s="184"/>
      <c r="AP162" s="185"/>
      <c r="AQ162" s="186"/>
      <c r="AR162" s="184">
        <f>8*$AG$31/PI()/$AS$38</f>
        <v>0.10185916357881301</v>
      </c>
      <c r="AS162" s="185"/>
      <c r="AT162" s="186"/>
      <c r="AU162" s="190" t="s">
        <v>26</v>
      </c>
      <c r="AV162" s="182"/>
      <c r="AW162" s="183"/>
    </row>
    <row r="163" spans="29:49" x14ac:dyDescent="0.3">
      <c r="AD163" s="133" t="s">
        <v>288</v>
      </c>
      <c r="AE163" s="85"/>
      <c r="AF163" s="134"/>
      <c r="AG163" s="200">
        <f>AG134</f>
        <v>3.3032694796041264</v>
      </c>
      <c r="AH163" s="201"/>
      <c r="AI163" s="201"/>
      <c r="AJ163" s="202"/>
      <c r="AK163" s="184">
        <f>AK134</f>
        <v>3.145901699102954</v>
      </c>
      <c r="AL163" s="185"/>
      <c r="AM163" s="185"/>
      <c r="AN163" s="186"/>
      <c r="AO163" s="184">
        <f>AO134</f>
        <v>3.3032694796041264</v>
      </c>
      <c r="AP163" s="185"/>
      <c r="AQ163" s="186"/>
      <c r="AR163" s="184"/>
      <c r="AS163" s="185"/>
      <c r="AT163" s="186"/>
      <c r="AU163" s="190"/>
      <c r="AV163" s="182"/>
      <c r="AW163" s="183"/>
    </row>
    <row r="164" spans="29:49" x14ac:dyDescent="0.3">
      <c r="AD164" s="133" t="s">
        <v>289</v>
      </c>
      <c r="AE164" s="85"/>
      <c r="AF164" s="134"/>
      <c r="AG164" s="191"/>
      <c r="AH164" s="192"/>
      <c r="AI164" s="192"/>
      <c r="AJ164" s="193"/>
      <c r="AK164" s="191"/>
      <c r="AL164" s="192"/>
      <c r="AM164" s="192"/>
      <c r="AN164" s="193"/>
      <c r="AO164" s="184">
        <f>Coeff6(AO150,AR150,AK150,$AP$16)*AO163</f>
        <v>1.0074192758995602</v>
      </c>
      <c r="AP164" s="185"/>
      <c r="AQ164" s="186"/>
      <c r="AR164" s="191"/>
      <c r="AS164" s="192"/>
      <c r="AT164" s="193"/>
      <c r="AU164" s="190" t="s">
        <v>26</v>
      </c>
      <c r="AV164" s="182"/>
      <c r="AW164" s="183"/>
    </row>
    <row r="165" spans="29:49" x14ac:dyDescent="0.3">
      <c r="AD165" s="133" t="s">
        <v>290</v>
      </c>
      <c r="AE165" s="85"/>
      <c r="AF165" s="134"/>
      <c r="AG165" s="191">
        <f>MAX(Coeff1(AO152,AR152,AK152,$AP$16),Coeff2(AO152,AR152,AK152,$AP$16),Coeff4(AO152,AR152,AK152,$AP$16))*AG163</f>
        <v>1.1784018948589141</v>
      </c>
      <c r="AH165" s="192"/>
      <c r="AI165" s="192"/>
      <c r="AJ165" s="193"/>
      <c r="AK165" s="191">
        <f>MAX(Coeff1(AO152,AR152,AK152,$AP$16),Coeff2(AO152,AR152,AK152,$AP$16),Coeff4(AO152,AR152,AK152,$AP$16))*AK163</f>
        <v>1.1222628205637866</v>
      </c>
      <c r="AL165" s="192"/>
      <c r="AM165" s="192"/>
      <c r="AN165" s="193"/>
      <c r="AO165" s="184"/>
      <c r="AP165" s="185"/>
      <c r="AQ165" s="186"/>
      <c r="AR165" s="191"/>
      <c r="AS165" s="192"/>
      <c r="AT165" s="193"/>
      <c r="AU165" s="190" t="s">
        <v>26</v>
      </c>
      <c r="AV165" s="182"/>
      <c r="AW165" s="183"/>
    </row>
    <row r="166" spans="29:49" x14ac:dyDescent="0.3">
      <c r="AD166" s="133" t="s">
        <v>291</v>
      </c>
      <c r="AE166" s="85"/>
      <c r="AF166" s="134"/>
      <c r="AG166" s="184">
        <f>Coeff7(AG153,$AP$15,$AG$28)</f>
        <v>0.75002574134841626</v>
      </c>
      <c r="AH166" s="185"/>
      <c r="AI166" s="185"/>
      <c r="AJ166" s="186"/>
      <c r="AK166" s="184">
        <f>Coeff7(AG154,$AP$15,$AG$28)</f>
        <v>0.75132887860126785</v>
      </c>
      <c r="AL166" s="185"/>
      <c r="AM166" s="185"/>
      <c r="AN166" s="186"/>
      <c r="AO166" s="184">
        <f>IF(H38="Roof",Coeff7(AG151,$AP$15,$AG$28),1)</f>
        <v>0.74963997324246279</v>
      </c>
      <c r="AP166" s="185"/>
      <c r="AQ166" s="186"/>
      <c r="AR166" s="191"/>
      <c r="AS166" s="192"/>
      <c r="AT166" s="193"/>
      <c r="AU166" s="190" t="s">
        <v>26</v>
      </c>
      <c r="AV166" s="182"/>
      <c r="AW166" s="183"/>
    </row>
    <row r="167" spans="29:49" x14ac:dyDescent="0.3">
      <c r="AD167" s="133" t="s">
        <v>292</v>
      </c>
      <c r="AE167" s="85"/>
      <c r="AF167" s="134"/>
      <c r="AG167" s="191">
        <f>$AG$47/($AG$46/12)</f>
        <v>640</v>
      </c>
      <c r="AH167" s="192"/>
      <c r="AI167" s="192"/>
      <c r="AJ167" s="193"/>
      <c r="AK167" s="191">
        <f>$AG$47/($AG$46/12)</f>
        <v>640</v>
      </c>
      <c r="AL167" s="192"/>
      <c r="AM167" s="192"/>
      <c r="AN167" s="193"/>
      <c r="AO167" s="191">
        <f>$AG$47/($AG$46/12)</f>
        <v>640</v>
      </c>
      <c r="AP167" s="192"/>
      <c r="AQ167" s="193"/>
      <c r="AR167" s="191">
        <f>$AG$47/($AG$46/12)</f>
        <v>640</v>
      </c>
      <c r="AS167" s="192"/>
      <c r="AT167" s="193"/>
      <c r="AU167" s="190" t="s">
        <v>26</v>
      </c>
      <c r="AV167" s="182"/>
      <c r="AW167" s="183"/>
    </row>
    <row r="168" spans="29:49" x14ac:dyDescent="0.3">
      <c r="AD168" s="133" t="s">
        <v>293</v>
      </c>
      <c r="AE168" s="85"/>
      <c r="AF168" s="134"/>
      <c r="AG168" s="194">
        <f>IF(OR($AK$45="",$AK$45="No"),"",$AK$47/$AK$46*12)</f>
        <v>0.22400000000000003</v>
      </c>
      <c r="AH168" s="195"/>
      <c r="AI168" s="195"/>
      <c r="AJ168" s="196"/>
      <c r="AK168" s="194">
        <f>IF(OR($AK$45="",$AK$45="No"),"",$AK$47/$AK$46*12)</f>
        <v>0.22400000000000003</v>
      </c>
      <c r="AL168" s="195"/>
      <c r="AM168" s="195"/>
      <c r="AN168" s="196"/>
      <c r="AO168" s="191" t="str">
        <f>IF(OR($AO$45="",$AO$45="No"),"",$AO$47/$AO$46*12)</f>
        <v/>
      </c>
      <c r="AP168" s="192"/>
      <c r="AQ168" s="193"/>
      <c r="AR168" s="191" t="str">
        <f>IF(OR($AR$45="",$AR$45="No"),"",$AR$47/$AR$46*12)</f>
        <v/>
      </c>
      <c r="AS168" s="192"/>
      <c r="AT168" s="193"/>
      <c r="AU168" s="190" t="s">
        <v>26</v>
      </c>
      <c r="AV168" s="182"/>
      <c r="AW168" s="183"/>
    </row>
    <row r="169" spans="29:49" x14ac:dyDescent="0.3">
      <c r="AD169" s="133" t="s">
        <v>294</v>
      </c>
      <c r="AE169" s="85"/>
      <c r="AF169" s="134"/>
      <c r="AG169" s="194">
        <f>1/$AR$25</f>
        <v>1000</v>
      </c>
      <c r="AH169" s="195"/>
      <c r="AI169" s="195"/>
      <c r="AJ169" s="196"/>
      <c r="AK169" s="194">
        <f>1/$AR$26</f>
        <v>800</v>
      </c>
      <c r="AL169" s="195"/>
      <c r="AM169" s="195"/>
      <c r="AN169" s="196"/>
      <c r="AO169" s="194">
        <f>IF($H$38="Roof",1/$AR$27,"")</f>
        <v>1000</v>
      </c>
      <c r="AP169" s="195"/>
      <c r="AQ169" s="196"/>
      <c r="AR169" s="194">
        <f>IF($H$39="No",1/$AR$28,"")</f>
        <v>500</v>
      </c>
      <c r="AS169" s="195"/>
      <c r="AT169" s="196"/>
      <c r="AU169" s="190" t="s">
        <v>26</v>
      </c>
      <c r="AV169" s="182"/>
      <c r="AW169" s="183"/>
    </row>
    <row r="170" spans="29:49" x14ac:dyDescent="0.3">
      <c r="AD170" s="133" t="s">
        <v>295</v>
      </c>
      <c r="AE170" s="85"/>
      <c r="AF170" s="134"/>
      <c r="AG170" s="279">
        <f>1/(1/AG158+1/(AG165+AG166)+1/AG167+IF(AG168="",0,1/AG168)+1/AG169)</f>
        <v>0.13938066007510302</v>
      </c>
      <c r="AH170" s="280"/>
      <c r="AI170" s="280"/>
      <c r="AJ170" s="281"/>
      <c r="AK170" s="279">
        <f>1/(1/AK159+1/(AK165+AK166)+1/AK167+IF(AK168="",0,1/AK168)+1/AK169)</f>
        <v>0.1667422440356103</v>
      </c>
      <c r="AL170" s="280"/>
      <c r="AM170" s="280"/>
      <c r="AN170" s="281"/>
      <c r="AO170" s="282">
        <f>1/(1/AO160+1/(AO164+AO166)+1/AO167+IF(AO168="",0,1/AO168)+1/AO169)</f>
        <v>0.16239846740259514</v>
      </c>
      <c r="AP170" s="283"/>
      <c r="AQ170" s="284"/>
      <c r="AR170" s="282">
        <f>1/(1/AR161+1/AR162+1/AR167+IF(AR168="",0,1/AR168)+1/AR169)</f>
        <v>8.8483807344986801E-2</v>
      </c>
      <c r="AS170" s="283"/>
      <c r="AT170" s="284"/>
      <c r="AU170" s="190" t="s">
        <v>26</v>
      </c>
      <c r="AV170" s="182"/>
      <c r="AW170" s="183"/>
    </row>
    <row r="171" spans="29:49" x14ac:dyDescent="0.3">
      <c r="AG171" s="250"/>
      <c r="AH171" s="250"/>
      <c r="AI171" s="250"/>
      <c r="AJ171" s="250"/>
      <c r="AK171" s="250"/>
      <c r="AL171" s="250"/>
      <c r="AM171" s="250"/>
      <c r="AN171" s="250"/>
      <c r="AO171" s="251"/>
      <c r="AP171" s="251"/>
      <c r="AQ171" s="251"/>
      <c r="AR171" s="251"/>
      <c r="AS171" s="251"/>
      <c r="AT171" s="251"/>
    </row>
    <row r="172" spans="29:49" x14ac:dyDescent="0.3">
      <c r="AD172" s="131" t="s">
        <v>279</v>
      </c>
      <c r="AG172" s="230"/>
      <c r="AH172" s="230"/>
      <c r="AI172" s="230"/>
      <c r="AJ172" s="230"/>
      <c r="AK172" s="230"/>
      <c r="AL172" s="230"/>
      <c r="AM172" s="230"/>
      <c r="AN172" s="230"/>
      <c r="AO172" s="231"/>
      <c r="AP172" s="231"/>
      <c r="AQ172" s="231"/>
      <c r="AR172" s="231"/>
      <c r="AS172" s="231"/>
      <c r="AT172" s="231"/>
      <c r="AU172" s="230"/>
      <c r="AV172" s="230"/>
      <c r="AW172" s="230"/>
    </row>
    <row r="173" spans="29:49" x14ac:dyDescent="0.3">
      <c r="AD173" t="s">
        <v>258</v>
      </c>
      <c r="AJ173" s="10"/>
    </row>
    <row r="174" spans="29:49" x14ac:dyDescent="0.3">
      <c r="AD174" s="133"/>
      <c r="AE174" s="85"/>
      <c r="AF174" s="134"/>
      <c r="AG174" s="191" t="s">
        <v>271</v>
      </c>
      <c r="AH174" s="192"/>
      <c r="AI174" s="192"/>
      <c r="AJ174" s="193"/>
      <c r="AK174" s="191" t="s">
        <v>270</v>
      </c>
      <c r="AL174" s="192"/>
      <c r="AM174" s="192"/>
      <c r="AN174" s="193"/>
      <c r="AO174" s="191" t="s">
        <v>264</v>
      </c>
      <c r="AP174" s="192"/>
      <c r="AQ174" s="193"/>
      <c r="AR174" s="191" t="s">
        <v>265</v>
      </c>
      <c r="AS174" s="192"/>
      <c r="AT174" s="193"/>
    </row>
    <row r="175" spans="29:49" x14ac:dyDescent="0.3">
      <c r="AC175">
        <v>0</v>
      </c>
      <c r="AD175" s="133" t="s">
        <v>259</v>
      </c>
      <c r="AE175" s="85"/>
      <c r="AF175" s="134"/>
      <c r="AG175" s="285">
        <f>$AL$15-AG170/AG158*($AL$15-$AP$15)</f>
        <v>45.423036422360852</v>
      </c>
      <c r="AH175" s="286"/>
      <c r="AI175" s="286"/>
      <c r="AJ175" s="287"/>
      <c r="AK175" s="191">
        <f t="shared" ref="AK175:AK183" si="4">AK146</f>
        <v>24</v>
      </c>
      <c r="AL175" s="192"/>
      <c r="AM175" s="192"/>
      <c r="AN175" s="193"/>
      <c r="AO175" s="215">
        <f>$AL$19^2*4.17*10^8*$AL$20/(2.42*$AL$18)^2*AK175^3*ABS($AL$15-AG175)</f>
        <v>1176875154021.9766</v>
      </c>
      <c r="AP175" s="216"/>
      <c r="AQ175" s="217"/>
      <c r="AR175" s="191">
        <f t="shared" ref="AR175:AR183" si="5">AR146</f>
        <v>0.28046357615894041</v>
      </c>
      <c r="AS175" s="192"/>
      <c r="AT175" s="193"/>
    </row>
    <row r="176" spans="29:49" x14ac:dyDescent="0.3">
      <c r="AC176">
        <v>1</v>
      </c>
      <c r="AD176" s="133" t="s">
        <v>260</v>
      </c>
      <c r="AE176" s="85"/>
      <c r="AF176" s="134"/>
      <c r="AG176" s="206">
        <f>$AG$15-AK170/AK159*($AG$15-$AP$15)</f>
        <v>51.677000435386439</v>
      </c>
      <c r="AH176" s="207"/>
      <c r="AI176" s="207"/>
      <c r="AJ176" s="208"/>
      <c r="AK176" s="191">
        <f t="shared" si="4"/>
        <v>24</v>
      </c>
      <c r="AL176" s="192"/>
      <c r="AM176" s="192"/>
      <c r="AN176" s="193"/>
      <c r="AO176" s="209">
        <f>$AG$19^2*4.17*10^8*$AG$20/(2.42*$AG$18)^2*AK176^3*ABS($AG$15-AG176)</f>
        <v>4477556.3074155394</v>
      </c>
      <c r="AP176" s="210"/>
      <c r="AQ176" s="211"/>
      <c r="AR176" s="191">
        <f t="shared" si="5"/>
        <v>484</v>
      </c>
      <c r="AS176" s="192"/>
      <c r="AT176" s="193"/>
    </row>
    <row r="177" spans="29:49" x14ac:dyDescent="0.3">
      <c r="AC177">
        <v>2</v>
      </c>
      <c r="AD177" s="133" t="s">
        <v>266</v>
      </c>
      <c r="AE177" s="85"/>
      <c r="AF177" s="134"/>
      <c r="AG177" s="206">
        <f>$AL$15-AO170/AO160*($AL$15-$AP$15)</f>
        <v>36.392636538480282</v>
      </c>
      <c r="AH177" s="207"/>
      <c r="AI177" s="207"/>
      <c r="AJ177" s="208"/>
      <c r="AK177" s="191">
        <f t="shared" si="4"/>
        <v>20</v>
      </c>
      <c r="AL177" s="192"/>
      <c r="AM177" s="192"/>
      <c r="AN177" s="193"/>
      <c r="AO177" s="209">
        <f>$AL$19^2*4.17*10^8*$AL$20/(2.42*$AL$18)^2*AK177^3*ABS($AL$15-AG177)</f>
        <v>2024804908001.0886</v>
      </c>
      <c r="AP177" s="210"/>
      <c r="AQ177" s="211"/>
      <c r="AR177" s="191">
        <f t="shared" si="5"/>
        <v>0.28046357615894041</v>
      </c>
      <c r="AS177" s="192"/>
      <c r="AT177" s="193"/>
    </row>
    <row r="178" spans="29:49" x14ac:dyDescent="0.3">
      <c r="AC178">
        <v>3</v>
      </c>
      <c r="AD178" s="133" t="s">
        <v>267</v>
      </c>
      <c r="AE178" s="85"/>
      <c r="AF178" s="134"/>
      <c r="AG178" s="206">
        <f>$AG$15-AR170/AR161*($AG$15-$AP$15)</f>
        <v>52.380059416064903</v>
      </c>
      <c r="AH178" s="207"/>
      <c r="AI178" s="207"/>
      <c r="AJ178" s="208"/>
      <c r="AK178" s="191">
        <f t="shared" si="4"/>
        <v>20</v>
      </c>
      <c r="AL178" s="192"/>
      <c r="AM178" s="192"/>
      <c r="AN178" s="193"/>
      <c r="AO178" s="224">
        <f>$AG$19^2*4.17*10^8*$AG$20/(2.42*$AG$18)^2*AK178^3*ABS($AG$15-AG178)</f>
        <v>2042953.4723726937</v>
      </c>
      <c r="AP178" s="225"/>
      <c r="AQ178" s="226"/>
      <c r="AR178" s="191">
        <f t="shared" si="5"/>
        <v>484</v>
      </c>
      <c r="AS178" s="192"/>
      <c r="AT178" s="193"/>
    </row>
    <row r="179" spans="29:49" x14ac:dyDescent="0.3">
      <c r="AC179">
        <v>4</v>
      </c>
      <c r="AD179" s="133" t="s">
        <v>268</v>
      </c>
      <c r="AE179" s="85"/>
      <c r="AF179" s="134"/>
      <c r="AG179" s="206">
        <f>$AP$15+($AL$15-$AP$15)*AO170/(AO164+AO166)</f>
        <v>36.386394347389491</v>
      </c>
      <c r="AH179" s="207"/>
      <c r="AI179" s="207"/>
      <c r="AJ179" s="208"/>
      <c r="AK179" s="191">
        <f t="shared" si="4"/>
        <v>20</v>
      </c>
      <c r="AL179" s="192"/>
      <c r="AM179" s="192"/>
      <c r="AN179" s="193"/>
      <c r="AO179" s="209">
        <f>$AP$19^2*4.17*10^8*$AP$20/(2.42*$AP$18)^2*AK179^3*ABS($AP$15-AG179)</f>
        <v>206298456490.68094</v>
      </c>
      <c r="AP179" s="210"/>
      <c r="AQ179" s="211"/>
      <c r="AR179" s="191">
        <f t="shared" si="5"/>
        <v>0.28233333333333333</v>
      </c>
      <c r="AS179" s="192"/>
      <c r="AT179" s="193"/>
    </row>
    <row r="180" spans="29:49" x14ac:dyDescent="0.3">
      <c r="AC180">
        <v>5</v>
      </c>
      <c r="AD180" s="133" t="s">
        <v>269</v>
      </c>
      <c r="AE180" s="85"/>
      <c r="AF180" s="134"/>
      <c r="AG180" s="206">
        <f>$AP$15+($AL$15-$AP$15)*AO170/(AO164+AO166)</f>
        <v>36.386394347389491</v>
      </c>
      <c r="AH180" s="207"/>
      <c r="AI180" s="207"/>
      <c r="AJ180" s="208"/>
      <c r="AK180" s="191" t="str">
        <f t="shared" si="4"/>
        <v>-</v>
      </c>
      <c r="AL180" s="192"/>
      <c r="AM180" s="192"/>
      <c r="AN180" s="193"/>
      <c r="AO180" s="209" t="s">
        <v>273</v>
      </c>
      <c r="AP180" s="210"/>
      <c r="AQ180" s="211"/>
      <c r="AR180" s="191" t="str">
        <f t="shared" si="5"/>
        <v>-</v>
      </c>
      <c r="AS180" s="192"/>
      <c r="AT180" s="193"/>
    </row>
    <row r="181" spans="29:49" x14ac:dyDescent="0.3">
      <c r="AC181">
        <v>6</v>
      </c>
      <c r="AD181" s="133" t="s">
        <v>261</v>
      </c>
      <c r="AE181" s="85"/>
      <c r="AF181" s="134"/>
      <c r="AG181" s="206">
        <f>MAX(AG183,AG182)</f>
        <v>36.779920823837095</v>
      </c>
      <c r="AH181" s="207"/>
      <c r="AI181" s="207"/>
      <c r="AJ181" s="208"/>
      <c r="AK181" s="191">
        <f t="shared" si="4"/>
        <v>48</v>
      </c>
      <c r="AL181" s="192"/>
      <c r="AM181" s="192"/>
      <c r="AN181" s="193"/>
      <c r="AO181" s="209">
        <f>$AP$19^2*4.17*10^8*$AP$20/(2.42*$AP$18)^2*AK181^3*ABS($AP$15-AG181)</f>
        <v>3661369915957.5986</v>
      </c>
      <c r="AP181" s="210"/>
      <c r="AQ181" s="211"/>
      <c r="AR181" s="191">
        <f t="shared" si="5"/>
        <v>0.28233333333333333</v>
      </c>
      <c r="AS181" s="192"/>
      <c r="AT181" s="193"/>
    </row>
    <row r="182" spans="29:49" x14ac:dyDescent="0.3">
      <c r="AC182">
        <v>7</v>
      </c>
      <c r="AD182" s="133" t="s">
        <v>262</v>
      </c>
      <c r="AE182" s="85"/>
      <c r="AF182" s="134"/>
      <c r="AG182" s="206">
        <f>AG170/(AG165+AG166)*($AL$15-$AP$15)+$AP$15</f>
        <v>36.084152633924276</v>
      </c>
      <c r="AH182" s="207"/>
      <c r="AI182" s="207"/>
      <c r="AJ182" s="208"/>
      <c r="AK182" s="191" t="str">
        <f t="shared" si="4"/>
        <v>-</v>
      </c>
      <c r="AL182" s="192"/>
      <c r="AM182" s="192"/>
      <c r="AN182" s="193"/>
      <c r="AO182" s="209" t="s">
        <v>273</v>
      </c>
      <c r="AP182" s="210"/>
      <c r="AQ182" s="211"/>
      <c r="AR182" s="191" t="str">
        <f t="shared" si="5"/>
        <v>-</v>
      </c>
      <c r="AS182" s="192"/>
      <c r="AT182" s="193"/>
    </row>
    <row r="183" spans="29:49" x14ac:dyDescent="0.3">
      <c r="AC183">
        <v>8</v>
      </c>
      <c r="AD183" s="133" t="s">
        <v>263</v>
      </c>
      <c r="AE183" s="85"/>
      <c r="AF183" s="134"/>
      <c r="AG183" s="206">
        <f>$AP$15+($AG$15-$AP$15)*AK170/(AK165+AK166)</f>
        <v>36.779920823837095</v>
      </c>
      <c r="AH183" s="207"/>
      <c r="AI183" s="207"/>
      <c r="AJ183" s="208"/>
      <c r="AK183" s="191" t="str">
        <f t="shared" si="4"/>
        <v>-</v>
      </c>
      <c r="AL183" s="192"/>
      <c r="AM183" s="192"/>
      <c r="AN183" s="193"/>
      <c r="AO183" s="191" t="s">
        <v>273</v>
      </c>
      <c r="AP183" s="192"/>
      <c r="AQ183" s="193"/>
      <c r="AR183" s="191" t="str">
        <f t="shared" si="5"/>
        <v>-</v>
      </c>
      <c r="AS183" s="192"/>
      <c r="AT183" s="193"/>
    </row>
    <row r="185" spans="29:49" x14ac:dyDescent="0.3">
      <c r="AD185" t="s">
        <v>274</v>
      </c>
    </row>
    <row r="186" spans="29:49" x14ac:dyDescent="0.3">
      <c r="AD186" s="133"/>
      <c r="AE186" s="85"/>
      <c r="AF186" s="134"/>
      <c r="AG186" s="191" t="s">
        <v>275</v>
      </c>
      <c r="AH186" s="192"/>
      <c r="AI186" s="192"/>
      <c r="AJ186" s="193"/>
      <c r="AK186" s="191" t="s">
        <v>276</v>
      </c>
      <c r="AL186" s="192"/>
      <c r="AM186" s="192"/>
      <c r="AN186" s="193"/>
      <c r="AO186" s="191" t="s">
        <v>277</v>
      </c>
      <c r="AP186" s="192"/>
      <c r="AQ186" s="193"/>
      <c r="AR186" s="191" t="s">
        <v>278</v>
      </c>
      <c r="AS186" s="192"/>
      <c r="AT186" s="193"/>
      <c r="AU186" s="190"/>
      <c r="AV186" s="182"/>
      <c r="AW186" s="183"/>
    </row>
    <row r="187" spans="29:49" x14ac:dyDescent="0.3">
      <c r="AD187" s="133" t="s">
        <v>283</v>
      </c>
      <c r="AE187" s="85"/>
      <c r="AF187" s="134"/>
      <c r="AG187" s="191">
        <f>IF(MAX(Coeff1(AO175,AR175,AK175,$AL$16),Coeff2(AO175,AR175,AK175,$AL$16))&lt;&gt;0,MAX(Coeff1(AO175,AR175,AK175,$AL$16),Coeff2(AO175,AR175,AK175,$AL$16)),Coeff4(AO175,AR175,AK175,$AL$16))</f>
        <v>0.48191443222369462</v>
      </c>
      <c r="AH187" s="192"/>
      <c r="AI187" s="192"/>
      <c r="AJ187" s="193"/>
      <c r="AK187" s="184"/>
      <c r="AL187" s="185"/>
      <c r="AM187" s="185"/>
      <c r="AN187" s="186"/>
      <c r="AO187" s="184"/>
      <c r="AP187" s="185"/>
      <c r="AQ187" s="186"/>
      <c r="AR187" s="184"/>
      <c r="AS187" s="185"/>
      <c r="AT187" s="186"/>
      <c r="AU187" s="190" t="s">
        <v>26</v>
      </c>
      <c r="AV187" s="182"/>
      <c r="AW187" s="183"/>
    </row>
    <row r="188" spans="29:49" x14ac:dyDescent="0.3">
      <c r="AD188" s="133" t="s">
        <v>284</v>
      </c>
      <c r="AE188" s="85"/>
      <c r="AF188" s="134"/>
      <c r="AG188" s="184"/>
      <c r="AH188" s="185"/>
      <c r="AI188" s="185"/>
      <c r="AJ188" s="186"/>
      <c r="AK188" s="191">
        <f>MAX(Coeff1(AO176,AR176,AK176,$AG$16),Coeff3(AO176,AR176,AK176,$AG$16),Coeff4(AO176,AR176,AK176,$AG$16))</f>
        <v>1.0745012695425817</v>
      </c>
      <c r="AL188" s="192"/>
      <c r="AM188" s="192"/>
      <c r="AN188" s="193"/>
      <c r="AO188" s="184"/>
      <c r="AP188" s="185"/>
      <c r="AQ188" s="186"/>
      <c r="AR188" s="184"/>
      <c r="AS188" s="185"/>
      <c r="AT188" s="186"/>
      <c r="AU188" s="190" t="s">
        <v>26</v>
      </c>
      <c r="AV188" s="182"/>
      <c r="AW188" s="183"/>
    </row>
    <row r="189" spans="29:49" x14ac:dyDescent="0.3">
      <c r="AD189" s="133" t="s">
        <v>285</v>
      </c>
      <c r="AE189" s="85"/>
      <c r="AF189" s="134"/>
      <c r="AG189" s="184"/>
      <c r="AH189" s="185"/>
      <c r="AI189" s="185"/>
      <c r="AJ189" s="186"/>
      <c r="AK189" s="184"/>
      <c r="AL189" s="185"/>
      <c r="AM189" s="185"/>
      <c r="AN189" s="186"/>
      <c r="AO189" s="203">
        <f>Coeff5(AO177,AR177,AK177,$AL$16)</f>
        <v>0.1769602115645568</v>
      </c>
      <c r="AP189" s="204"/>
      <c r="AQ189" s="205"/>
      <c r="AR189" s="184"/>
      <c r="AS189" s="185"/>
      <c r="AT189" s="186"/>
      <c r="AU189" s="190" t="s">
        <v>26</v>
      </c>
      <c r="AV189" s="182"/>
      <c r="AW189" s="183"/>
    </row>
    <row r="190" spans="29:49" x14ac:dyDescent="0.3">
      <c r="AD190" s="133" t="s">
        <v>286</v>
      </c>
      <c r="AE190" s="85"/>
      <c r="AF190" s="134"/>
      <c r="AG190" s="184"/>
      <c r="AH190" s="185"/>
      <c r="AI190" s="185"/>
      <c r="AJ190" s="186"/>
      <c r="AK190" s="184"/>
      <c r="AL190" s="185"/>
      <c r="AM190" s="185"/>
      <c r="AN190" s="186"/>
      <c r="AO190" s="184"/>
      <c r="AP190" s="185"/>
      <c r="AQ190" s="186"/>
      <c r="AR190" s="200">
        <f>Coeff6(AO178,AR178,AK178,$AG$16)</f>
        <v>0.78102251266866629</v>
      </c>
      <c r="AS190" s="201"/>
      <c r="AT190" s="202"/>
      <c r="AU190" s="190" t="s">
        <v>26</v>
      </c>
      <c r="AV190" s="182"/>
      <c r="AW190" s="183"/>
    </row>
    <row r="191" spans="29:49" x14ac:dyDescent="0.3">
      <c r="AD191" s="133" t="s">
        <v>287</v>
      </c>
      <c r="AE191" s="85"/>
      <c r="AF191" s="134"/>
      <c r="AG191" s="184"/>
      <c r="AH191" s="185"/>
      <c r="AI191" s="185"/>
      <c r="AJ191" s="186"/>
      <c r="AK191" s="184"/>
      <c r="AL191" s="185"/>
      <c r="AM191" s="185"/>
      <c r="AN191" s="186"/>
      <c r="AO191" s="184"/>
      <c r="AP191" s="185"/>
      <c r="AQ191" s="186"/>
      <c r="AR191" s="200">
        <f>8*$AG$31/PI()/$AS$38</f>
        <v>0.10185916357881301</v>
      </c>
      <c r="AS191" s="201"/>
      <c r="AT191" s="202"/>
      <c r="AU191" s="190" t="s">
        <v>26</v>
      </c>
      <c r="AV191" s="182"/>
      <c r="AW191" s="183"/>
    </row>
    <row r="192" spans="29:49" x14ac:dyDescent="0.3">
      <c r="AD192" s="133" t="s">
        <v>288</v>
      </c>
      <c r="AE192" s="85"/>
      <c r="AF192" s="134"/>
      <c r="AG192" s="184">
        <f>AG163</f>
        <v>3.3032694796041264</v>
      </c>
      <c r="AH192" s="185"/>
      <c r="AI192" s="185"/>
      <c r="AJ192" s="186"/>
      <c r="AK192" s="184">
        <f>AK163</f>
        <v>3.145901699102954</v>
      </c>
      <c r="AL192" s="185"/>
      <c r="AM192" s="185"/>
      <c r="AN192" s="186"/>
      <c r="AO192" s="184">
        <f>AO163</f>
        <v>3.3032694796041264</v>
      </c>
      <c r="AP192" s="185"/>
      <c r="AQ192" s="186"/>
      <c r="AR192" s="184"/>
      <c r="AS192" s="185"/>
      <c r="AT192" s="186"/>
      <c r="AU192" s="190"/>
      <c r="AV192" s="182"/>
      <c r="AW192" s="183"/>
    </row>
    <row r="193" spans="29:54" x14ac:dyDescent="0.3">
      <c r="AD193" s="133" t="s">
        <v>289</v>
      </c>
      <c r="AE193" s="85"/>
      <c r="AF193" s="134"/>
      <c r="AG193" s="184"/>
      <c r="AH193" s="185"/>
      <c r="AI193" s="185"/>
      <c r="AJ193" s="186"/>
      <c r="AK193" s="184"/>
      <c r="AL193" s="185"/>
      <c r="AM193" s="185"/>
      <c r="AN193" s="186"/>
      <c r="AO193" s="184">
        <f>Coeff6(AO179,AR179,AK179,$AP$16)*AO192</f>
        <v>1.2378513313557695</v>
      </c>
      <c r="AP193" s="185"/>
      <c r="AQ193" s="186"/>
      <c r="AR193" s="184"/>
      <c r="AS193" s="185"/>
      <c r="AT193" s="186"/>
      <c r="AU193" s="190" t="s">
        <v>26</v>
      </c>
      <c r="AV193" s="182"/>
      <c r="AW193" s="183"/>
    </row>
    <row r="194" spans="29:54" x14ac:dyDescent="0.3">
      <c r="AD194" s="133" t="s">
        <v>290</v>
      </c>
      <c r="AE194" s="85"/>
      <c r="AF194" s="134"/>
      <c r="AG194" s="191">
        <f>MAX(Coeff1(AO181,AR181,AK181,$AP$16),Coeff2(AO181,AR181,AK181,$AP$16),Coeff4(AO181,AR181,AK181,$AP$16))*AG192</f>
        <v>1.2328728552917791</v>
      </c>
      <c r="AH194" s="192"/>
      <c r="AI194" s="192"/>
      <c r="AJ194" s="193"/>
      <c r="AK194" s="191">
        <f>MAX(Coeff1(AO181,AR181,AK181,$AP$16),Coeff2(AO181,AR181,AK181,$AP$16),Coeff4(AO181,AR181,AK181,$AP$16))*AK192</f>
        <v>1.1741387840707229</v>
      </c>
      <c r="AL194" s="192"/>
      <c r="AM194" s="192"/>
      <c r="AN194" s="193"/>
      <c r="AO194" s="184"/>
      <c r="AP194" s="185"/>
      <c r="AQ194" s="186"/>
      <c r="AR194" s="184"/>
      <c r="AS194" s="185"/>
      <c r="AT194" s="186"/>
      <c r="AU194" s="190" t="s">
        <v>26</v>
      </c>
      <c r="AV194" s="182"/>
      <c r="AW194" s="183"/>
    </row>
    <row r="195" spans="29:54" x14ac:dyDescent="0.3">
      <c r="AD195" s="133" t="s">
        <v>291</v>
      </c>
      <c r="AE195" s="85"/>
      <c r="AF195" s="134"/>
      <c r="AG195" s="184">
        <f>Coeff7(AG182,$AP$15,$AG$28)</f>
        <v>0.75041583880662943</v>
      </c>
      <c r="AH195" s="185"/>
      <c r="AI195" s="185"/>
      <c r="AJ195" s="186"/>
      <c r="AK195" s="184">
        <f>Coeff7(AG183,$AP$15,$AG$28)</f>
        <v>0.75199890813208481</v>
      </c>
      <c r="AL195" s="185"/>
      <c r="AM195" s="185"/>
      <c r="AN195" s="186"/>
      <c r="AO195" s="187">
        <f>Coeff7(AG180,$AP$15,$AG$28)</f>
        <v>0.75110316029641622</v>
      </c>
      <c r="AP195" s="188"/>
      <c r="AQ195" s="189"/>
      <c r="AR195" s="184"/>
      <c r="AS195" s="185"/>
      <c r="AT195" s="186"/>
      <c r="AU195" s="190" t="s">
        <v>26</v>
      </c>
      <c r="AV195" s="182"/>
      <c r="AW195" s="183"/>
    </row>
    <row r="196" spans="29:54" x14ac:dyDescent="0.3">
      <c r="AD196" s="133" t="s">
        <v>292</v>
      </c>
      <c r="AE196" s="85"/>
      <c r="AF196" s="134"/>
      <c r="AG196" s="191">
        <f>$AG$47/($AG$46/12)</f>
        <v>640</v>
      </c>
      <c r="AH196" s="192"/>
      <c r="AI196" s="192"/>
      <c r="AJ196" s="193"/>
      <c r="AK196" s="191">
        <f>$AG$47/($AG$46/12)</f>
        <v>640</v>
      </c>
      <c r="AL196" s="192"/>
      <c r="AM196" s="192"/>
      <c r="AN196" s="193"/>
      <c r="AO196" s="191">
        <f>$AG$47/($AG$46/12)</f>
        <v>640</v>
      </c>
      <c r="AP196" s="192"/>
      <c r="AQ196" s="193"/>
      <c r="AR196" s="191">
        <f>$AG$47/($AG$46/12)</f>
        <v>640</v>
      </c>
      <c r="AS196" s="192"/>
      <c r="AT196" s="193"/>
      <c r="AU196" s="190" t="s">
        <v>26</v>
      </c>
      <c r="AV196" s="182"/>
      <c r="AW196" s="183"/>
    </row>
    <row r="197" spans="29:54" x14ac:dyDescent="0.3">
      <c r="AD197" s="133" t="s">
        <v>293</v>
      </c>
      <c r="AE197" s="85"/>
      <c r="AF197" s="134"/>
      <c r="AG197" s="194">
        <f>IF(OR($AK$45="",$AK$45="No"),"",$AK$47/$AK$46*12)</f>
        <v>0.22400000000000003</v>
      </c>
      <c r="AH197" s="195"/>
      <c r="AI197" s="195"/>
      <c r="AJ197" s="196"/>
      <c r="AK197" s="194">
        <f>IF(OR($AK$45="",$AK$45="No"),"",$AK$47/$AK$46*12)</f>
        <v>0.22400000000000003</v>
      </c>
      <c r="AL197" s="195"/>
      <c r="AM197" s="195"/>
      <c r="AN197" s="196"/>
      <c r="AO197" s="191" t="str">
        <f>IF(OR($AO$45="",$AO$45="No"),"",$AO$47/$AO$46*12)</f>
        <v/>
      </c>
      <c r="AP197" s="192"/>
      <c r="AQ197" s="193"/>
      <c r="AR197" s="191" t="str">
        <f>IF(OR($AR$45="",$AR$45="No"),"",$AR$47/$AR$46*12)</f>
        <v/>
      </c>
      <c r="AS197" s="192"/>
      <c r="AT197" s="193"/>
      <c r="AU197" s="190" t="s">
        <v>26</v>
      </c>
      <c r="AV197" s="182"/>
      <c r="AW197" s="183"/>
    </row>
    <row r="198" spans="29:54" x14ac:dyDescent="0.3">
      <c r="AD198" s="133" t="s">
        <v>294</v>
      </c>
      <c r="AE198" s="85"/>
      <c r="AF198" s="134"/>
      <c r="AG198" s="194">
        <f>1/$AR$25</f>
        <v>1000</v>
      </c>
      <c r="AH198" s="195"/>
      <c r="AI198" s="195"/>
      <c r="AJ198" s="196"/>
      <c r="AK198" s="194">
        <f>1/$AR$26</f>
        <v>800</v>
      </c>
      <c r="AL198" s="195"/>
      <c r="AM198" s="195"/>
      <c r="AN198" s="196"/>
      <c r="AO198" s="194">
        <f>IF($H$38="Roof",1/$AR$27,"")</f>
        <v>1000</v>
      </c>
      <c r="AP198" s="195"/>
      <c r="AQ198" s="195"/>
      <c r="AR198" s="194">
        <f>IF($H$39="No",1/$AR$28,"")</f>
        <v>500</v>
      </c>
      <c r="AS198" s="195"/>
      <c r="AT198" s="195"/>
      <c r="AU198" s="190" t="s">
        <v>26</v>
      </c>
      <c r="AV198" s="182"/>
      <c r="AW198" s="183"/>
    </row>
    <row r="199" spans="29:54" x14ac:dyDescent="0.3">
      <c r="AD199" s="133" t="s">
        <v>295</v>
      </c>
      <c r="AE199" s="85"/>
      <c r="AF199" s="134"/>
      <c r="AG199" s="279">
        <f>1/(1/AG187+1/(AG194+AG195)+1/AG196+IF(AG197="",0,1/AG197)+1/AG198)</f>
        <v>0.14192211097214411</v>
      </c>
      <c r="AH199" s="280"/>
      <c r="AI199" s="280"/>
      <c r="AJ199" s="281"/>
      <c r="AK199" s="279">
        <f>1/(1/AK188+1/(AK194+AK195)+1/AK196+IF(AK197="",0,1/AK197)+1/AK198)</f>
        <v>0.169006384757213</v>
      </c>
      <c r="AL199" s="280"/>
      <c r="AM199" s="280"/>
      <c r="AN199" s="281"/>
      <c r="AO199" s="282">
        <f>1/(1/AO189+1/(AO193+AO195)+1/AO196+IF(AO197="",0,1/AO197)+1/AO198)</f>
        <v>0.16243451573209358</v>
      </c>
      <c r="AP199" s="283"/>
      <c r="AQ199" s="284"/>
      <c r="AR199" s="282">
        <f>1/(1/AR190+1/AR191+1/AR196+IF(AR197="",0,1/AR197)+1/AR198)</f>
        <v>9.0078628466966168E-2</v>
      </c>
      <c r="AS199" s="283"/>
      <c r="AT199" s="284"/>
      <c r="AU199" s="190" t="s">
        <v>26</v>
      </c>
      <c r="AV199" s="182"/>
      <c r="AW199" s="183"/>
    </row>
    <row r="200" spans="29:54" x14ac:dyDescent="0.3">
      <c r="AG200" s="250"/>
      <c r="AH200" s="250"/>
      <c r="AI200" s="250"/>
      <c r="AJ200" s="250"/>
      <c r="AK200" s="250"/>
      <c r="AL200" s="250"/>
      <c r="AM200" s="250"/>
      <c r="AN200" s="250"/>
      <c r="AO200" s="251"/>
      <c r="AP200" s="251"/>
      <c r="AQ200" s="251"/>
      <c r="AR200" s="251"/>
      <c r="AS200" s="251"/>
      <c r="AT200" s="251"/>
    </row>
    <row r="201" spans="29:54" x14ac:dyDescent="0.3">
      <c r="AC201" s="135"/>
      <c r="AD201" s="131" t="s">
        <v>347</v>
      </c>
      <c r="AG201" s="230"/>
      <c r="AH201" s="230"/>
      <c r="AI201" s="230"/>
      <c r="AJ201" s="230"/>
      <c r="AK201" s="230"/>
      <c r="AL201" s="230"/>
      <c r="AM201" s="230"/>
      <c r="AN201" s="230"/>
      <c r="AO201" s="231"/>
      <c r="AP201" s="231"/>
      <c r="AQ201" s="231"/>
      <c r="AR201" s="231"/>
      <c r="AS201" s="231"/>
      <c r="AT201" s="231"/>
      <c r="AU201" s="230"/>
      <c r="AV201" s="230"/>
      <c r="AW201" s="230"/>
      <c r="AX201" s="135"/>
      <c r="AY201" s="135"/>
      <c r="AZ201" s="135"/>
      <c r="BA201" s="135"/>
      <c r="BB201" s="135"/>
    </row>
    <row r="202" spans="29:54" x14ac:dyDescent="0.3">
      <c r="AC202" s="135"/>
      <c r="AD202" t="s">
        <v>258</v>
      </c>
      <c r="AJ202" s="10"/>
      <c r="AX202" s="135"/>
      <c r="AY202" s="135"/>
      <c r="AZ202" s="135"/>
      <c r="BA202" s="135"/>
      <c r="BB202" s="135"/>
    </row>
    <row r="203" spans="29:54" x14ac:dyDescent="0.3">
      <c r="AC203" s="135"/>
      <c r="AD203" s="133"/>
      <c r="AE203" s="85"/>
      <c r="AF203" s="134"/>
      <c r="AG203" s="191" t="s">
        <v>271</v>
      </c>
      <c r="AH203" s="192"/>
      <c r="AI203" s="192"/>
      <c r="AJ203" s="193"/>
      <c r="AK203" s="191" t="s">
        <v>270</v>
      </c>
      <c r="AL203" s="192"/>
      <c r="AM203" s="192"/>
      <c r="AN203" s="193"/>
      <c r="AO203" s="191" t="s">
        <v>264</v>
      </c>
      <c r="AP203" s="192"/>
      <c r="AQ203" s="193"/>
      <c r="AR203" s="191" t="s">
        <v>265</v>
      </c>
      <c r="AS203" s="192"/>
      <c r="AT203" s="193"/>
      <c r="AX203" s="135"/>
      <c r="AY203" s="135"/>
      <c r="AZ203" s="135"/>
      <c r="BA203" s="135"/>
      <c r="BB203" s="135"/>
    </row>
    <row r="204" spans="29:54" x14ac:dyDescent="0.3">
      <c r="AC204" s="135"/>
      <c r="AD204" s="133" t="s">
        <v>259</v>
      </c>
      <c r="AE204" s="85"/>
      <c r="AF204" s="134"/>
      <c r="AG204" s="206">
        <f>$AL$15-AG199/AG187*($AL$15-$AP$15)</f>
        <v>45.582552581463254</v>
      </c>
      <c r="AH204" s="207"/>
      <c r="AI204" s="207"/>
      <c r="AJ204" s="208"/>
      <c r="AK204" s="191">
        <f t="shared" ref="AK204:AK212" si="6">AK175</f>
        <v>24</v>
      </c>
      <c r="AL204" s="192"/>
      <c r="AM204" s="192"/>
      <c r="AN204" s="193"/>
      <c r="AO204" s="215">
        <f>$AL$19^2*4.17*10^8*$AL$20/(2.42*$AL$18)^2*AK204^3*ABS($AL$15-AG204)</f>
        <v>1135858746281.7456</v>
      </c>
      <c r="AP204" s="216"/>
      <c r="AQ204" s="217"/>
      <c r="AR204" s="191">
        <f t="shared" ref="AR204:AR212" si="7">AR175</f>
        <v>0.28046357615894041</v>
      </c>
      <c r="AS204" s="192"/>
      <c r="AT204" s="193"/>
      <c r="AX204" s="135"/>
      <c r="AY204" s="135"/>
      <c r="AZ204" s="135"/>
      <c r="BA204" s="135"/>
      <c r="BB204" s="135"/>
    </row>
    <row r="205" spans="29:54" x14ac:dyDescent="0.3">
      <c r="AC205" s="135"/>
      <c r="AD205" s="133" t="s">
        <v>260</v>
      </c>
      <c r="AE205" s="85"/>
      <c r="AF205" s="134"/>
      <c r="AG205" s="206">
        <f>$AG$15-AK199/AK188*($AG$15-$AP$15)</f>
        <v>51.854235736191185</v>
      </c>
      <c r="AH205" s="207"/>
      <c r="AI205" s="207"/>
      <c r="AJ205" s="208"/>
      <c r="AK205" s="191">
        <f t="shared" si="6"/>
        <v>24</v>
      </c>
      <c r="AL205" s="192"/>
      <c r="AM205" s="192"/>
      <c r="AN205" s="193"/>
      <c r="AO205" s="209">
        <f>$AG$19^2*4.17*10^8*$AG$20/(2.42*$AG$18)^2*AK205^3*ABS($AG$15-AG205)</f>
        <v>4238741.6390461</v>
      </c>
      <c r="AP205" s="210"/>
      <c r="AQ205" s="211"/>
      <c r="AR205" s="191">
        <f t="shared" si="7"/>
        <v>484</v>
      </c>
      <c r="AS205" s="192"/>
      <c r="AT205" s="193"/>
      <c r="AX205" s="135"/>
      <c r="AY205" s="135"/>
      <c r="AZ205" s="135"/>
      <c r="BA205" s="135"/>
      <c r="BB205" s="135"/>
    </row>
    <row r="206" spans="29:54" x14ac:dyDescent="0.3">
      <c r="AC206" s="135"/>
      <c r="AD206" s="133" t="s">
        <v>266</v>
      </c>
      <c r="AE206" s="85"/>
      <c r="AF206" s="134"/>
      <c r="AG206" s="206">
        <f>$AL$15-AO199/AO189*($AL$15-$AP$15)</f>
        <v>36.231267953177493</v>
      </c>
      <c r="AH206" s="207"/>
      <c r="AI206" s="207"/>
      <c r="AJ206" s="208"/>
      <c r="AK206" s="191">
        <f t="shared" si="6"/>
        <v>20</v>
      </c>
      <c r="AL206" s="192"/>
      <c r="AM206" s="192"/>
      <c r="AN206" s="193"/>
      <c r="AO206" s="209">
        <f>$AL$19^2*4.17*10^8*$AL$20/(2.42*$AL$18)^2*AK206^3*ABS($AL$15-AG206)</f>
        <v>2048816900070.1084</v>
      </c>
      <c r="AP206" s="210"/>
      <c r="AQ206" s="211"/>
      <c r="AR206" s="191">
        <f t="shared" si="7"/>
        <v>0.28046357615894041</v>
      </c>
      <c r="AS206" s="192"/>
      <c r="AT206" s="193"/>
      <c r="AX206" s="135"/>
      <c r="AY206" s="135"/>
      <c r="AZ206" s="135"/>
      <c r="BA206" s="135"/>
      <c r="BB206" s="135"/>
    </row>
    <row r="207" spans="29:54" x14ac:dyDescent="0.3">
      <c r="AC207" s="135"/>
      <c r="AD207" s="133" t="s">
        <v>267</v>
      </c>
      <c r="AE207" s="85"/>
      <c r="AF207" s="134"/>
      <c r="AG207" s="206">
        <f>$AG$15-AR199/AR190*($AG$15-$AP$15)</f>
        <v>52.693315442107355</v>
      </c>
      <c r="AH207" s="207"/>
      <c r="AI207" s="207"/>
      <c r="AJ207" s="208"/>
      <c r="AK207" s="191">
        <f t="shared" si="6"/>
        <v>20</v>
      </c>
      <c r="AL207" s="192"/>
      <c r="AM207" s="192"/>
      <c r="AN207" s="193"/>
      <c r="AO207" s="224">
        <f>$AG$19^2*4.17*10^8*$AG$20/(2.42*$AG$18)^2*AK207^3*ABS($AG$15-AG207)</f>
        <v>1798685.533599868</v>
      </c>
      <c r="AP207" s="225"/>
      <c r="AQ207" s="226"/>
      <c r="AR207" s="191">
        <f t="shared" si="7"/>
        <v>484</v>
      </c>
      <c r="AS207" s="192"/>
      <c r="AT207" s="193"/>
      <c r="AX207" s="135"/>
      <c r="AY207" s="135"/>
      <c r="AZ207" s="135"/>
      <c r="BA207" s="135"/>
      <c r="BB207" s="135"/>
    </row>
    <row r="208" spans="29:54" x14ac:dyDescent="0.3">
      <c r="AC208" s="135"/>
      <c r="AD208" s="133" t="s">
        <v>268</v>
      </c>
      <c r="AE208" s="85"/>
      <c r="AF208" s="134"/>
      <c r="AG208" s="206">
        <f>$AP$15+($AL$15-$AP$15)*AO199/(AO193+AO195)</f>
        <v>36.225024376479041</v>
      </c>
      <c r="AH208" s="207"/>
      <c r="AI208" s="207"/>
      <c r="AJ208" s="208"/>
      <c r="AK208" s="191">
        <f t="shared" si="6"/>
        <v>20</v>
      </c>
      <c r="AL208" s="192"/>
      <c r="AM208" s="192"/>
      <c r="AN208" s="193"/>
      <c r="AO208" s="209">
        <f>$AP$19^2*4.17*10^8*$AP$20/(2.42*$AP$18)^2*AK208^3*ABS($AP$15-AG208)</f>
        <v>182286258240.26547</v>
      </c>
      <c r="AP208" s="210"/>
      <c r="AQ208" s="211"/>
      <c r="AR208" s="191">
        <f t="shared" si="7"/>
        <v>0.28233333333333333</v>
      </c>
      <c r="AS208" s="192"/>
      <c r="AT208" s="193"/>
      <c r="AX208" s="135"/>
      <c r="AY208" s="135"/>
      <c r="AZ208" s="135"/>
      <c r="BA208" s="135"/>
      <c r="BB208" s="135"/>
    </row>
    <row r="209" spans="29:54" x14ac:dyDescent="0.3">
      <c r="AC209" s="135"/>
      <c r="AD209" s="133" t="s">
        <v>269</v>
      </c>
      <c r="AE209" s="85"/>
      <c r="AF209" s="134"/>
      <c r="AG209" s="206">
        <f>$AP$15+($AL$15-$AP$15)*AO199/(AO193+AO195)</f>
        <v>36.225024376479041</v>
      </c>
      <c r="AH209" s="207"/>
      <c r="AI209" s="207"/>
      <c r="AJ209" s="208"/>
      <c r="AK209" s="191" t="str">
        <f t="shared" si="6"/>
        <v>-</v>
      </c>
      <c r="AL209" s="192"/>
      <c r="AM209" s="192"/>
      <c r="AN209" s="193"/>
      <c r="AO209" s="209" t="s">
        <v>273</v>
      </c>
      <c r="AP209" s="210"/>
      <c r="AQ209" s="211"/>
      <c r="AR209" s="191" t="str">
        <f t="shared" si="7"/>
        <v>-</v>
      </c>
      <c r="AS209" s="192"/>
      <c r="AT209" s="193"/>
      <c r="AX209" s="135"/>
      <c r="AY209" s="135"/>
      <c r="AZ209" s="135"/>
      <c r="BA209" s="135"/>
      <c r="BB209" s="135"/>
    </row>
    <row r="210" spans="29:54" x14ac:dyDescent="0.3">
      <c r="AC210" s="135"/>
      <c r="AD210" s="133" t="s">
        <v>261</v>
      </c>
      <c r="AE210" s="85"/>
      <c r="AF210" s="134"/>
      <c r="AG210" s="206">
        <f>MAX(AG212,AG211)</f>
        <v>36.754873345154579</v>
      </c>
      <c r="AH210" s="207"/>
      <c r="AI210" s="207"/>
      <c r="AJ210" s="208"/>
      <c r="AK210" s="191">
        <f t="shared" si="6"/>
        <v>48</v>
      </c>
      <c r="AL210" s="192"/>
      <c r="AM210" s="192"/>
      <c r="AN210" s="193"/>
      <c r="AO210" s="209">
        <f>$AP$19^2*4.17*10^8*$AP$20/(2.42*$AP$18)^2*AK210^3*ABS($AP$15-AG210)</f>
        <v>3609846228111.1616</v>
      </c>
      <c r="AP210" s="210"/>
      <c r="AQ210" s="211"/>
      <c r="AR210" s="191">
        <f t="shared" si="7"/>
        <v>0.28233333333333333</v>
      </c>
      <c r="AS210" s="192"/>
      <c r="AT210" s="193"/>
      <c r="AX210" s="135"/>
      <c r="AY210" s="135"/>
      <c r="AZ210" s="135"/>
      <c r="BA210" s="135"/>
      <c r="BB210" s="135"/>
    </row>
    <row r="211" spans="29:54" x14ac:dyDescent="0.3">
      <c r="AC211" s="135"/>
      <c r="AD211" s="133" t="s">
        <v>262</v>
      </c>
      <c r="AE211" s="85"/>
      <c r="AF211" s="134"/>
      <c r="AG211" s="206">
        <f>AG199/(AG194+AG195)*($AL$15-$AP$15)+$AP$15</f>
        <v>36.073384662009538</v>
      </c>
      <c r="AH211" s="207"/>
      <c r="AI211" s="207"/>
      <c r="AJ211" s="208"/>
      <c r="AK211" s="191" t="str">
        <f t="shared" si="6"/>
        <v>-</v>
      </c>
      <c r="AL211" s="192"/>
      <c r="AM211" s="192"/>
      <c r="AN211" s="193"/>
      <c r="AO211" s="209" t="s">
        <v>273</v>
      </c>
      <c r="AP211" s="210"/>
      <c r="AQ211" s="211"/>
      <c r="AR211" s="191" t="str">
        <f t="shared" si="7"/>
        <v>-</v>
      </c>
      <c r="AS211" s="192"/>
      <c r="AT211" s="193"/>
      <c r="AX211" s="135"/>
      <c r="AY211" s="135"/>
      <c r="AZ211" s="135"/>
      <c r="BA211" s="135"/>
      <c r="BB211" s="135"/>
    </row>
    <row r="212" spans="29:54" x14ac:dyDescent="0.3">
      <c r="AC212" s="135"/>
      <c r="AD212" s="133" t="s">
        <v>263</v>
      </c>
      <c r="AE212" s="85"/>
      <c r="AF212" s="134"/>
      <c r="AG212" s="206">
        <f>$AP$15+($AG$15-$AP$15)*AK199/(AK194+AK195)</f>
        <v>36.754873345154579</v>
      </c>
      <c r="AH212" s="207"/>
      <c r="AI212" s="207"/>
      <c r="AJ212" s="208"/>
      <c r="AK212" s="191" t="str">
        <f t="shared" si="6"/>
        <v>-</v>
      </c>
      <c r="AL212" s="192"/>
      <c r="AM212" s="192"/>
      <c r="AN212" s="193"/>
      <c r="AO212" s="191" t="s">
        <v>273</v>
      </c>
      <c r="AP212" s="192"/>
      <c r="AQ212" s="193"/>
      <c r="AR212" s="191" t="str">
        <f t="shared" si="7"/>
        <v>-</v>
      </c>
      <c r="AS212" s="192"/>
      <c r="AT212" s="193"/>
      <c r="AX212" s="135"/>
      <c r="AY212" s="135"/>
      <c r="AZ212" s="135"/>
      <c r="BA212" s="135"/>
      <c r="BB212" s="135"/>
    </row>
    <row r="213" spans="29:54" x14ac:dyDescent="0.3">
      <c r="AC213" s="135"/>
      <c r="AX213" s="135"/>
      <c r="AY213" s="135"/>
      <c r="AZ213" s="135"/>
      <c r="BA213" s="135"/>
      <c r="BB213" s="135"/>
    </row>
    <row r="214" spans="29:54" x14ac:dyDescent="0.3">
      <c r="AC214" s="135"/>
      <c r="AD214" t="s">
        <v>274</v>
      </c>
      <c r="AX214" s="135"/>
      <c r="AY214" s="135"/>
      <c r="AZ214" s="135"/>
      <c r="BA214" s="135"/>
      <c r="BB214" s="135"/>
    </row>
    <row r="215" spans="29:54" x14ac:dyDescent="0.3">
      <c r="AC215" s="135"/>
      <c r="AD215" s="133"/>
      <c r="AE215" s="85"/>
      <c r="AF215" s="134"/>
      <c r="AG215" s="191" t="s">
        <v>21</v>
      </c>
      <c r="AH215" s="192"/>
      <c r="AI215" s="192"/>
      <c r="AJ215" s="193"/>
      <c r="AK215" s="191" t="s">
        <v>22</v>
      </c>
      <c r="AL215" s="192"/>
      <c r="AM215" s="192"/>
      <c r="AN215" s="193"/>
      <c r="AO215" s="191" t="s">
        <v>23</v>
      </c>
      <c r="AP215" s="192"/>
      <c r="AQ215" s="193"/>
      <c r="AR215" s="191" t="s">
        <v>24</v>
      </c>
      <c r="AS215" s="192"/>
      <c r="AT215" s="193"/>
      <c r="AU215" s="190"/>
      <c r="AV215" s="182"/>
      <c r="AW215" s="183"/>
      <c r="AX215" s="135"/>
      <c r="AY215" s="135"/>
      <c r="AZ215" s="135"/>
      <c r="BA215" s="135"/>
      <c r="BB215" s="135"/>
    </row>
    <row r="216" spans="29:54" x14ac:dyDescent="0.3">
      <c r="AC216" s="135"/>
      <c r="AD216" s="133" t="s">
        <v>283</v>
      </c>
      <c r="AE216" s="85"/>
      <c r="AF216" s="134"/>
      <c r="AG216" s="191">
        <f>IF(MAX(Coeff1(AO204,AR204,AK204,$AL$16),Coeff2(AO204,AR204,AK204,$AL$16))&lt;&gt;0,MAX(Coeff1(AO204,AR204,AK204,$AL$16),Coeff2(AO204,AR204,AK204,$AL$16)),Coeff4(AO204,AR204,AK204,$AL$16))</f>
        <v>0.47579924465298751</v>
      </c>
      <c r="AH216" s="192"/>
      <c r="AI216" s="192"/>
      <c r="AJ216" s="193"/>
      <c r="AK216" s="184"/>
      <c r="AL216" s="185"/>
      <c r="AM216" s="185"/>
      <c r="AN216" s="186"/>
      <c r="AO216" s="184"/>
      <c r="AP216" s="185"/>
      <c r="AQ216" s="186"/>
      <c r="AR216" s="184"/>
      <c r="AS216" s="185"/>
      <c r="AT216" s="186"/>
      <c r="AU216" s="190" t="s">
        <v>26</v>
      </c>
      <c r="AV216" s="182"/>
      <c r="AW216" s="183"/>
      <c r="AX216" s="135"/>
      <c r="AY216" s="135"/>
      <c r="AZ216" s="135"/>
      <c r="BA216" s="135"/>
      <c r="BB216" s="135"/>
    </row>
    <row r="217" spans="29:54" x14ac:dyDescent="0.3">
      <c r="AC217" s="135"/>
      <c r="AD217" s="133" t="s">
        <v>284</v>
      </c>
      <c r="AE217" s="85"/>
      <c r="AF217" s="134"/>
      <c r="AG217" s="184"/>
      <c r="AH217" s="185"/>
      <c r="AI217" s="185"/>
      <c r="AJ217" s="186"/>
      <c r="AK217" s="191">
        <f>MAX(Coeff1(AO205,AR205,AK205,$AG$16),Coeff3(AO205,AR205,AK205,$AG$16),Coeff4(AO205,AR205,AK205,$AG$16))</f>
        <v>1.0598780681699806</v>
      </c>
      <c r="AL217" s="192"/>
      <c r="AM217" s="192"/>
      <c r="AN217" s="193"/>
      <c r="AO217" s="184"/>
      <c r="AP217" s="185"/>
      <c r="AQ217" s="186"/>
      <c r="AR217" s="184"/>
      <c r="AS217" s="185"/>
      <c r="AT217" s="186"/>
      <c r="AU217" s="190" t="s">
        <v>26</v>
      </c>
      <c r="AV217" s="182"/>
      <c r="AW217" s="183"/>
      <c r="AX217" s="135"/>
      <c r="AY217" s="135"/>
      <c r="AZ217" s="135"/>
      <c r="BA217" s="135"/>
      <c r="BB217" s="135"/>
    </row>
    <row r="218" spans="29:54" x14ac:dyDescent="0.3">
      <c r="AC218" s="135"/>
      <c r="AD218" s="133" t="s">
        <v>285</v>
      </c>
      <c r="AE218" s="85"/>
      <c r="AF218" s="134"/>
      <c r="AG218" s="184"/>
      <c r="AH218" s="185"/>
      <c r="AI218" s="185"/>
      <c r="AJ218" s="186"/>
      <c r="AK218" s="184"/>
      <c r="AL218" s="185"/>
      <c r="AM218" s="185"/>
      <c r="AN218" s="186"/>
      <c r="AO218" s="203">
        <f>Coeff5(AO206,AR206,AK206,$AL$16)</f>
        <v>0.1774825335422299</v>
      </c>
      <c r="AP218" s="204"/>
      <c r="AQ218" s="205"/>
      <c r="AR218" s="184"/>
      <c r="AS218" s="185"/>
      <c r="AT218" s="186"/>
      <c r="AU218" s="190" t="s">
        <v>26</v>
      </c>
      <c r="AV218" s="182"/>
      <c r="AW218" s="183"/>
      <c r="AX218" s="135"/>
      <c r="AY218" s="135"/>
      <c r="AZ218" s="135"/>
      <c r="BA218" s="135"/>
      <c r="BB218" s="135"/>
    </row>
    <row r="219" spans="29:54" x14ac:dyDescent="0.3">
      <c r="AC219" s="135"/>
      <c r="AD219" s="133" t="s">
        <v>286</v>
      </c>
      <c r="AE219" s="85"/>
      <c r="AF219" s="134"/>
      <c r="AG219" s="184"/>
      <c r="AH219" s="185"/>
      <c r="AI219" s="185"/>
      <c r="AJ219" s="186"/>
      <c r="AK219" s="184"/>
      <c r="AL219" s="185"/>
      <c r="AM219" s="185"/>
      <c r="AN219" s="186"/>
      <c r="AO219" s="184"/>
      <c r="AP219" s="185"/>
      <c r="AQ219" s="186"/>
      <c r="AR219" s="200">
        <f>Coeff6(AO207,AR207,AK207,$AG$16)</f>
        <v>0.74888216053213796</v>
      </c>
      <c r="AS219" s="201"/>
      <c r="AT219" s="202"/>
      <c r="AU219" s="190" t="s">
        <v>26</v>
      </c>
      <c r="AV219" s="182"/>
      <c r="AW219" s="183"/>
      <c r="AX219" s="135"/>
      <c r="AY219" s="135"/>
      <c r="AZ219" s="135"/>
      <c r="BA219" s="135"/>
      <c r="BB219" s="135"/>
    </row>
    <row r="220" spans="29:54" x14ac:dyDescent="0.3">
      <c r="AC220" s="135"/>
      <c r="AD220" s="133" t="s">
        <v>287</v>
      </c>
      <c r="AE220" s="85"/>
      <c r="AF220" s="134"/>
      <c r="AG220" s="184"/>
      <c r="AH220" s="185"/>
      <c r="AI220" s="185"/>
      <c r="AJ220" s="186"/>
      <c r="AK220" s="184"/>
      <c r="AL220" s="185"/>
      <c r="AM220" s="185"/>
      <c r="AN220" s="186"/>
      <c r="AO220" s="184"/>
      <c r="AP220" s="185"/>
      <c r="AQ220" s="186"/>
      <c r="AR220" s="200">
        <f>8*$AG$31/PI()/$AS$38</f>
        <v>0.10185916357881301</v>
      </c>
      <c r="AS220" s="201"/>
      <c r="AT220" s="202"/>
      <c r="AU220" s="190" t="s">
        <v>26</v>
      </c>
      <c r="AV220" s="182"/>
      <c r="AW220" s="183"/>
      <c r="AX220" s="135"/>
      <c r="AY220" s="135"/>
      <c r="AZ220" s="135"/>
      <c r="BA220" s="135"/>
      <c r="BB220" s="135"/>
    </row>
    <row r="221" spans="29:54" x14ac:dyDescent="0.3">
      <c r="AC221" s="135"/>
      <c r="AD221" s="133" t="s">
        <v>288</v>
      </c>
      <c r="AE221" s="85"/>
      <c r="AF221" s="134"/>
      <c r="AG221" s="184">
        <f>AG192</f>
        <v>3.3032694796041264</v>
      </c>
      <c r="AH221" s="185"/>
      <c r="AI221" s="185"/>
      <c r="AJ221" s="186"/>
      <c r="AK221" s="184">
        <f>AK192</f>
        <v>3.145901699102954</v>
      </c>
      <c r="AL221" s="185"/>
      <c r="AM221" s="185"/>
      <c r="AN221" s="186"/>
      <c r="AO221" s="184">
        <f>AO192</f>
        <v>3.3032694796041264</v>
      </c>
      <c r="AP221" s="185"/>
      <c r="AQ221" s="186"/>
      <c r="AR221" s="184"/>
      <c r="AS221" s="185"/>
      <c r="AT221" s="186"/>
      <c r="AU221" s="190"/>
      <c r="AV221" s="182"/>
      <c r="AW221" s="183"/>
      <c r="AX221" s="135"/>
      <c r="AY221" s="135"/>
      <c r="AZ221" s="135"/>
      <c r="BA221" s="135"/>
      <c r="BB221" s="135"/>
    </row>
    <row r="222" spans="29:54" x14ac:dyDescent="0.3">
      <c r="AC222" s="135"/>
      <c r="AD222" s="133" t="s">
        <v>289</v>
      </c>
      <c r="AE222" s="85"/>
      <c r="AF222" s="134"/>
      <c r="AG222" s="184"/>
      <c r="AH222" s="185"/>
      <c r="AI222" s="185"/>
      <c r="AJ222" s="186"/>
      <c r="AK222" s="184"/>
      <c r="AL222" s="185"/>
      <c r="AM222" s="185"/>
      <c r="AN222" s="186"/>
      <c r="AO222" s="184">
        <f>Coeff6(AO208,AR208,AK208,$AP$16)*AO221</f>
        <v>1.1883205625494557</v>
      </c>
      <c r="AP222" s="185"/>
      <c r="AQ222" s="186"/>
      <c r="AR222" s="184"/>
      <c r="AS222" s="185"/>
      <c r="AT222" s="186"/>
      <c r="AU222" s="190" t="s">
        <v>26</v>
      </c>
      <c r="AV222" s="182"/>
      <c r="AW222" s="183"/>
      <c r="AX222" s="135"/>
      <c r="AY222" s="135"/>
      <c r="AZ222" s="135"/>
      <c r="BA222" s="135"/>
      <c r="BB222" s="135"/>
    </row>
    <row r="223" spans="29:54" x14ac:dyDescent="0.3">
      <c r="AC223" s="135"/>
      <c r="AD223" s="133" t="s">
        <v>290</v>
      </c>
      <c r="AE223" s="85"/>
      <c r="AF223" s="134"/>
      <c r="AG223" s="191">
        <f>MAX(Coeff1(AO210,AR210,AK210,$AP$16),Coeff2(AO210,AR210,AK210,$AP$16),Coeff4(AO210,AR210,AK210,$AP$16))*AG221</f>
        <v>1.2285124554670006</v>
      </c>
      <c r="AH223" s="192"/>
      <c r="AI223" s="192"/>
      <c r="AJ223" s="193"/>
      <c r="AK223" s="191">
        <f>MAX(Coeff1(AO210,AR210,AK210,$AP$16),Coeff2(AO210,AR210,AK210,$AP$16),Coeff4(AO210,AR210,AK210,$AP$16))*AK221</f>
        <v>1.1699861137232879</v>
      </c>
      <c r="AL223" s="192"/>
      <c r="AM223" s="192"/>
      <c r="AN223" s="193"/>
      <c r="AO223" s="184"/>
      <c r="AP223" s="185"/>
      <c r="AQ223" s="186"/>
      <c r="AR223" s="184"/>
      <c r="AS223" s="185"/>
      <c r="AT223" s="186"/>
      <c r="AU223" s="190" t="s">
        <v>26</v>
      </c>
      <c r="AV223" s="182"/>
      <c r="AW223" s="183"/>
      <c r="AX223" s="135"/>
      <c r="AY223" s="135"/>
      <c r="AZ223" s="135"/>
      <c r="BA223" s="135"/>
      <c r="BB223" s="135"/>
    </row>
    <row r="224" spans="29:54" x14ac:dyDescent="0.3">
      <c r="AC224" s="135"/>
      <c r="AD224" s="133" t="s">
        <v>291</v>
      </c>
      <c r="AE224" s="85"/>
      <c r="AF224" s="134"/>
      <c r="AG224" s="184">
        <f>Coeff7(AG211,$AP$15,$AG$28)</f>
        <v>0.7503913618963699</v>
      </c>
      <c r="AH224" s="185"/>
      <c r="AI224" s="185"/>
      <c r="AJ224" s="186"/>
      <c r="AK224" s="184">
        <f>Coeff7(AG212,$AP$15,$AG$28)</f>
        <v>0.75194186663485429</v>
      </c>
      <c r="AL224" s="185"/>
      <c r="AM224" s="185"/>
      <c r="AN224" s="186"/>
      <c r="AO224" s="187">
        <f>Coeff7(AG209,$AP$15,$AG$28)</f>
        <v>0.75073612273578694</v>
      </c>
      <c r="AP224" s="188"/>
      <c r="AQ224" s="189"/>
      <c r="AR224" s="184"/>
      <c r="AS224" s="185"/>
      <c r="AT224" s="186"/>
      <c r="AU224" s="190" t="s">
        <v>26</v>
      </c>
      <c r="AV224" s="182"/>
      <c r="AW224" s="183"/>
      <c r="AX224" s="135"/>
      <c r="AY224" s="135"/>
      <c r="AZ224" s="135"/>
      <c r="BA224" s="135"/>
      <c r="BB224" s="135"/>
    </row>
    <row r="225" spans="29:54" x14ac:dyDescent="0.3">
      <c r="AC225" s="135"/>
      <c r="AD225" s="133" t="s">
        <v>292</v>
      </c>
      <c r="AE225" s="85"/>
      <c r="AF225" s="134"/>
      <c r="AG225" s="191">
        <f>$AG$47/($AG$46/12)</f>
        <v>640</v>
      </c>
      <c r="AH225" s="192"/>
      <c r="AI225" s="192"/>
      <c r="AJ225" s="193"/>
      <c r="AK225" s="191">
        <f>$AG$47/($AG$46/12)</f>
        <v>640</v>
      </c>
      <c r="AL225" s="192"/>
      <c r="AM225" s="192"/>
      <c r="AN225" s="193"/>
      <c r="AO225" s="191">
        <f>$AG$47/($AG$46/12)</f>
        <v>640</v>
      </c>
      <c r="AP225" s="192"/>
      <c r="AQ225" s="193"/>
      <c r="AR225" s="191">
        <f>$AG$47/($AG$46/12)</f>
        <v>640</v>
      </c>
      <c r="AS225" s="192"/>
      <c r="AT225" s="193"/>
      <c r="AU225" s="190" t="s">
        <v>26</v>
      </c>
      <c r="AV225" s="182"/>
      <c r="AW225" s="183"/>
      <c r="AX225" s="135"/>
      <c r="AY225" s="135"/>
      <c r="AZ225" s="135"/>
      <c r="BA225" s="135"/>
      <c r="BB225" s="135"/>
    </row>
    <row r="226" spans="29:54" x14ac:dyDescent="0.3">
      <c r="AC226" s="135"/>
      <c r="AD226" s="133" t="s">
        <v>293</v>
      </c>
      <c r="AE226" s="85"/>
      <c r="AF226" s="134"/>
      <c r="AG226" s="194">
        <f>IF(OR($AK$45="",$AK$45="No"),"",$AK$47/$AK$46*12)</f>
        <v>0.22400000000000003</v>
      </c>
      <c r="AH226" s="195"/>
      <c r="AI226" s="195"/>
      <c r="AJ226" s="196"/>
      <c r="AK226" s="194">
        <f>IF(OR($AK$45="",$AK$45="No"),"",$AK$47/$AK$46*12)</f>
        <v>0.22400000000000003</v>
      </c>
      <c r="AL226" s="195"/>
      <c r="AM226" s="195"/>
      <c r="AN226" s="196"/>
      <c r="AO226" s="191" t="str">
        <f>IF(OR($AO$45="",$AO$45="No"),"",$AO$47/$AO$46*12)</f>
        <v/>
      </c>
      <c r="AP226" s="192"/>
      <c r="AQ226" s="193"/>
      <c r="AR226" s="191" t="str">
        <f>IF(OR($AR$45="",$AR$45="No"),"",$AR$47/$AR$46*12)</f>
        <v/>
      </c>
      <c r="AS226" s="192"/>
      <c r="AT226" s="193"/>
      <c r="AU226" s="190" t="s">
        <v>26</v>
      </c>
      <c r="AV226" s="182"/>
      <c r="AW226" s="183"/>
      <c r="AX226" s="135"/>
      <c r="AY226" s="135"/>
      <c r="AZ226" s="135"/>
      <c r="BA226" s="135"/>
      <c r="BB226" s="135"/>
    </row>
    <row r="227" spans="29:54" x14ac:dyDescent="0.3">
      <c r="AC227" s="135"/>
      <c r="AD227" s="133" t="s">
        <v>294</v>
      </c>
      <c r="AE227" s="85"/>
      <c r="AF227" s="134"/>
      <c r="AG227" s="194">
        <f>1/$AR$25</f>
        <v>1000</v>
      </c>
      <c r="AH227" s="195"/>
      <c r="AI227" s="195"/>
      <c r="AJ227" s="196"/>
      <c r="AK227" s="194">
        <f>1/$AR$26</f>
        <v>800</v>
      </c>
      <c r="AL227" s="195"/>
      <c r="AM227" s="195"/>
      <c r="AN227" s="196"/>
      <c r="AO227" s="194">
        <f>IF($H$38="Roof",1/$AR$27,"")</f>
        <v>1000</v>
      </c>
      <c r="AP227" s="195"/>
      <c r="AQ227" s="195"/>
      <c r="AR227" s="194">
        <f>IF($H$39="No",1/$AR$28,"")</f>
        <v>500</v>
      </c>
      <c r="AS227" s="195"/>
      <c r="AT227" s="195"/>
      <c r="AU227" s="190" t="s">
        <v>26</v>
      </c>
      <c r="AV227" s="182"/>
      <c r="AW227" s="183"/>
      <c r="AX227" s="135"/>
      <c r="AY227" s="135"/>
      <c r="AZ227" s="135"/>
      <c r="BA227" s="135"/>
      <c r="BB227" s="135"/>
    </row>
    <row r="228" spans="29:54" x14ac:dyDescent="0.3">
      <c r="AC228" s="135"/>
      <c r="AD228" s="133" t="s">
        <v>295</v>
      </c>
      <c r="AE228" s="85"/>
      <c r="AF228" s="134"/>
      <c r="AG228" s="279">
        <f>1/(1/AG216+1/(AG223+AG224)+1/AG225+IF(AG226="",0,1/AG226)+1/AG227)</f>
        <v>0.14136463055960993</v>
      </c>
      <c r="AH228" s="280"/>
      <c r="AI228" s="280"/>
      <c r="AJ228" s="281"/>
      <c r="AK228" s="382">
        <f>1/(1/AK217+1/(AK223+AK224)+1/AK225+IF(AK226="",0,1/AK226)+1/AK227)</f>
        <v>0.16860808103786631</v>
      </c>
      <c r="AL228" s="219"/>
      <c r="AM228" s="219"/>
      <c r="AN228" s="383"/>
      <c r="AO228" s="384">
        <f>1/(1/AO218+1/(AO222+AO224)+1/AO225+IF(AO226="",0,1/AO226)+1/AO227)</f>
        <v>0.16253200329882014</v>
      </c>
      <c r="AP228" s="385"/>
      <c r="AQ228" s="386"/>
      <c r="AR228" s="384">
        <f>1/(1/AR219+1/AR220+1/AR225+IF(AR226="",0,1/AR226)+1/AR227)</f>
        <v>8.9634945540246744E-2</v>
      </c>
      <c r="AS228" s="385"/>
      <c r="AT228" s="386"/>
      <c r="AU228" s="190" t="s">
        <v>26</v>
      </c>
      <c r="AV228" s="182"/>
      <c r="AW228" s="183"/>
      <c r="AX228" s="135"/>
      <c r="AY228" s="135"/>
      <c r="AZ228" s="135"/>
      <c r="BA228" s="135"/>
      <c r="BB228" s="135"/>
    </row>
    <row r="229" spans="29:54" x14ac:dyDescent="0.3">
      <c r="AC229" s="135"/>
      <c r="AD229" s="135"/>
      <c r="AE229" s="135"/>
      <c r="AF229" s="135"/>
      <c r="AG229" s="135"/>
      <c r="AH229" s="135"/>
      <c r="AI229" s="135"/>
      <c r="AJ229" s="135"/>
      <c r="AK229" s="135"/>
      <c r="AL229" s="135"/>
      <c r="AM229" s="135"/>
      <c r="AN229" s="135"/>
      <c r="AO229" s="135"/>
      <c r="AP229" s="135"/>
      <c r="AQ229" s="135"/>
      <c r="AR229" s="135"/>
      <c r="AS229" s="135"/>
      <c r="AT229" s="135"/>
      <c r="AU229" s="135"/>
      <c r="AV229" s="135"/>
      <c r="AW229" s="135"/>
      <c r="AX229" s="135"/>
      <c r="AY229" s="135"/>
      <c r="AZ229" s="135"/>
      <c r="BA229" s="135"/>
      <c r="BB229" s="135"/>
    </row>
    <row r="230" spans="29:54" x14ac:dyDescent="0.3">
      <c r="AC230" s="135"/>
      <c r="AD230" s="131" t="s">
        <v>348</v>
      </c>
      <c r="AG230" s="230"/>
      <c r="AH230" s="230"/>
      <c r="AI230" s="230"/>
      <c r="AJ230" s="230"/>
      <c r="AK230" s="230"/>
      <c r="AL230" s="230"/>
      <c r="AM230" s="230"/>
      <c r="AN230" s="230"/>
      <c r="AO230" s="231"/>
      <c r="AP230" s="231"/>
      <c r="AQ230" s="231"/>
      <c r="AR230" s="231"/>
      <c r="AS230" s="231"/>
      <c r="AT230" s="231"/>
      <c r="AU230" s="230"/>
      <c r="AV230" s="230"/>
      <c r="AW230" s="230"/>
      <c r="AX230" s="135"/>
      <c r="AY230" s="135"/>
      <c r="AZ230" s="135"/>
      <c r="BA230" s="135"/>
      <c r="BB230" s="135"/>
    </row>
    <row r="231" spans="29:54" x14ac:dyDescent="0.3">
      <c r="AC231" s="135"/>
      <c r="AD231" t="s">
        <v>258</v>
      </c>
      <c r="AJ231" s="10"/>
      <c r="AX231" s="135"/>
      <c r="AY231" s="135"/>
      <c r="AZ231" s="135"/>
      <c r="BA231" s="135"/>
      <c r="BB231" s="135"/>
    </row>
    <row r="232" spans="29:54" ht="17.25" thickBot="1" x14ac:dyDescent="0.35">
      <c r="AC232" s="135"/>
      <c r="AD232" s="133"/>
      <c r="AE232" s="85"/>
      <c r="AF232" s="134"/>
      <c r="AG232" s="232" t="s">
        <v>271</v>
      </c>
      <c r="AH232" s="233"/>
      <c r="AI232" s="233"/>
      <c r="AJ232" s="234"/>
      <c r="AK232" s="191" t="s">
        <v>270</v>
      </c>
      <c r="AL232" s="192"/>
      <c r="AM232" s="192"/>
      <c r="AN232" s="193"/>
      <c r="AO232" s="191" t="s">
        <v>264</v>
      </c>
      <c r="AP232" s="192"/>
      <c r="AQ232" s="193"/>
      <c r="AR232" s="191" t="s">
        <v>265</v>
      </c>
      <c r="AS232" s="192"/>
      <c r="AT232" s="193"/>
      <c r="AX232" s="135"/>
      <c r="AY232" s="135"/>
      <c r="AZ232" s="135"/>
      <c r="BA232" s="135"/>
      <c r="BB232" s="135"/>
    </row>
    <row r="233" spans="29:54" x14ac:dyDescent="0.3">
      <c r="AC233" s="135"/>
      <c r="AD233" s="133" t="s">
        <v>259</v>
      </c>
      <c r="AE233" s="85"/>
      <c r="AF233" s="85"/>
      <c r="AG233" s="387">
        <f>$AL$15-AG228/AG216*($AL$15-$AP$15)</f>
        <v>45.543352617256339</v>
      </c>
      <c r="AH233" s="388"/>
      <c r="AI233" s="388"/>
      <c r="AJ233" s="389"/>
      <c r="AK233" s="192">
        <f t="shared" ref="AK233:AK241" si="8">AK204</f>
        <v>24</v>
      </c>
      <c r="AL233" s="192"/>
      <c r="AM233" s="192"/>
      <c r="AN233" s="193"/>
      <c r="AO233" s="215">
        <f>$AL$19^2*4.17*10^8*$AL$20/(2.42*$AL$18)^2*AK233^3*ABS($AL$15-AG233)</f>
        <v>1145938237440.2627</v>
      </c>
      <c r="AP233" s="216"/>
      <c r="AQ233" s="217"/>
      <c r="AR233" s="191">
        <f t="shared" ref="AR233:AR241" si="9">AR204</f>
        <v>0.28046357615894041</v>
      </c>
      <c r="AS233" s="192"/>
      <c r="AT233" s="193"/>
      <c r="AX233" s="135"/>
      <c r="AY233" s="135"/>
      <c r="AZ233" s="135"/>
      <c r="BA233" s="135"/>
      <c r="BB233" s="135"/>
    </row>
    <row r="234" spans="29:54" x14ac:dyDescent="0.3">
      <c r="AC234" s="135"/>
      <c r="AD234" s="133" t="s">
        <v>260</v>
      </c>
      <c r="AE234" s="85"/>
      <c r="AF234" s="85"/>
      <c r="AG234" s="390">
        <f>$AG$15-AK228/AK217*($AG$15-$AP$15)</f>
        <v>51.818349466764786</v>
      </c>
      <c r="AH234" s="286"/>
      <c r="AI234" s="286"/>
      <c r="AJ234" s="391"/>
      <c r="AK234" s="192">
        <f t="shared" si="8"/>
        <v>24</v>
      </c>
      <c r="AL234" s="192"/>
      <c r="AM234" s="192"/>
      <c r="AN234" s="193"/>
      <c r="AO234" s="209">
        <f>$AG$19^2*4.17*10^8*$AG$20/(2.42*$AG$18)^2*AK234^3*ABS($AG$15-AG234)</f>
        <v>4287096.3826731797</v>
      </c>
      <c r="AP234" s="210"/>
      <c r="AQ234" s="211"/>
      <c r="AR234" s="191">
        <f t="shared" si="9"/>
        <v>484</v>
      </c>
      <c r="AS234" s="192"/>
      <c r="AT234" s="193"/>
      <c r="AX234" s="135"/>
      <c r="AY234" s="135"/>
      <c r="AZ234" s="171"/>
      <c r="BA234" s="135"/>
      <c r="BB234" s="135"/>
    </row>
    <row r="235" spans="29:54" x14ac:dyDescent="0.3">
      <c r="AC235" s="135"/>
      <c r="AD235" s="133" t="s">
        <v>266</v>
      </c>
      <c r="AE235" s="85"/>
      <c r="AF235" s="85"/>
      <c r="AG235" s="390">
        <f>$AL$15-AO228/AO218*($AL$15-$AP$15)</f>
        <v>36.263549427514718</v>
      </c>
      <c r="AH235" s="286"/>
      <c r="AI235" s="286"/>
      <c r="AJ235" s="391"/>
      <c r="AK235" s="192">
        <f t="shared" si="8"/>
        <v>20</v>
      </c>
      <c r="AL235" s="192"/>
      <c r="AM235" s="192"/>
      <c r="AN235" s="193"/>
      <c r="AO235" s="209">
        <f>$AL$19^2*4.17*10^8*$AL$20/(2.42*$AL$18)^2*AK235^3*ABS($AL$15-AG235)</f>
        <v>2044013347356.8757</v>
      </c>
      <c r="AP235" s="210"/>
      <c r="AQ235" s="211"/>
      <c r="AR235" s="191">
        <f t="shared" si="9"/>
        <v>0.28046357615894041</v>
      </c>
      <c r="AS235" s="192"/>
      <c r="AT235" s="193"/>
      <c r="AX235" s="135"/>
      <c r="AY235" s="135"/>
      <c r="AZ235" s="135"/>
      <c r="BA235" s="135"/>
      <c r="BB235" s="135"/>
    </row>
    <row r="236" spans="29:54" ht="17.25" thickBot="1" x14ac:dyDescent="0.35">
      <c r="AC236" s="135"/>
      <c r="AD236" s="133" t="s">
        <v>267</v>
      </c>
      <c r="AE236" s="85"/>
      <c r="AF236" s="85"/>
      <c r="AG236" s="392">
        <f>$AG$15-AR228/AR219*($AG$15-$AP$15)</f>
        <v>52.606166890754764</v>
      </c>
      <c r="AH236" s="393"/>
      <c r="AI236" s="393"/>
      <c r="AJ236" s="394"/>
      <c r="AK236" s="192">
        <f t="shared" si="8"/>
        <v>20</v>
      </c>
      <c r="AL236" s="192"/>
      <c r="AM236" s="192"/>
      <c r="AN236" s="193"/>
      <c r="AO236" s="224">
        <f>$AG$19^2*4.17*10^8*$AG$20/(2.42*$AG$18)^2*AK236^3*ABS($AG$15-AG236)</f>
        <v>1866641.4394283174</v>
      </c>
      <c r="AP236" s="225"/>
      <c r="AQ236" s="226"/>
      <c r="AR236" s="191">
        <f t="shared" si="9"/>
        <v>484</v>
      </c>
      <c r="AS236" s="192"/>
      <c r="AT236" s="193"/>
      <c r="AX236" s="135"/>
      <c r="AY236" s="135"/>
      <c r="AZ236" s="135"/>
      <c r="BA236" s="135"/>
      <c r="BB236" s="135"/>
    </row>
    <row r="237" spans="29:54" x14ac:dyDescent="0.3">
      <c r="AC237" s="135"/>
      <c r="AD237" s="133" t="s">
        <v>268</v>
      </c>
      <c r="AE237" s="85"/>
      <c r="AF237" s="134"/>
      <c r="AG237" s="227">
        <f>$AP$15+($AL$15-$AP$15)*AO228/(AO222+AO224)</f>
        <v>36.257302103637919</v>
      </c>
      <c r="AH237" s="228"/>
      <c r="AI237" s="228"/>
      <c r="AJ237" s="229"/>
      <c r="AK237" s="191">
        <f t="shared" si="8"/>
        <v>20</v>
      </c>
      <c r="AL237" s="192"/>
      <c r="AM237" s="192"/>
      <c r="AN237" s="193"/>
      <c r="AO237" s="209">
        <f>$AP$19^2*4.17*10^8*$AP$20/(2.42*$AP$18)^2*AK237^3*ABS($AP$15-AG237)</f>
        <v>187089253365.31201</v>
      </c>
      <c r="AP237" s="210"/>
      <c r="AQ237" s="211"/>
      <c r="AR237" s="191">
        <f t="shared" si="9"/>
        <v>0.28233333333333333</v>
      </c>
      <c r="AS237" s="192"/>
      <c r="AT237" s="193"/>
      <c r="AX237" s="135"/>
      <c r="AY237" s="135"/>
      <c r="AZ237" s="135"/>
      <c r="BA237" s="135"/>
      <c r="BB237" s="135"/>
    </row>
    <row r="238" spans="29:54" x14ac:dyDescent="0.3">
      <c r="AC238" s="135"/>
      <c r="AD238" s="133" t="s">
        <v>269</v>
      </c>
      <c r="AE238" s="85"/>
      <c r="AF238" s="134"/>
      <c r="AG238" s="206">
        <f>$AP$15+($AL$15-$AP$15)*AO228/(AO222+AO224)</f>
        <v>36.257302103637919</v>
      </c>
      <c r="AH238" s="207"/>
      <c r="AI238" s="207"/>
      <c r="AJ238" s="208"/>
      <c r="AK238" s="191" t="str">
        <f t="shared" si="8"/>
        <v>-</v>
      </c>
      <c r="AL238" s="192"/>
      <c r="AM238" s="192"/>
      <c r="AN238" s="193"/>
      <c r="AO238" s="209" t="s">
        <v>273</v>
      </c>
      <c r="AP238" s="210"/>
      <c r="AQ238" s="211"/>
      <c r="AR238" s="191" t="str">
        <f t="shared" si="9"/>
        <v>-</v>
      </c>
      <c r="AS238" s="192"/>
      <c r="AT238" s="193"/>
      <c r="AX238" s="135"/>
      <c r="AY238" s="135"/>
      <c r="AZ238" s="135"/>
      <c r="BA238" s="135"/>
      <c r="BB238" s="135"/>
    </row>
    <row r="239" spans="29:54" x14ac:dyDescent="0.3">
      <c r="AC239" s="135"/>
      <c r="AD239" s="133" t="s">
        <v>261</v>
      </c>
      <c r="AE239" s="85"/>
      <c r="AF239" s="134"/>
      <c r="AG239" s="206">
        <f>MAX(AG241,AG240)</f>
        <v>36.754572312396917</v>
      </c>
      <c r="AH239" s="207"/>
      <c r="AI239" s="207"/>
      <c r="AJ239" s="208"/>
      <c r="AK239" s="191">
        <f t="shared" si="8"/>
        <v>48</v>
      </c>
      <c r="AL239" s="192"/>
      <c r="AM239" s="192"/>
      <c r="AN239" s="193"/>
      <c r="AO239" s="209">
        <f>$AP$19^2*4.17*10^8*$AP$20/(2.42*$AP$18)^2*AK239^3*ABS($AP$15-AG239)</f>
        <v>3609226991419.3608</v>
      </c>
      <c r="AP239" s="210"/>
      <c r="AQ239" s="211"/>
      <c r="AR239" s="191">
        <f t="shared" si="9"/>
        <v>0.28233333333333333</v>
      </c>
      <c r="AS239" s="192"/>
      <c r="AT239" s="193"/>
      <c r="AX239" s="135"/>
      <c r="AY239" s="135"/>
      <c r="AZ239" s="135"/>
      <c r="BA239" s="135"/>
      <c r="BB239" s="135"/>
    </row>
    <row r="240" spans="29:54" x14ac:dyDescent="0.3">
      <c r="AC240" s="135"/>
      <c r="AD240" s="133" t="s">
        <v>262</v>
      </c>
      <c r="AE240" s="85"/>
      <c r="AF240" s="134"/>
      <c r="AG240" s="206">
        <f>AG228/(AG223+AG224)*($AL$15-$AP$15)+$AP$15</f>
        <v>36.07153740358104</v>
      </c>
      <c r="AH240" s="207"/>
      <c r="AI240" s="207"/>
      <c r="AJ240" s="208"/>
      <c r="AK240" s="191" t="str">
        <f t="shared" si="8"/>
        <v>-</v>
      </c>
      <c r="AL240" s="192"/>
      <c r="AM240" s="192"/>
      <c r="AN240" s="193"/>
      <c r="AO240" s="209" t="s">
        <v>273</v>
      </c>
      <c r="AP240" s="210"/>
      <c r="AQ240" s="211"/>
      <c r="AR240" s="191" t="str">
        <f t="shared" si="9"/>
        <v>-</v>
      </c>
      <c r="AS240" s="192"/>
      <c r="AT240" s="193"/>
      <c r="AX240" s="135"/>
      <c r="AY240" s="135"/>
      <c r="AZ240" s="135"/>
      <c r="BA240" s="135"/>
      <c r="BB240" s="135"/>
    </row>
    <row r="241" spans="29:54" x14ac:dyDescent="0.3">
      <c r="AC241" s="135"/>
      <c r="AD241" s="133" t="s">
        <v>263</v>
      </c>
      <c r="AE241" s="85"/>
      <c r="AF241" s="134"/>
      <c r="AG241" s="206">
        <f>$AP$15+($AG$15-$AP$15)*AK228/(AK223+AK224)</f>
        <v>36.754572312396917</v>
      </c>
      <c r="AH241" s="207"/>
      <c r="AI241" s="207"/>
      <c r="AJ241" s="208"/>
      <c r="AK241" s="191" t="str">
        <f t="shared" si="8"/>
        <v>-</v>
      </c>
      <c r="AL241" s="192"/>
      <c r="AM241" s="192"/>
      <c r="AN241" s="193"/>
      <c r="AO241" s="191" t="s">
        <v>273</v>
      </c>
      <c r="AP241" s="192"/>
      <c r="AQ241" s="193"/>
      <c r="AR241" s="191" t="str">
        <f t="shared" si="9"/>
        <v>-</v>
      </c>
      <c r="AS241" s="192"/>
      <c r="AT241" s="193"/>
      <c r="AX241" s="135"/>
      <c r="AY241" s="135"/>
      <c r="AZ241" s="135"/>
      <c r="BA241" s="135"/>
      <c r="BB241" s="135"/>
    </row>
    <row r="242" spans="29:54" x14ac:dyDescent="0.3">
      <c r="AC242" s="135"/>
      <c r="AX242" s="135"/>
      <c r="AY242" s="135"/>
      <c r="AZ242" s="135"/>
      <c r="BA242" s="135"/>
      <c r="BB242" s="135"/>
    </row>
    <row r="243" spans="29:54" x14ac:dyDescent="0.3">
      <c r="AC243" s="135"/>
      <c r="AD243" t="s">
        <v>274</v>
      </c>
      <c r="AX243" s="135"/>
      <c r="AY243" s="135"/>
      <c r="AZ243" s="135"/>
      <c r="BA243" s="135"/>
      <c r="BB243" s="135"/>
    </row>
    <row r="244" spans="29:54" x14ac:dyDescent="0.3">
      <c r="AC244" s="135"/>
      <c r="AD244" s="133"/>
      <c r="AE244" s="85"/>
      <c r="AF244" s="134"/>
      <c r="AG244" s="191" t="s">
        <v>21</v>
      </c>
      <c r="AH244" s="192"/>
      <c r="AI244" s="192"/>
      <c r="AJ244" s="193"/>
      <c r="AK244" s="191" t="s">
        <v>22</v>
      </c>
      <c r="AL244" s="192"/>
      <c r="AM244" s="192"/>
      <c r="AN244" s="193"/>
      <c r="AO244" s="191" t="s">
        <v>23</v>
      </c>
      <c r="AP244" s="192"/>
      <c r="AQ244" s="193"/>
      <c r="AR244" s="191" t="s">
        <v>24</v>
      </c>
      <c r="AS244" s="192"/>
      <c r="AT244" s="193"/>
      <c r="AU244" s="190"/>
      <c r="AV244" s="182"/>
      <c r="AW244" s="183"/>
      <c r="AX244" s="135"/>
      <c r="AY244" s="135"/>
      <c r="AZ244" s="135"/>
      <c r="BA244" s="135"/>
      <c r="BB244" s="135"/>
    </row>
    <row r="245" spans="29:54" x14ac:dyDescent="0.3">
      <c r="AC245" s="135"/>
      <c r="AD245" s="133" t="s">
        <v>283</v>
      </c>
      <c r="AE245" s="85"/>
      <c r="AF245" s="134"/>
      <c r="AG245" s="191">
        <f>IF(MAX(Coeff1(AO233,AR233,AK233,$AL$16),Coeff2(AO233,AR233,AK233,$AL$16))&lt;&gt;0,MAX(Coeff1(AO233,AR233,AK233,$AL$16),Coeff2(AO233,AR233,AK233,$AL$16)),Coeff4(AO233,AR233,AK233,$AL$16))</f>
        <v>0.47731493853738166</v>
      </c>
      <c r="AH245" s="192"/>
      <c r="AI245" s="192"/>
      <c r="AJ245" s="193"/>
      <c r="AK245" s="184"/>
      <c r="AL245" s="185"/>
      <c r="AM245" s="185"/>
      <c r="AN245" s="186"/>
      <c r="AO245" s="184"/>
      <c r="AP245" s="185"/>
      <c r="AQ245" s="186"/>
      <c r="AR245" s="184"/>
      <c r="AS245" s="185"/>
      <c r="AT245" s="186"/>
      <c r="AU245" s="190" t="s">
        <v>26</v>
      </c>
      <c r="AV245" s="182"/>
      <c r="AW245" s="183"/>
      <c r="AX245" s="135"/>
      <c r="AY245" s="135"/>
      <c r="AZ245" s="135"/>
      <c r="BA245" s="135"/>
      <c r="BB245" s="135"/>
    </row>
    <row r="246" spans="29:54" x14ac:dyDescent="0.3">
      <c r="AC246" s="135"/>
      <c r="AD246" s="133" t="s">
        <v>284</v>
      </c>
      <c r="AE246" s="85"/>
      <c r="AF246" s="134"/>
      <c r="AG246" s="184"/>
      <c r="AH246" s="185"/>
      <c r="AI246" s="185"/>
      <c r="AJ246" s="186"/>
      <c r="AK246" s="191">
        <f>MAX(Coeff1(AO234,AR234,AK234,$AG$16),Coeff3(AO234,AR234,AK234,$AG$16),Coeff4(AO234,AR234,AK234,$AG$16))</f>
        <v>1.0628879434992879</v>
      </c>
      <c r="AL246" s="192"/>
      <c r="AM246" s="192"/>
      <c r="AN246" s="193"/>
      <c r="AO246" s="184"/>
      <c r="AP246" s="185"/>
      <c r="AQ246" s="186"/>
      <c r="AR246" s="184"/>
      <c r="AS246" s="185"/>
      <c r="AT246" s="186"/>
      <c r="AU246" s="190" t="s">
        <v>26</v>
      </c>
      <c r="AV246" s="182"/>
      <c r="AW246" s="183"/>
      <c r="AX246" s="135"/>
      <c r="AY246" s="135"/>
      <c r="AZ246" s="135"/>
      <c r="BA246" s="135"/>
      <c r="BB246" s="135"/>
    </row>
    <row r="247" spans="29:54" x14ac:dyDescent="0.3">
      <c r="AC247" s="135"/>
      <c r="AD247" s="133" t="s">
        <v>285</v>
      </c>
      <c r="AE247" s="85"/>
      <c r="AF247" s="134"/>
      <c r="AG247" s="184"/>
      <c r="AH247" s="185"/>
      <c r="AI247" s="185"/>
      <c r="AJ247" s="186"/>
      <c r="AK247" s="184"/>
      <c r="AL247" s="185"/>
      <c r="AM247" s="185"/>
      <c r="AN247" s="186"/>
      <c r="AO247" s="203">
        <f>Coeff5(AO235,AR235,AK235,$AL$16)</f>
        <v>0.17737841280594516</v>
      </c>
      <c r="AP247" s="204"/>
      <c r="AQ247" s="205"/>
      <c r="AR247" s="184"/>
      <c r="AS247" s="185"/>
      <c r="AT247" s="186"/>
      <c r="AU247" s="190" t="s">
        <v>26</v>
      </c>
      <c r="AV247" s="182"/>
      <c r="AW247" s="183"/>
      <c r="AX247" s="135"/>
      <c r="AY247" s="135"/>
      <c r="AZ247" s="135"/>
      <c r="BA247" s="135"/>
      <c r="BB247" s="135"/>
    </row>
    <row r="248" spans="29:54" x14ac:dyDescent="0.3">
      <c r="AC248" s="135"/>
      <c r="AD248" s="133" t="s">
        <v>286</v>
      </c>
      <c r="AE248" s="85"/>
      <c r="AF248" s="134"/>
      <c r="AG248" s="184"/>
      <c r="AH248" s="185"/>
      <c r="AI248" s="185"/>
      <c r="AJ248" s="186"/>
      <c r="AK248" s="184"/>
      <c r="AL248" s="185"/>
      <c r="AM248" s="185"/>
      <c r="AN248" s="186"/>
      <c r="AO248" s="184"/>
      <c r="AP248" s="185"/>
      <c r="AQ248" s="186"/>
      <c r="AR248" s="200">
        <f>Coeff6(AO236,AR236,AK236,$AG$16)</f>
        <v>0.75810324110144489</v>
      </c>
      <c r="AS248" s="201"/>
      <c r="AT248" s="202"/>
      <c r="AU248" s="190" t="s">
        <v>26</v>
      </c>
      <c r="AV248" s="182"/>
      <c r="AW248" s="183"/>
      <c r="AX248" s="135"/>
      <c r="AY248" s="135"/>
      <c r="AZ248" s="135"/>
      <c r="BA248" s="135"/>
      <c r="BB248" s="135"/>
    </row>
    <row r="249" spans="29:54" x14ac:dyDescent="0.3">
      <c r="AC249" s="135"/>
      <c r="AD249" s="133" t="s">
        <v>287</v>
      </c>
      <c r="AE249" s="85"/>
      <c r="AF249" s="134"/>
      <c r="AG249" s="184"/>
      <c r="AH249" s="185"/>
      <c r="AI249" s="185"/>
      <c r="AJ249" s="186"/>
      <c r="AK249" s="184"/>
      <c r="AL249" s="185"/>
      <c r="AM249" s="185"/>
      <c r="AN249" s="186"/>
      <c r="AO249" s="184"/>
      <c r="AP249" s="185"/>
      <c r="AQ249" s="186"/>
      <c r="AR249" s="200">
        <f>8*$AG$31/PI()/$AS$38</f>
        <v>0.10185916357881301</v>
      </c>
      <c r="AS249" s="201"/>
      <c r="AT249" s="202"/>
      <c r="AU249" s="190" t="s">
        <v>26</v>
      </c>
      <c r="AV249" s="182"/>
      <c r="AW249" s="183"/>
      <c r="AX249" s="135"/>
      <c r="AY249" s="135"/>
      <c r="AZ249" s="135"/>
      <c r="BA249" s="135"/>
      <c r="BB249" s="135"/>
    </row>
    <row r="250" spans="29:54" x14ac:dyDescent="0.3">
      <c r="AC250" s="135"/>
      <c r="AD250" s="133" t="s">
        <v>288</v>
      </c>
      <c r="AE250" s="85"/>
      <c r="AF250" s="134"/>
      <c r="AG250" s="184">
        <f>AG221</f>
        <v>3.3032694796041264</v>
      </c>
      <c r="AH250" s="185"/>
      <c r="AI250" s="185"/>
      <c r="AJ250" s="186"/>
      <c r="AK250" s="184">
        <f>AK221</f>
        <v>3.145901699102954</v>
      </c>
      <c r="AL250" s="185"/>
      <c r="AM250" s="185"/>
      <c r="AN250" s="186"/>
      <c r="AO250" s="184">
        <f>AO221</f>
        <v>3.3032694796041264</v>
      </c>
      <c r="AP250" s="185"/>
      <c r="AQ250" s="186"/>
      <c r="AR250" s="184"/>
      <c r="AS250" s="185"/>
      <c r="AT250" s="186"/>
      <c r="AU250" s="190"/>
      <c r="AV250" s="182"/>
      <c r="AW250" s="183"/>
      <c r="AX250" s="135"/>
      <c r="AY250" s="135"/>
      <c r="AZ250" s="135"/>
      <c r="BA250" s="135"/>
      <c r="BB250" s="135"/>
    </row>
    <row r="251" spans="29:54" x14ac:dyDescent="0.3">
      <c r="AC251" s="135"/>
      <c r="AD251" s="133" t="s">
        <v>289</v>
      </c>
      <c r="AE251" s="85"/>
      <c r="AF251" s="134"/>
      <c r="AG251" s="184"/>
      <c r="AH251" s="185"/>
      <c r="AI251" s="185"/>
      <c r="AJ251" s="186"/>
      <c r="AK251" s="184"/>
      <c r="AL251" s="185"/>
      <c r="AM251" s="185"/>
      <c r="AN251" s="186"/>
      <c r="AO251" s="184">
        <f>Coeff6(AO237,AR237,AK237,$AP$16)*AO250</f>
        <v>1.1985631826614207</v>
      </c>
      <c r="AP251" s="185"/>
      <c r="AQ251" s="186"/>
      <c r="AR251" s="184"/>
      <c r="AS251" s="185"/>
      <c r="AT251" s="186"/>
      <c r="AU251" s="190" t="s">
        <v>26</v>
      </c>
      <c r="AV251" s="182"/>
      <c r="AW251" s="183"/>
      <c r="AX251" s="135"/>
      <c r="AY251" s="135"/>
      <c r="AZ251" s="135"/>
      <c r="BA251" s="135"/>
      <c r="BB251" s="135"/>
    </row>
    <row r="252" spans="29:54" x14ac:dyDescent="0.3">
      <c r="AC252" s="135"/>
      <c r="AD252" s="133" t="s">
        <v>290</v>
      </c>
      <c r="AE252" s="85"/>
      <c r="AF252" s="134"/>
      <c r="AG252" s="191">
        <f>MAX(Coeff1(AO239,AR239,AK239,$AP$16),Coeff2(AO239,AR239,AK239,$AP$16),Coeff4(AO239,AR239,AK239,$AP$16))*AG250</f>
        <v>1.2284597670086581</v>
      </c>
      <c r="AH252" s="192"/>
      <c r="AI252" s="192"/>
      <c r="AJ252" s="193"/>
      <c r="AK252" s="191">
        <f>MAX(Coeff1(AO239,AR239,AK239,$AP$16),Coeff2(AO239,AR239,AK239,$AP$16),Coeff4(AO239,AR239,AK239,$AP$16))*AK250</f>
        <v>1.1699359353434597</v>
      </c>
      <c r="AL252" s="192"/>
      <c r="AM252" s="192"/>
      <c r="AN252" s="193"/>
      <c r="AO252" s="184"/>
      <c r="AP252" s="185"/>
      <c r="AQ252" s="186"/>
      <c r="AR252" s="184"/>
      <c r="AS252" s="185"/>
      <c r="AT252" s="186"/>
      <c r="AU252" s="190" t="s">
        <v>26</v>
      </c>
      <c r="AV252" s="182"/>
      <c r="AW252" s="183"/>
      <c r="AX252" s="135"/>
      <c r="AY252" s="135"/>
      <c r="AZ252" s="135"/>
      <c r="BA252" s="135"/>
      <c r="BB252" s="135"/>
    </row>
    <row r="253" spans="29:54" x14ac:dyDescent="0.3">
      <c r="AC253" s="135"/>
      <c r="AD253" s="133" t="s">
        <v>291</v>
      </c>
      <c r="AE253" s="85"/>
      <c r="AF253" s="134"/>
      <c r="AG253" s="184">
        <f>Coeff7(AG240,$AP$15,$AG$28)</f>
        <v>0.75038716292448049</v>
      </c>
      <c r="AH253" s="185"/>
      <c r="AI253" s="185"/>
      <c r="AJ253" s="186"/>
      <c r="AK253" s="184">
        <f>Coeff7(AG241,$AP$15,$AG$28)</f>
        <v>0.75194118110580899</v>
      </c>
      <c r="AL253" s="185"/>
      <c r="AM253" s="185"/>
      <c r="AN253" s="186"/>
      <c r="AO253" s="187">
        <f>Coeff7(AG238,$AP$15,$AG$28)</f>
        <v>0.75080952599430817</v>
      </c>
      <c r="AP253" s="188"/>
      <c r="AQ253" s="189"/>
      <c r="AR253" s="184"/>
      <c r="AS253" s="185"/>
      <c r="AT253" s="186"/>
      <c r="AU253" s="190" t="s">
        <v>26</v>
      </c>
      <c r="AV253" s="182"/>
      <c r="AW253" s="183"/>
      <c r="AX253" s="135"/>
      <c r="AY253" s="135"/>
      <c r="AZ253" s="135"/>
      <c r="BA253" s="135"/>
      <c r="BB253" s="135"/>
    </row>
    <row r="254" spans="29:54" x14ac:dyDescent="0.3">
      <c r="AC254" s="135"/>
      <c r="AD254" s="133" t="s">
        <v>292</v>
      </c>
      <c r="AE254" s="85"/>
      <c r="AF254" s="134"/>
      <c r="AG254" s="191">
        <f>$AG$47/($AG$46/12)</f>
        <v>640</v>
      </c>
      <c r="AH254" s="192"/>
      <c r="AI254" s="192"/>
      <c r="AJ254" s="193"/>
      <c r="AK254" s="191">
        <f>$AG$47/($AG$46/12)</f>
        <v>640</v>
      </c>
      <c r="AL254" s="192"/>
      <c r="AM254" s="192"/>
      <c r="AN254" s="193"/>
      <c r="AO254" s="191">
        <f>$AG$47/($AG$46/12)</f>
        <v>640</v>
      </c>
      <c r="AP254" s="192"/>
      <c r="AQ254" s="193"/>
      <c r="AR254" s="191">
        <f>$AG$47/($AG$46/12)</f>
        <v>640</v>
      </c>
      <c r="AS254" s="192"/>
      <c r="AT254" s="193"/>
      <c r="AU254" s="190" t="s">
        <v>26</v>
      </c>
      <c r="AV254" s="182"/>
      <c r="AW254" s="183"/>
      <c r="AX254" s="135"/>
      <c r="AY254" s="135"/>
      <c r="AZ254" s="135"/>
      <c r="BA254" s="135"/>
      <c r="BB254" s="135"/>
    </row>
    <row r="255" spans="29:54" x14ac:dyDescent="0.3">
      <c r="AC255" s="135"/>
      <c r="AD255" s="133" t="s">
        <v>293</v>
      </c>
      <c r="AE255" s="85"/>
      <c r="AF255" s="134"/>
      <c r="AG255" s="194">
        <f>IF(OR($AK$45="",$AK$45="No"),"",$AK$47/$AK$46*12)</f>
        <v>0.22400000000000003</v>
      </c>
      <c r="AH255" s="195"/>
      <c r="AI255" s="195"/>
      <c r="AJ255" s="196"/>
      <c r="AK255" s="194">
        <f>IF(OR($AK$45="",$AK$45="No"),"",$AK$47/$AK$46*12)</f>
        <v>0.22400000000000003</v>
      </c>
      <c r="AL255" s="195"/>
      <c r="AM255" s="195"/>
      <c r="AN255" s="196"/>
      <c r="AO255" s="191" t="str">
        <f>IF(OR($AO$45="",$AO$45="No"),"",$AO$47/$AO$46*12)</f>
        <v/>
      </c>
      <c r="AP255" s="192"/>
      <c r="AQ255" s="193"/>
      <c r="AR255" s="191" t="str">
        <f>IF(OR($AR$45="",$AR$45="No"),"",$AR$47/$AR$46*12)</f>
        <v/>
      </c>
      <c r="AS255" s="192"/>
      <c r="AT255" s="193"/>
      <c r="AU255" s="190" t="s">
        <v>26</v>
      </c>
      <c r="AV255" s="182"/>
      <c r="AW255" s="183"/>
      <c r="AX255" s="135"/>
      <c r="AY255" s="135"/>
      <c r="AZ255" s="135"/>
      <c r="BA255" s="135"/>
      <c r="BB255" s="135"/>
    </row>
    <row r="256" spans="29:54" ht="17.25" thickBot="1" x14ac:dyDescent="0.35">
      <c r="AC256" s="135"/>
      <c r="AD256" s="133" t="s">
        <v>294</v>
      </c>
      <c r="AE256" s="85"/>
      <c r="AF256" s="134"/>
      <c r="AG256" s="197">
        <f>1/$AR$25</f>
        <v>1000</v>
      </c>
      <c r="AH256" s="198"/>
      <c r="AI256" s="198"/>
      <c r="AJ256" s="199"/>
      <c r="AK256" s="197">
        <f>1/$AR$26</f>
        <v>800</v>
      </c>
      <c r="AL256" s="198"/>
      <c r="AM256" s="198"/>
      <c r="AN256" s="199"/>
      <c r="AO256" s="197">
        <f>IF($H$38="Roof",1/$AR$27,"")</f>
        <v>1000</v>
      </c>
      <c r="AP256" s="198"/>
      <c r="AQ256" s="198"/>
      <c r="AR256" s="197">
        <f>IF($H$39="No",1/$AR$28,"")</f>
        <v>500</v>
      </c>
      <c r="AS256" s="198"/>
      <c r="AT256" s="198"/>
      <c r="AU256" s="190" t="s">
        <v>26</v>
      </c>
      <c r="AV256" s="182"/>
      <c r="AW256" s="183"/>
      <c r="AX256" s="135"/>
      <c r="AY256" s="135"/>
      <c r="AZ256" s="135"/>
      <c r="BA256" s="135"/>
      <c r="BB256" s="135"/>
    </row>
    <row r="257" spans="29:54" ht="17.25" thickBot="1" x14ac:dyDescent="0.35">
      <c r="AC257" s="135"/>
      <c r="AD257" s="133" t="s">
        <v>295</v>
      </c>
      <c r="AE257" s="85"/>
      <c r="AF257" s="85"/>
      <c r="AG257" s="174">
        <f>1/(1/AG245+1/(AG252+AG253)+1/AG254+IF(AG255="",0,1/AG255)+1/AG256)</f>
        <v>0.14149783752464873</v>
      </c>
      <c r="AH257" s="175"/>
      <c r="AI257" s="175"/>
      <c r="AJ257" s="176"/>
      <c r="AK257" s="177">
        <f>1/(1/AK246+1/(AK252+AK253)+1/AK254+IF(AK255="",0,1/AK255)+1/AK256)</f>
        <v>0.1686836794098901</v>
      </c>
      <c r="AL257" s="175"/>
      <c r="AM257" s="175"/>
      <c r="AN257" s="176"/>
      <c r="AO257" s="178">
        <f>1/(1/AO247+1/(AO251+AO253)+1/AO254+IF(AO255="",0,1/AO255)+1/AO256)</f>
        <v>0.16251673040813913</v>
      </c>
      <c r="AP257" s="179"/>
      <c r="AQ257" s="180"/>
      <c r="AR257" s="178">
        <f>1/(1/AR248+1/AR249+1/AR254+IF(AR255="",0,1/AR255)+1/AR256)</f>
        <v>8.9765631046740985E-2</v>
      </c>
      <c r="AS257" s="179"/>
      <c r="AT257" s="181"/>
      <c r="AU257" s="182" t="s">
        <v>26</v>
      </c>
      <c r="AV257" s="182"/>
      <c r="AW257" s="183"/>
      <c r="AX257" s="135"/>
      <c r="AY257" s="135"/>
      <c r="AZ257" s="135"/>
      <c r="BA257" s="135"/>
      <c r="BB257" s="135"/>
    </row>
    <row r="258" spans="29:54" x14ac:dyDescent="0.3">
      <c r="AC258" s="135"/>
      <c r="AD258" s="135"/>
      <c r="AE258" s="135"/>
      <c r="AF258" s="135"/>
      <c r="AG258" s="135"/>
      <c r="AH258" s="135"/>
      <c r="AI258" s="135"/>
      <c r="AJ258" s="135"/>
      <c r="AK258" s="135"/>
      <c r="AL258" s="135"/>
      <c r="AM258" s="135"/>
      <c r="AN258" s="135"/>
      <c r="AO258" s="135"/>
      <c r="AP258" s="135"/>
      <c r="AQ258" s="135"/>
      <c r="AR258" s="135"/>
      <c r="AS258" s="135"/>
      <c r="AT258" s="135"/>
      <c r="AU258" s="135"/>
      <c r="AV258" s="135"/>
      <c r="AW258" s="135"/>
      <c r="AX258" s="135"/>
      <c r="AY258" s="135"/>
      <c r="AZ258" s="135"/>
      <c r="BA258" s="135"/>
      <c r="BB258" s="135"/>
    </row>
    <row r="259" spans="29:54" x14ac:dyDescent="0.3">
      <c r="AC259" s="135"/>
      <c r="AD259" s="131" t="s">
        <v>351</v>
      </c>
      <c r="AG259" s="230"/>
      <c r="AH259" s="230"/>
      <c r="AI259" s="230"/>
      <c r="AJ259" s="230"/>
      <c r="AK259" s="230"/>
      <c r="AL259" s="230"/>
      <c r="AM259" s="230"/>
      <c r="AN259" s="230"/>
      <c r="AO259" s="231"/>
      <c r="AP259" s="231"/>
      <c r="AQ259" s="231"/>
      <c r="AR259" s="231"/>
      <c r="AS259" s="231"/>
      <c r="AT259" s="231"/>
      <c r="AU259" s="230"/>
      <c r="AV259" s="230"/>
      <c r="AW259" s="230"/>
      <c r="AX259" s="135"/>
      <c r="AY259" s="135"/>
      <c r="AZ259" s="135"/>
      <c r="BA259" s="135"/>
      <c r="BB259" s="135"/>
    </row>
    <row r="260" spans="29:54" x14ac:dyDescent="0.3">
      <c r="AC260" s="135"/>
      <c r="AD260" t="s">
        <v>258</v>
      </c>
      <c r="AJ260" s="10"/>
      <c r="AX260" s="135"/>
      <c r="AY260" s="135"/>
      <c r="AZ260" s="135"/>
      <c r="BA260" s="135"/>
      <c r="BB260" s="135"/>
    </row>
    <row r="261" spans="29:54" ht="17.25" thickBot="1" x14ac:dyDescent="0.35">
      <c r="AC261" s="135"/>
      <c r="AD261" s="133"/>
      <c r="AE261" s="85"/>
      <c r="AF261" s="134"/>
      <c r="AG261" s="232" t="s">
        <v>271</v>
      </c>
      <c r="AH261" s="233"/>
      <c r="AI261" s="233"/>
      <c r="AJ261" s="234"/>
      <c r="AK261" s="191" t="s">
        <v>270</v>
      </c>
      <c r="AL261" s="192"/>
      <c r="AM261" s="192"/>
      <c r="AN261" s="193"/>
      <c r="AO261" s="191" t="s">
        <v>264</v>
      </c>
      <c r="AP261" s="192"/>
      <c r="AQ261" s="193"/>
      <c r="AR261" s="191" t="s">
        <v>265</v>
      </c>
      <c r="AS261" s="192"/>
      <c r="AT261" s="193"/>
      <c r="AX261" s="135"/>
      <c r="AY261" s="135"/>
      <c r="AZ261" s="135"/>
      <c r="BA261" s="135"/>
      <c r="BB261" s="135"/>
    </row>
    <row r="262" spans="29:54" x14ac:dyDescent="0.3">
      <c r="AC262" s="135"/>
      <c r="AD262" s="133" t="s">
        <v>259</v>
      </c>
      <c r="AE262" s="85"/>
      <c r="AF262" s="85"/>
      <c r="AG262" s="387">
        <f>$AL$15-AG257/AG245*($AL$15-$AP$15)</f>
        <v>45.553318382673027</v>
      </c>
      <c r="AH262" s="388"/>
      <c r="AI262" s="388"/>
      <c r="AJ262" s="389"/>
      <c r="AK262" s="192">
        <f t="shared" ref="AK262:AK270" si="10">AK233</f>
        <v>24</v>
      </c>
      <c r="AL262" s="192"/>
      <c r="AM262" s="192"/>
      <c r="AN262" s="193"/>
      <c r="AO262" s="215">
        <f>$AL$19^2*4.17*10^8*$AL$20/(2.42*$AL$18)^2*AK262^3*ABS($AL$15-AG262)</f>
        <v>1143375739069.7251</v>
      </c>
      <c r="AP262" s="216"/>
      <c r="AQ262" s="217"/>
      <c r="AR262" s="191">
        <f t="shared" ref="AR262:AR270" si="11">AR233</f>
        <v>0.28046357615894041</v>
      </c>
      <c r="AS262" s="192"/>
      <c r="AT262" s="193"/>
      <c r="AX262" s="135"/>
      <c r="AY262" s="135"/>
      <c r="AZ262" s="135"/>
      <c r="BA262" s="135"/>
      <c r="BB262" s="135"/>
    </row>
    <row r="263" spans="29:54" x14ac:dyDescent="0.3">
      <c r="AC263" s="135"/>
      <c r="AD263" s="133" t="s">
        <v>260</v>
      </c>
      <c r="AE263" s="85"/>
      <c r="AF263" s="85"/>
      <c r="AG263" s="390">
        <f>$AG$15-AK257/AK246*($AG$15-$AP$15)</f>
        <v>51.825936723780266</v>
      </c>
      <c r="AH263" s="286"/>
      <c r="AI263" s="286"/>
      <c r="AJ263" s="391"/>
      <c r="AK263" s="192">
        <f t="shared" si="10"/>
        <v>24</v>
      </c>
      <c r="AL263" s="192"/>
      <c r="AM263" s="192"/>
      <c r="AN263" s="193"/>
      <c r="AO263" s="209">
        <f>$AG$19^2*4.17*10^8*$AG$20/(2.42*$AG$18)^2*AK263^3*ABS($AG$15-AG263)</f>
        <v>4276872.9776305137</v>
      </c>
      <c r="AP263" s="210"/>
      <c r="AQ263" s="211"/>
      <c r="AR263" s="191">
        <f t="shared" si="11"/>
        <v>484</v>
      </c>
      <c r="AS263" s="192"/>
      <c r="AT263" s="193"/>
      <c r="AX263" s="135"/>
      <c r="AY263" s="135"/>
      <c r="AZ263" s="135"/>
      <c r="BA263" s="135"/>
      <c r="BB263" s="135"/>
    </row>
    <row r="264" spans="29:54" x14ac:dyDescent="0.3">
      <c r="AC264" s="135"/>
      <c r="AD264" s="133" t="s">
        <v>266</v>
      </c>
      <c r="AE264" s="85"/>
      <c r="AF264" s="85"/>
      <c r="AG264" s="390">
        <f>$AL$15-AO257/AO247*($AL$15-$AP$15)</f>
        <v>36.256777712916929</v>
      </c>
      <c r="AH264" s="286"/>
      <c r="AI264" s="286"/>
      <c r="AJ264" s="391"/>
      <c r="AK264" s="192">
        <f t="shared" si="10"/>
        <v>20</v>
      </c>
      <c r="AL264" s="192"/>
      <c r="AM264" s="192"/>
      <c r="AN264" s="193"/>
      <c r="AO264" s="209">
        <f>$AL$19^2*4.17*10^8*$AL$20/(2.42*$AL$18)^2*AK264^3*ABS($AL$15-AG264)</f>
        <v>2045020993032.8337</v>
      </c>
      <c r="AP264" s="210"/>
      <c r="AQ264" s="211"/>
      <c r="AR264" s="191">
        <f t="shared" si="11"/>
        <v>0.28046357615894041</v>
      </c>
      <c r="AS264" s="192"/>
      <c r="AT264" s="193"/>
      <c r="AX264" s="135"/>
      <c r="AY264" s="135"/>
      <c r="AZ264" s="135"/>
      <c r="BA264" s="135"/>
      <c r="BB264" s="135"/>
    </row>
    <row r="265" spans="29:54" ht="17.25" thickBot="1" x14ac:dyDescent="0.35">
      <c r="AC265" s="135"/>
      <c r="AD265" s="133" t="s">
        <v>267</v>
      </c>
      <c r="AE265" s="85"/>
      <c r="AF265" s="85"/>
      <c r="AG265" s="392">
        <f>$AG$15-AR257/AR248*($AG$15-$AP$15)</f>
        <v>52.631836241292916</v>
      </c>
      <c r="AH265" s="393"/>
      <c r="AI265" s="393"/>
      <c r="AJ265" s="394"/>
      <c r="AK265" s="192">
        <f t="shared" si="10"/>
        <v>20</v>
      </c>
      <c r="AL265" s="192"/>
      <c r="AM265" s="192"/>
      <c r="AN265" s="193"/>
      <c r="AO265" s="224">
        <f>$AG$19^2*4.17*10^8*$AG$20/(2.42*$AG$18)^2*AK265^3*ABS($AG$15-AG265)</f>
        <v>1846625.2264130192</v>
      </c>
      <c r="AP265" s="225"/>
      <c r="AQ265" s="226"/>
      <c r="AR265" s="191">
        <f t="shared" si="11"/>
        <v>484</v>
      </c>
      <c r="AS265" s="192"/>
      <c r="AT265" s="193"/>
      <c r="AX265" s="135"/>
      <c r="AY265" s="135"/>
      <c r="AZ265" s="135"/>
      <c r="BA265" s="135"/>
      <c r="BB265" s="135"/>
    </row>
    <row r="266" spans="29:54" x14ac:dyDescent="0.3">
      <c r="AC266" s="135"/>
      <c r="AD266" s="133" t="s">
        <v>268</v>
      </c>
      <c r="AE266" s="85"/>
      <c r="AF266" s="134"/>
      <c r="AG266" s="227">
        <f>$AP$15+($AL$15-$AP$15)*AO257/(AO251+AO253)</f>
        <v>36.250530976091866</v>
      </c>
      <c r="AH266" s="228"/>
      <c r="AI266" s="228"/>
      <c r="AJ266" s="229"/>
      <c r="AK266" s="191">
        <f t="shared" si="10"/>
        <v>20</v>
      </c>
      <c r="AL266" s="192"/>
      <c r="AM266" s="192"/>
      <c r="AN266" s="193"/>
      <c r="AO266" s="209">
        <f>$AP$19^2*4.17*10^8*$AP$20/(2.42*$AP$18)^2*AK266^3*ABS($AP$15-AG266)</f>
        <v>186081695043.91348</v>
      </c>
      <c r="AP266" s="210"/>
      <c r="AQ266" s="211"/>
      <c r="AR266" s="191">
        <f t="shared" si="11"/>
        <v>0.28233333333333333</v>
      </c>
      <c r="AS266" s="192"/>
      <c r="AT266" s="193"/>
      <c r="AX266" s="135"/>
      <c r="AY266" s="135"/>
      <c r="AZ266" s="135"/>
      <c r="BA266" s="135"/>
      <c r="BB266" s="135"/>
    </row>
    <row r="267" spans="29:54" x14ac:dyDescent="0.3">
      <c r="AC267" s="135"/>
      <c r="AD267" s="133" t="s">
        <v>269</v>
      </c>
      <c r="AE267" s="85"/>
      <c r="AF267" s="134"/>
      <c r="AG267" s="206">
        <f>$AP$15+($AL$15-$AP$15)*AO257/(AO251+AO253)</f>
        <v>36.250530976091866</v>
      </c>
      <c r="AH267" s="207"/>
      <c r="AI267" s="207"/>
      <c r="AJ267" s="208"/>
      <c r="AK267" s="191" t="str">
        <f t="shared" si="10"/>
        <v>-</v>
      </c>
      <c r="AL267" s="192"/>
      <c r="AM267" s="192"/>
      <c r="AN267" s="193"/>
      <c r="AO267" s="209" t="s">
        <v>273</v>
      </c>
      <c r="AP267" s="210"/>
      <c r="AQ267" s="211"/>
      <c r="AR267" s="191" t="str">
        <f t="shared" si="11"/>
        <v>-</v>
      </c>
      <c r="AS267" s="192"/>
      <c r="AT267" s="193"/>
      <c r="AX267" s="135"/>
      <c r="AY267" s="135"/>
      <c r="AZ267" s="135"/>
      <c r="BA267" s="135"/>
      <c r="BB267" s="135"/>
    </row>
    <row r="268" spans="29:54" x14ac:dyDescent="0.3">
      <c r="AC268" s="135"/>
      <c r="AD268" s="133" t="s">
        <v>261</v>
      </c>
      <c r="AE268" s="85"/>
      <c r="AF268" s="134"/>
      <c r="AG268" s="206">
        <f>MAX(AG270,AG269)</f>
        <v>36.755405462358993</v>
      </c>
      <c r="AH268" s="207"/>
      <c r="AI268" s="207"/>
      <c r="AJ268" s="208"/>
      <c r="AK268" s="191">
        <f t="shared" si="10"/>
        <v>48</v>
      </c>
      <c r="AL268" s="192"/>
      <c r="AM268" s="192"/>
      <c r="AN268" s="193"/>
      <c r="AO268" s="209">
        <f>$AP$19^2*4.17*10^8*$AP$20/(2.42*$AP$18)^2*AK268^3*ABS($AP$15-AG268)</f>
        <v>3610940814959.0239</v>
      </c>
      <c r="AP268" s="210"/>
      <c r="AQ268" s="211"/>
      <c r="AR268" s="191">
        <f t="shared" si="11"/>
        <v>0.28233333333333333</v>
      </c>
      <c r="AS268" s="192"/>
      <c r="AT268" s="193"/>
      <c r="AX268" s="135"/>
      <c r="AY268" s="135"/>
      <c r="AZ268" s="135"/>
      <c r="BA268" s="135"/>
      <c r="BB268" s="135"/>
    </row>
    <row r="269" spans="29:54" x14ac:dyDescent="0.3">
      <c r="AC269" s="135"/>
      <c r="AD269" s="133" t="s">
        <v>262</v>
      </c>
      <c r="AE269" s="85"/>
      <c r="AF269" s="134"/>
      <c r="AG269" s="206">
        <f>AG257/(AG252+AG253)*($AL$15-$AP$15)+$AP$15</f>
        <v>36.07257793958901</v>
      </c>
      <c r="AH269" s="207"/>
      <c r="AI269" s="207"/>
      <c r="AJ269" s="208"/>
      <c r="AK269" s="191" t="str">
        <f t="shared" si="10"/>
        <v>-</v>
      </c>
      <c r="AL269" s="192"/>
      <c r="AM269" s="192"/>
      <c r="AN269" s="193"/>
      <c r="AO269" s="209" t="s">
        <v>273</v>
      </c>
      <c r="AP269" s="210"/>
      <c r="AQ269" s="211"/>
      <c r="AR269" s="191" t="str">
        <f t="shared" si="11"/>
        <v>-</v>
      </c>
      <c r="AS269" s="192"/>
      <c r="AT269" s="193"/>
      <c r="AX269" s="135"/>
      <c r="AY269" s="135"/>
      <c r="AZ269" s="135"/>
      <c r="BA269" s="135"/>
      <c r="BB269" s="135"/>
    </row>
    <row r="270" spans="29:54" x14ac:dyDescent="0.3">
      <c r="AC270" s="135"/>
      <c r="AD270" s="133" t="s">
        <v>263</v>
      </c>
      <c r="AE270" s="85"/>
      <c r="AF270" s="134"/>
      <c r="AG270" s="206">
        <f>$AP$15+($AG$15-$AP$15)*AK257/(AK252+AK253)</f>
        <v>36.755405462358993</v>
      </c>
      <c r="AH270" s="207"/>
      <c r="AI270" s="207"/>
      <c r="AJ270" s="208"/>
      <c r="AK270" s="191" t="str">
        <f t="shared" si="10"/>
        <v>-</v>
      </c>
      <c r="AL270" s="192"/>
      <c r="AM270" s="192"/>
      <c r="AN270" s="193"/>
      <c r="AO270" s="191" t="s">
        <v>273</v>
      </c>
      <c r="AP270" s="192"/>
      <c r="AQ270" s="193"/>
      <c r="AR270" s="191" t="str">
        <f t="shared" si="11"/>
        <v>-</v>
      </c>
      <c r="AS270" s="192"/>
      <c r="AT270" s="193"/>
      <c r="AX270" s="135"/>
      <c r="AY270" s="135"/>
      <c r="AZ270" s="135"/>
      <c r="BA270" s="135"/>
      <c r="BB270" s="135"/>
    </row>
    <row r="271" spans="29:54" x14ac:dyDescent="0.3">
      <c r="AC271" s="135"/>
      <c r="AX271" s="135"/>
      <c r="AY271" s="135"/>
      <c r="AZ271" s="135"/>
      <c r="BA271" s="135"/>
      <c r="BB271" s="135"/>
    </row>
    <row r="272" spans="29:54" x14ac:dyDescent="0.3">
      <c r="AC272" s="135"/>
      <c r="AD272" t="s">
        <v>274</v>
      </c>
      <c r="AX272" s="135"/>
      <c r="AY272" s="135"/>
      <c r="AZ272" s="135"/>
      <c r="BA272" s="135"/>
      <c r="BB272" s="135"/>
    </row>
    <row r="273" spans="29:54" x14ac:dyDescent="0.3">
      <c r="AC273" s="135"/>
      <c r="AD273" s="133"/>
      <c r="AE273" s="85"/>
      <c r="AF273" s="134"/>
      <c r="AG273" s="191" t="s">
        <v>21</v>
      </c>
      <c r="AH273" s="192"/>
      <c r="AI273" s="192"/>
      <c r="AJ273" s="193"/>
      <c r="AK273" s="191" t="s">
        <v>22</v>
      </c>
      <c r="AL273" s="192"/>
      <c r="AM273" s="192"/>
      <c r="AN273" s="193"/>
      <c r="AO273" s="191" t="s">
        <v>23</v>
      </c>
      <c r="AP273" s="192"/>
      <c r="AQ273" s="193"/>
      <c r="AR273" s="191" t="s">
        <v>24</v>
      </c>
      <c r="AS273" s="192"/>
      <c r="AT273" s="193"/>
      <c r="AU273" s="190"/>
      <c r="AV273" s="182"/>
      <c r="AW273" s="183"/>
      <c r="AX273" s="135"/>
      <c r="AY273" s="135"/>
      <c r="AZ273" s="135"/>
      <c r="BA273" s="135"/>
      <c r="BB273" s="135"/>
    </row>
    <row r="274" spans="29:54" x14ac:dyDescent="0.3">
      <c r="AC274" s="135"/>
      <c r="AD274" s="133" t="s">
        <v>283</v>
      </c>
      <c r="AE274" s="85"/>
      <c r="AF274" s="134"/>
      <c r="AG274" s="191">
        <f>IF(MAX(Coeff1(AO262,AR262,AK262,$AL$16),Coeff2(AO262,AR262,AK262,$AL$16))&lt;&gt;0,MAX(Coeff1(AO262,AR262,AK262,$AL$16),Coeff2(AO262,AR262,AK262,$AL$16)),Coeff4(AO262,AR262,AK262,$AL$16))</f>
        <v>0.47693041675071879</v>
      </c>
      <c r="AH274" s="192"/>
      <c r="AI274" s="192"/>
      <c r="AJ274" s="193"/>
      <c r="AK274" s="184"/>
      <c r="AL274" s="185"/>
      <c r="AM274" s="185"/>
      <c r="AN274" s="186"/>
      <c r="AO274" s="184"/>
      <c r="AP274" s="185"/>
      <c r="AQ274" s="186"/>
      <c r="AR274" s="184"/>
      <c r="AS274" s="185"/>
      <c r="AT274" s="186"/>
      <c r="AU274" s="190" t="s">
        <v>26</v>
      </c>
      <c r="AV274" s="182"/>
      <c r="AW274" s="183"/>
      <c r="AX274" s="135"/>
      <c r="AY274" s="135"/>
      <c r="AZ274" s="135"/>
      <c r="BA274" s="135"/>
      <c r="BB274" s="135"/>
    </row>
    <row r="275" spans="29:54" x14ac:dyDescent="0.3">
      <c r="AC275" s="135"/>
      <c r="AD275" s="133" t="s">
        <v>284</v>
      </c>
      <c r="AE275" s="85"/>
      <c r="AF275" s="134"/>
      <c r="AG275" s="184"/>
      <c r="AH275" s="185"/>
      <c r="AI275" s="185"/>
      <c r="AJ275" s="186"/>
      <c r="AK275" s="191">
        <f>MAX(Coeff1(AO263,AR263,AK263,$AG$16),Coeff3(AO263,AR263,AK263,$AG$16),Coeff4(AO263,AR263,AK263,$AG$16))</f>
        <v>1.0622537109177708</v>
      </c>
      <c r="AL275" s="192"/>
      <c r="AM275" s="192"/>
      <c r="AN275" s="193"/>
      <c r="AO275" s="184"/>
      <c r="AP275" s="185"/>
      <c r="AQ275" s="186"/>
      <c r="AR275" s="184"/>
      <c r="AS275" s="185"/>
      <c r="AT275" s="186"/>
      <c r="AU275" s="190" t="s">
        <v>26</v>
      </c>
      <c r="AV275" s="182"/>
      <c r="AW275" s="183"/>
      <c r="AX275" s="135"/>
      <c r="AY275" s="135"/>
      <c r="AZ275" s="135"/>
      <c r="BA275" s="135"/>
      <c r="BB275" s="135"/>
    </row>
    <row r="276" spans="29:54" x14ac:dyDescent="0.3">
      <c r="AC276" s="135"/>
      <c r="AD276" s="133" t="s">
        <v>285</v>
      </c>
      <c r="AE276" s="85"/>
      <c r="AF276" s="134"/>
      <c r="AG276" s="184"/>
      <c r="AH276" s="185"/>
      <c r="AI276" s="185"/>
      <c r="AJ276" s="186"/>
      <c r="AK276" s="184"/>
      <c r="AL276" s="185"/>
      <c r="AM276" s="185"/>
      <c r="AN276" s="186"/>
      <c r="AO276" s="203">
        <f>Coeff5(AO264,AR264,AK264,$AL$16)</f>
        <v>0.17740026950744117</v>
      </c>
      <c r="AP276" s="204"/>
      <c r="AQ276" s="205"/>
      <c r="AR276" s="184"/>
      <c r="AS276" s="185"/>
      <c r="AT276" s="186"/>
      <c r="AU276" s="190" t="s">
        <v>26</v>
      </c>
      <c r="AV276" s="182"/>
      <c r="AW276" s="183"/>
      <c r="AX276" s="135"/>
      <c r="AY276" s="135"/>
      <c r="AZ276" s="135"/>
      <c r="BA276" s="135"/>
      <c r="BB276" s="135"/>
    </row>
    <row r="277" spans="29:54" x14ac:dyDescent="0.3">
      <c r="AC277" s="135"/>
      <c r="AD277" s="133" t="s">
        <v>286</v>
      </c>
      <c r="AE277" s="85"/>
      <c r="AF277" s="134"/>
      <c r="AG277" s="184"/>
      <c r="AH277" s="185"/>
      <c r="AI277" s="185"/>
      <c r="AJ277" s="186"/>
      <c r="AK277" s="184"/>
      <c r="AL277" s="185"/>
      <c r="AM277" s="185"/>
      <c r="AN277" s="186"/>
      <c r="AO277" s="184"/>
      <c r="AP277" s="185"/>
      <c r="AQ277" s="186"/>
      <c r="AR277" s="200">
        <f>Coeff6(AO265,AR265,AK265,$AG$16)</f>
        <v>0.7554109008332115</v>
      </c>
      <c r="AS277" s="201"/>
      <c r="AT277" s="202"/>
      <c r="AU277" s="190" t="s">
        <v>26</v>
      </c>
      <c r="AV277" s="182"/>
      <c r="AW277" s="183"/>
      <c r="AX277" s="135"/>
      <c r="AY277" s="135"/>
      <c r="AZ277" s="135"/>
      <c r="BA277" s="135"/>
      <c r="BB277" s="135"/>
    </row>
    <row r="278" spans="29:54" x14ac:dyDescent="0.3">
      <c r="AC278" s="135"/>
      <c r="AD278" s="133" t="s">
        <v>287</v>
      </c>
      <c r="AE278" s="85"/>
      <c r="AF278" s="134"/>
      <c r="AG278" s="184"/>
      <c r="AH278" s="185"/>
      <c r="AI278" s="185"/>
      <c r="AJ278" s="186"/>
      <c r="AK278" s="184"/>
      <c r="AL278" s="185"/>
      <c r="AM278" s="185"/>
      <c r="AN278" s="186"/>
      <c r="AO278" s="184"/>
      <c r="AP278" s="185"/>
      <c r="AQ278" s="186"/>
      <c r="AR278" s="200">
        <f>8*$AG$31/PI()/$AS$38</f>
        <v>0.10185916357881301</v>
      </c>
      <c r="AS278" s="201"/>
      <c r="AT278" s="202"/>
      <c r="AU278" s="190" t="s">
        <v>26</v>
      </c>
      <c r="AV278" s="182"/>
      <c r="AW278" s="183"/>
      <c r="AX278" s="135"/>
      <c r="AY278" s="135"/>
      <c r="AZ278" s="135"/>
      <c r="BA278" s="135"/>
      <c r="BB278" s="135"/>
    </row>
    <row r="279" spans="29:54" x14ac:dyDescent="0.3">
      <c r="AC279" s="135"/>
      <c r="AD279" s="133" t="s">
        <v>288</v>
      </c>
      <c r="AE279" s="85"/>
      <c r="AF279" s="134"/>
      <c r="AG279" s="184">
        <f>AG250</f>
        <v>3.3032694796041264</v>
      </c>
      <c r="AH279" s="185"/>
      <c r="AI279" s="185"/>
      <c r="AJ279" s="186"/>
      <c r="AK279" s="184">
        <f>AK250</f>
        <v>3.145901699102954</v>
      </c>
      <c r="AL279" s="185"/>
      <c r="AM279" s="185"/>
      <c r="AN279" s="186"/>
      <c r="AO279" s="184">
        <f>AO250</f>
        <v>3.3032694796041264</v>
      </c>
      <c r="AP279" s="185"/>
      <c r="AQ279" s="186"/>
      <c r="AR279" s="184"/>
      <c r="AS279" s="185"/>
      <c r="AT279" s="186"/>
      <c r="AU279" s="190"/>
      <c r="AV279" s="182"/>
      <c r="AW279" s="183"/>
      <c r="AX279" s="135"/>
      <c r="AY279" s="135"/>
      <c r="AZ279" s="135"/>
      <c r="BA279" s="135"/>
      <c r="BB279" s="135"/>
    </row>
    <row r="280" spans="29:54" x14ac:dyDescent="0.3">
      <c r="AC280" s="135"/>
      <c r="AD280" s="133" t="s">
        <v>289</v>
      </c>
      <c r="AE280" s="85"/>
      <c r="AF280" s="134"/>
      <c r="AG280" s="184"/>
      <c r="AH280" s="185"/>
      <c r="AI280" s="185"/>
      <c r="AJ280" s="186"/>
      <c r="AK280" s="184"/>
      <c r="AL280" s="185"/>
      <c r="AM280" s="185"/>
      <c r="AN280" s="186"/>
      <c r="AO280" s="184">
        <f>Coeff6(AO266,AR266,AK266,$AP$16)*AO279</f>
        <v>1.1964292466467634</v>
      </c>
      <c r="AP280" s="185"/>
      <c r="AQ280" s="186"/>
      <c r="AR280" s="184"/>
      <c r="AS280" s="185"/>
      <c r="AT280" s="186"/>
      <c r="AU280" s="190" t="s">
        <v>26</v>
      </c>
      <c r="AV280" s="182"/>
      <c r="AW280" s="183"/>
      <c r="AX280" s="135"/>
      <c r="AY280" s="135"/>
      <c r="AZ280" s="135"/>
      <c r="BA280" s="135"/>
      <c r="BB280" s="135"/>
    </row>
    <row r="281" spans="29:54" x14ac:dyDescent="0.3">
      <c r="AC281" s="135"/>
      <c r="AD281" s="133" t="s">
        <v>290</v>
      </c>
      <c r="AE281" s="85"/>
      <c r="AF281" s="134"/>
      <c r="AG281" s="191">
        <f>MAX(Coeff1(AO268,AR268,AK268,$AP$16),Coeff2(AO268,AR268,AK268,$AP$16),Coeff4(AO268,AR268,AK268,$AP$16))*AG279</f>
        <v>1.228605573055185</v>
      </c>
      <c r="AH281" s="192"/>
      <c r="AI281" s="192"/>
      <c r="AJ281" s="193"/>
      <c r="AK281" s="191">
        <f>MAX(Coeff1(AO268,AR268,AK268,$AP$16),Coeff2(AO268,AR268,AK268,$AP$16),Coeff4(AO268,AR268,AK268,$AP$16))*AK279</f>
        <v>1.170074795188937</v>
      </c>
      <c r="AL281" s="192"/>
      <c r="AM281" s="192"/>
      <c r="AN281" s="193"/>
      <c r="AO281" s="184"/>
      <c r="AP281" s="185"/>
      <c r="AQ281" s="186"/>
      <c r="AR281" s="184"/>
      <c r="AS281" s="185"/>
      <c r="AT281" s="186"/>
      <c r="AU281" s="190" t="s">
        <v>26</v>
      </c>
      <c r="AV281" s="182"/>
      <c r="AW281" s="183"/>
      <c r="AX281" s="135"/>
      <c r="AY281" s="135"/>
      <c r="AZ281" s="135"/>
      <c r="BA281" s="135"/>
      <c r="BB281" s="135"/>
    </row>
    <row r="282" spans="29:54" x14ac:dyDescent="0.3">
      <c r="AC282" s="135"/>
      <c r="AD282" s="133" t="s">
        <v>291</v>
      </c>
      <c r="AE282" s="85"/>
      <c r="AF282" s="134"/>
      <c r="AG282" s="184">
        <f>Coeff7(AG269,$AP$15,$AG$28)</f>
        <v>0.75038952814671267</v>
      </c>
      <c r="AH282" s="185"/>
      <c r="AI282" s="185"/>
      <c r="AJ282" s="186"/>
      <c r="AK282" s="184">
        <f>Coeff7(AG270,$AP$15,$AG$28)</f>
        <v>0.75194307840401964</v>
      </c>
      <c r="AL282" s="185"/>
      <c r="AM282" s="185"/>
      <c r="AN282" s="186"/>
      <c r="AO282" s="187">
        <f>Coeff7(AG267,$AP$15,$AG$28)</f>
        <v>0.75079412714442006</v>
      </c>
      <c r="AP282" s="188"/>
      <c r="AQ282" s="189"/>
      <c r="AR282" s="184"/>
      <c r="AS282" s="185"/>
      <c r="AT282" s="186"/>
      <c r="AU282" s="190" t="s">
        <v>26</v>
      </c>
      <c r="AV282" s="182"/>
      <c r="AW282" s="183"/>
      <c r="AX282" s="135"/>
      <c r="AY282" s="135"/>
      <c r="AZ282" s="135"/>
      <c r="BA282" s="135"/>
      <c r="BB282" s="135"/>
    </row>
    <row r="283" spans="29:54" x14ac:dyDescent="0.3">
      <c r="AC283" s="135"/>
      <c r="AD283" s="133" t="s">
        <v>292</v>
      </c>
      <c r="AE283" s="85"/>
      <c r="AF283" s="134"/>
      <c r="AG283" s="191">
        <f>$AG$47/($AG$46/12)</f>
        <v>640</v>
      </c>
      <c r="AH283" s="192"/>
      <c r="AI283" s="192"/>
      <c r="AJ283" s="193"/>
      <c r="AK283" s="191">
        <f>$AG$47/($AG$46/12)</f>
        <v>640</v>
      </c>
      <c r="AL283" s="192"/>
      <c r="AM283" s="192"/>
      <c r="AN283" s="193"/>
      <c r="AO283" s="191">
        <f>$AG$47/($AG$46/12)</f>
        <v>640</v>
      </c>
      <c r="AP283" s="192"/>
      <c r="AQ283" s="193"/>
      <c r="AR283" s="191">
        <f>$AG$47/($AG$46/12)</f>
        <v>640</v>
      </c>
      <c r="AS283" s="192"/>
      <c r="AT283" s="193"/>
      <c r="AU283" s="190" t="s">
        <v>26</v>
      </c>
      <c r="AV283" s="182"/>
      <c r="AW283" s="183"/>
      <c r="AX283" s="135"/>
      <c r="AY283" s="135"/>
      <c r="AZ283" s="135"/>
      <c r="BA283" s="135"/>
      <c r="BB283" s="135"/>
    </row>
    <row r="284" spans="29:54" x14ac:dyDescent="0.3">
      <c r="AC284" s="135"/>
      <c r="AD284" s="133" t="s">
        <v>293</v>
      </c>
      <c r="AE284" s="85"/>
      <c r="AF284" s="134"/>
      <c r="AG284" s="194">
        <f>IF(OR($AK$45="",$AK$45="No"),"",$AK$47/$AK$46*12)</f>
        <v>0.22400000000000003</v>
      </c>
      <c r="AH284" s="195"/>
      <c r="AI284" s="195"/>
      <c r="AJ284" s="196"/>
      <c r="AK284" s="194">
        <f>IF(OR($AK$45="",$AK$45="No"),"",$AK$47/$AK$46*12)</f>
        <v>0.22400000000000003</v>
      </c>
      <c r="AL284" s="195"/>
      <c r="AM284" s="195"/>
      <c r="AN284" s="196"/>
      <c r="AO284" s="191" t="str">
        <f>IF(OR($AO$45="",$AO$45="No"),"",$AO$47/$AO$46*12)</f>
        <v/>
      </c>
      <c r="AP284" s="192"/>
      <c r="AQ284" s="193"/>
      <c r="AR284" s="191" t="str">
        <f>IF(OR($AR$45="",$AR$45="No"),"",$AR$47/$AR$46*12)</f>
        <v/>
      </c>
      <c r="AS284" s="192"/>
      <c r="AT284" s="193"/>
      <c r="AU284" s="190" t="s">
        <v>26</v>
      </c>
      <c r="AV284" s="182"/>
      <c r="AW284" s="183"/>
      <c r="AX284" s="135"/>
      <c r="AY284" s="135"/>
      <c r="AZ284" s="135"/>
      <c r="BA284" s="135"/>
      <c r="BB284" s="135"/>
    </row>
    <row r="285" spans="29:54" ht="17.25" thickBot="1" x14ac:dyDescent="0.35">
      <c r="AC285" s="135"/>
      <c r="AD285" s="133" t="s">
        <v>294</v>
      </c>
      <c r="AE285" s="85"/>
      <c r="AF285" s="134"/>
      <c r="AG285" s="197">
        <f>1/$AR$25</f>
        <v>1000</v>
      </c>
      <c r="AH285" s="198"/>
      <c r="AI285" s="198"/>
      <c r="AJ285" s="199"/>
      <c r="AK285" s="197">
        <f>1/$AR$26</f>
        <v>800</v>
      </c>
      <c r="AL285" s="198"/>
      <c r="AM285" s="198"/>
      <c r="AN285" s="199"/>
      <c r="AO285" s="197">
        <f>IF($H$38="Roof",1/$AR$27,"")</f>
        <v>1000</v>
      </c>
      <c r="AP285" s="198"/>
      <c r="AQ285" s="198"/>
      <c r="AR285" s="197">
        <f>IF($H$39="No",1/$AR$28,"")</f>
        <v>500</v>
      </c>
      <c r="AS285" s="198"/>
      <c r="AT285" s="198"/>
      <c r="AU285" s="190" t="s">
        <v>26</v>
      </c>
      <c r="AV285" s="182"/>
      <c r="AW285" s="183"/>
      <c r="AX285" s="135"/>
      <c r="AY285" s="135"/>
      <c r="AZ285" s="135"/>
      <c r="BA285" s="135"/>
      <c r="BB285" s="135"/>
    </row>
    <row r="286" spans="29:54" ht="17.25" thickBot="1" x14ac:dyDescent="0.35">
      <c r="AC286" s="135"/>
      <c r="AD286" s="133" t="s">
        <v>295</v>
      </c>
      <c r="AE286" s="85"/>
      <c r="AF286" s="85"/>
      <c r="AG286" s="174">
        <f>1/(1/AG274+1/(AG281+AG282)+1/AG283+IF(AG284="",0,1/AG284)+1/AG285)</f>
        <v>0.14146478380935557</v>
      </c>
      <c r="AH286" s="175"/>
      <c r="AI286" s="175"/>
      <c r="AJ286" s="176"/>
      <c r="AK286" s="177">
        <f>1/(1/AK275+1/(AK281+AK282)+1/AK283+IF(AK284="",0,1/AK284)+1/AK285)</f>
        <v>0.16866878122636833</v>
      </c>
      <c r="AL286" s="175"/>
      <c r="AM286" s="175"/>
      <c r="AN286" s="176"/>
      <c r="AO286" s="178">
        <f>1/(1/AO276+1/(AO280+AO282)+1/AO283+IF(AO284="",0,1/AO284)+1/AO285)</f>
        <v>0.16252012070862501</v>
      </c>
      <c r="AP286" s="179"/>
      <c r="AQ286" s="180"/>
      <c r="AR286" s="178">
        <f>1/(1/AR277+1/AR278+1/AR283+IF(AR284="",0,1/AR284)+1/AR285)</f>
        <v>8.9727764536541257E-2</v>
      </c>
      <c r="AS286" s="179"/>
      <c r="AT286" s="181"/>
      <c r="AU286" s="182" t="s">
        <v>26</v>
      </c>
      <c r="AV286" s="182"/>
      <c r="AW286" s="183"/>
      <c r="AX286" s="135"/>
      <c r="AY286" s="135"/>
      <c r="AZ286" s="135"/>
      <c r="BA286" s="135"/>
      <c r="BB286" s="135"/>
    </row>
    <row r="287" spans="29:54" x14ac:dyDescent="0.3">
      <c r="AC287" s="135"/>
      <c r="AD287" s="135"/>
      <c r="AE287" s="135"/>
      <c r="AF287" s="135"/>
      <c r="AG287" s="135"/>
      <c r="AH287" s="135"/>
      <c r="AI287" s="135"/>
      <c r="AJ287" s="135"/>
      <c r="AK287" s="135"/>
      <c r="AL287" s="135"/>
      <c r="AM287" s="135"/>
      <c r="AN287" s="135"/>
      <c r="AO287" s="135"/>
      <c r="AP287" s="135"/>
      <c r="AQ287" s="135"/>
      <c r="AR287" s="135"/>
      <c r="AS287" s="135"/>
      <c r="AT287" s="135"/>
      <c r="AU287" s="135"/>
      <c r="AV287" s="135"/>
      <c r="AW287" s="135"/>
      <c r="AX287" s="135"/>
      <c r="AY287" s="135"/>
      <c r="AZ287" s="135"/>
      <c r="BA287" s="135"/>
      <c r="BB287" s="135"/>
    </row>
    <row r="288" spans="29:54" x14ac:dyDescent="0.3">
      <c r="AC288" s="135"/>
      <c r="AD288" s="131" t="s">
        <v>352</v>
      </c>
      <c r="AG288" s="230"/>
      <c r="AH288" s="230"/>
      <c r="AI288" s="230"/>
      <c r="AJ288" s="230"/>
      <c r="AK288" s="230"/>
      <c r="AL288" s="230"/>
      <c r="AM288" s="230"/>
      <c r="AN288" s="230"/>
      <c r="AO288" s="231"/>
      <c r="AP288" s="231"/>
      <c r="AQ288" s="231"/>
      <c r="AR288" s="231"/>
      <c r="AS288" s="231"/>
      <c r="AT288" s="231"/>
      <c r="AU288" s="230"/>
      <c r="AV288" s="230"/>
      <c r="AW288" s="230"/>
      <c r="AX288" s="135"/>
      <c r="AY288" s="135"/>
      <c r="AZ288" s="135"/>
      <c r="BA288" s="135"/>
      <c r="BB288" s="135"/>
    </row>
    <row r="289" spans="29:54" x14ac:dyDescent="0.3">
      <c r="AC289" s="135"/>
      <c r="AD289" t="s">
        <v>258</v>
      </c>
      <c r="AJ289" s="10"/>
      <c r="AX289" s="135"/>
      <c r="AY289" s="135"/>
      <c r="AZ289" s="135"/>
      <c r="BA289" s="135"/>
      <c r="BB289" s="135"/>
    </row>
    <row r="290" spans="29:54" ht="17.25" thickBot="1" x14ac:dyDescent="0.35">
      <c r="AC290" s="135"/>
      <c r="AD290" s="133"/>
      <c r="AE290" s="85"/>
      <c r="AF290" s="134"/>
      <c r="AG290" s="232" t="s">
        <v>271</v>
      </c>
      <c r="AH290" s="233"/>
      <c r="AI290" s="233"/>
      <c r="AJ290" s="234"/>
      <c r="AK290" s="191" t="s">
        <v>270</v>
      </c>
      <c r="AL290" s="192"/>
      <c r="AM290" s="192"/>
      <c r="AN290" s="193"/>
      <c r="AO290" s="191" t="s">
        <v>264</v>
      </c>
      <c r="AP290" s="192"/>
      <c r="AQ290" s="193"/>
      <c r="AR290" s="191" t="s">
        <v>265</v>
      </c>
      <c r="AS290" s="192"/>
      <c r="AT290" s="193"/>
      <c r="AX290" s="135"/>
      <c r="AY290" s="135"/>
      <c r="AZ290" s="135"/>
      <c r="BA290" s="135"/>
      <c r="BB290" s="135"/>
    </row>
    <row r="291" spans="29:54" x14ac:dyDescent="0.3">
      <c r="AC291" s="135"/>
      <c r="AD291" s="133" t="s">
        <v>259</v>
      </c>
      <c r="AE291" s="85"/>
      <c r="AF291" s="85"/>
      <c r="AG291" s="387">
        <f>$AL$15-AG286/AG274*($AL$15-$AP$15)</f>
        <v>45.550772853622703</v>
      </c>
      <c r="AH291" s="388"/>
      <c r="AI291" s="388"/>
      <c r="AJ291" s="389"/>
      <c r="AK291" s="192">
        <f t="shared" ref="AK291:AK299" si="12">AK262</f>
        <v>24</v>
      </c>
      <c r="AL291" s="192"/>
      <c r="AM291" s="192"/>
      <c r="AN291" s="193"/>
      <c r="AO291" s="215">
        <f>$AL$19^2*4.17*10^8*$AL$20/(2.42*$AL$18)^2*AK291^3*ABS($AL$15-AG291)</f>
        <v>1144030271237.6895</v>
      </c>
      <c r="AP291" s="216"/>
      <c r="AQ291" s="217"/>
      <c r="AR291" s="191">
        <f t="shared" ref="AR291:AR299" si="13">AR262</f>
        <v>0.28046357615894041</v>
      </c>
      <c r="AS291" s="192"/>
      <c r="AT291" s="193"/>
      <c r="AX291" s="135"/>
      <c r="AY291" s="135"/>
      <c r="AZ291" s="135"/>
      <c r="BA291" s="135"/>
      <c r="BB291" s="135"/>
    </row>
    <row r="292" spans="29:54" x14ac:dyDescent="0.3">
      <c r="AC292" s="135"/>
      <c r="AD292" s="133" t="s">
        <v>260</v>
      </c>
      <c r="AE292" s="85"/>
      <c r="AF292" s="85"/>
      <c r="AG292" s="390">
        <f>$AG$15-AK286/AK275*($AG$15-$AP$15)</f>
        <v>51.824322108874703</v>
      </c>
      <c r="AH292" s="286"/>
      <c r="AI292" s="286"/>
      <c r="AJ292" s="391"/>
      <c r="AK292" s="192">
        <f t="shared" si="12"/>
        <v>24</v>
      </c>
      <c r="AL292" s="192"/>
      <c r="AM292" s="192"/>
      <c r="AN292" s="193"/>
      <c r="AO292" s="209">
        <f>$AG$19^2*4.17*10^8*$AG$20/(2.42*$AG$18)^2*AK292^3*ABS($AG$15-AG292)</f>
        <v>4279048.5810315609</v>
      </c>
      <c r="AP292" s="210"/>
      <c r="AQ292" s="211"/>
      <c r="AR292" s="191">
        <f t="shared" si="13"/>
        <v>484</v>
      </c>
      <c r="AS292" s="192"/>
      <c r="AT292" s="193"/>
      <c r="AX292" s="135"/>
      <c r="AY292" s="135"/>
      <c r="AZ292" s="135"/>
      <c r="BA292" s="135"/>
      <c r="BB292" s="135"/>
    </row>
    <row r="293" spans="29:54" x14ac:dyDescent="0.3">
      <c r="AC293" s="135"/>
      <c r="AD293" s="133" t="s">
        <v>266</v>
      </c>
      <c r="AE293" s="85"/>
      <c r="AF293" s="85"/>
      <c r="AG293" s="390">
        <f>$AL$15-AO286/AO276*($AL$15-$AP$15)</f>
        <v>36.258184289133112</v>
      </c>
      <c r="AH293" s="286"/>
      <c r="AI293" s="286"/>
      <c r="AJ293" s="391"/>
      <c r="AK293" s="192">
        <f t="shared" si="12"/>
        <v>20</v>
      </c>
      <c r="AL293" s="192"/>
      <c r="AM293" s="192"/>
      <c r="AN293" s="193"/>
      <c r="AO293" s="209">
        <f>$AL$19^2*4.17*10^8*$AL$20/(2.42*$AL$18)^2*AK293^3*ABS($AL$15-AG293)</f>
        <v>2044811691470.9211</v>
      </c>
      <c r="AP293" s="210"/>
      <c r="AQ293" s="211"/>
      <c r="AR293" s="191">
        <f t="shared" si="13"/>
        <v>0.28046357615894041</v>
      </c>
      <c r="AS293" s="192"/>
      <c r="AT293" s="193"/>
      <c r="AX293" s="135"/>
      <c r="AY293" s="135"/>
      <c r="AZ293" s="135"/>
      <c r="BA293" s="135"/>
      <c r="BB293" s="135"/>
    </row>
    <row r="294" spans="29:54" ht="17.25" thickBot="1" x14ac:dyDescent="0.35">
      <c r="AC294" s="135"/>
      <c r="AD294" s="133" t="s">
        <v>267</v>
      </c>
      <c r="AE294" s="85"/>
      <c r="AF294" s="85"/>
      <c r="AG294" s="392">
        <f>$AG$15-AR286/AR277*($AG$15-$AP$15)</f>
        <v>52.624398471412782</v>
      </c>
      <c r="AH294" s="393"/>
      <c r="AI294" s="393"/>
      <c r="AJ294" s="394"/>
      <c r="AK294" s="192">
        <f t="shared" si="12"/>
        <v>20</v>
      </c>
      <c r="AL294" s="192"/>
      <c r="AM294" s="192"/>
      <c r="AN294" s="193"/>
      <c r="AO294" s="224">
        <f>$AG$19^2*4.17*10^8*$AG$20/(2.42*$AG$18)^2*AK294^3*ABS($AG$15-AG294)</f>
        <v>1852424.9830550216</v>
      </c>
      <c r="AP294" s="225"/>
      <c r="AQ294" s="226"/>
      <c r="AR294" s="191">
        <f t="shared" si="13"/>
        <v>484</v>
      </c>
      <c r="AS294" s="192"/>
      <c r="AT294" s="193"/>
      <c r="AX294" s="135"/>
      <c r="AY294" s="135"/>
      <c r="AZ294" s="135"/>
      <c r="BA294" s="135"/>
      <c r="BB294" s="135"/>
    </row>
    <row r="295" spans="29:54" x14ac:dyDescent="0.3">
      <c r="AC295" s="135"/>
      <c r="AD295" s="133" t="s">
        <v>268</v>
      </c>
      <c r="AE295" s="85"/>
      <c r="AF295" s="134"/>
      <c r="AG295" s="227">
        <f>$AP$15+($AL$15-$AP$15)*AO286/(AO280+AO282)</f>
        <v>36.251937421993375</v>
      </c>
      <c r="AH295" s="228"/>
      <c r="AI295" s="228"/>
      <c r="AJ295" s="229"/>
      <c r="AK295" s="191">
        <f t="shared" si="12"/>
        <v>20</v>
      </c>
      <c r="AL295" s="192"/>
      <c r="AM295" s="192"/>
      <c r="AN295" s="193"/>
      <c r="AO295" s="209">
        <f>$AP$19^2*4.17*10^8*$AP$20/(2.42*$AP$18)^2*AK295^3*ABS($AP$15-AG295)</f>
        <v>186290977214.72241</v>
      </c>
      <c r="AP295" s="210"/>
      <c r="AQ295" s="211"/>
      <c r="AR295" s="191">
        <f t="shared" si="13"/>
        <v>0.28233333333333333</v>
      </c>
      <c r="AS295" s="192"/>
      <c r="AT295" s="193"/>
      <c r="AX295" s="135"/>
      <c r="AY295" s="135"/>
      <c r="AZ295" s="135"/>
      <c r="BA295" s="135"/>
      <c r="BB295" s="135"/>
    </row>
    <row r="296" spans="29:54" x14ac:dyDescent="0.3">
      <c r="AC296" s="135"/>
      <c r="AD296" s="133" t="s">
        <v>269</v>
      </c>
      <c r="AE296" s="85"/>
      <c r="AF296" s="134"/>
      <c r="AG296" s="206">
        <f>$AP$15+($AL$15-$AP$15)*AO286/(AO280+AO282)</f>
        <v>36.251937421993375</v>
      </c>
      <c r="AH296" s="207"/>
      <c r="AI296" s="207"/>
      <c r="AJ296" s="208"/>
      <c r="AK296" s="191" t="str">
        <f t="shared" si="12"/>
        <v>-</v>
      </c>
      <c r="AL296" s="192"/>
      <c r="AM296" s="192"/>
      <c r="AN296" s="193"/>
      <c r="AO296" s="209" t="s">
        <v>273</v>
      </c>
      <c r="AP296" s="210"/>
      <c r="AQ296" s="211"/>
      <c r="AR296" s="191" t="str">
        <f t="shared" si="13"/>
        <v>-</v>
      </c>
      <c r="AS296" s="192"/>
      <c r="AT296" s="193"/>
      <c r="AX296" s="135"/>
      <c r="AY296" s="135"/>
      <c r="AZ296" s="135"/>
      <c r="BA296" s="135"/>
      <c r="BB296" s="135"/>
    </row>
    <row r="297" spans="29:54" x14ac:dyDescent="0.3">
      <c r="AC297" s="135"/>
      <c r="AD297" s="133" t="s">
        <v>261</v>
      </c>
      <c r="AE297" s="85"/>
      <c r="AF297" s="134"/>
      <c r="AG297" s="206">
        <f>MAX(AG299,AG298)</f>
        <v>36.755121880433549</v>
      </c>
      <c r="AH297" s="207"/>
      <c r="AI297" s="207"/>
      <c r="AJ297" s="208"/>
      <c r="AK297" s="191">
        <f t="shared" si="12"/>
        <v>48</v>
      </c>
      <c r="AL297" s="192"/>
      <c r="AM297" s="192"/>
      <c r="AN297" s="193"/>
      <c r="AO297" s="209">
        <f>$AP$19^2*4.17*10^8*$AP$20/(2.42*$AP$18)^2*AK297^3*ABS($AP$15-AG297)</f>
        <v>3610357475342.6621</v>
      </c>
      <c r="AP297" s="210"/>
      <c r="AQ297" s="211"/>
      <c r="AR297" s="191">
        <f t="shared" si="13"/>
        <v>0.28233333333333333</v>
      </c>
      <c r="AS297" s="192"/>
      <c r="AT297" s="193"/>
      <c r="AX297" s="135"/>
      <c r="AY297" s="135"/>
      <c r="AZ297" s="135"/>
      <c r="BA297" s="135"/>
      <c r="BB297" s="135"/>
    </row>
    <row r="298" spans="29:54" x14ac:dyDescent="0.3">
      <c r="AC298" s="135"/>
      <c r="AD298" s="133" t="s">
        <v>262</v>
      </c>
      <c r="AE298" s="85"/>
      <c r="AF298" s="134"/>
      <c r="AG298" s="206">
        <f>AG286/(AG281+AG282)*($AL$15-$AP$15)+$AP$15</f>
        <v>36.072247099475689</v>
      </c>
      <c r="AH298" s="207"/>
      <c r="AI298" s="207"/>
      <c r="AJ298" s="208"/>
      <c r="AK298" s="191" t="str">
        <f t="shared" si="12"/>
        <v>-</v>
      </c>
      <c r="AL298" s="192"/>
      <c r="AM298" s="192"/>
      <c r="AN298" s="193"/>
      <c r="AO298" s="209" t="s">
        <v>273</v>
      </c>
      <c r="AP298" s="210"/>
      <c r="AQ298" s="211"/>
      <c r="AR298" s="191" t="str">
        <f t="shared" si="13"/>
        <v>-</v>
      </c>
      <c r="AS298" s="192"/>
      <c r="AT298" s="193"/>
      <c r="AX298" s="135"/>
      <c r="AY298" s="135"/>
      <c r="AZ298" s="135"/>
      <c r="BA298" s="135"/>
      <c r="BB298" s="135"/>
    </row>
    <row r="299" spans="29:54" x14ac:dyDescent="0.3">
      <c r="AC299" s="135"/>
      <c r="AD299" s="133" t="s">
        <v>263</v>
      </c>
      <c r="AE299" s="85"/>
      <c r="AF299" s="134"/>
      <c r="AG299" s="206">
        <f>$AP$15+($AG$15-$AP$15)*AK286/(AK281+AK282)</f>
        <v>36.755121880433549</v>
      </c>
      <c r="AH299" s="207"/>
      <c r="AI299" s="207"/>
      <c r="AJ299" s="208"/>
      <c r="AK299" s="191" t="str">
        <f t="shared" si="12"/>
        <v>-</v>
      </c>
      <c r="AL299" s="192"/>
      <c r="AM299" s="192"/>
      <c r="AN299" s="193"/>
      <c r="AO299" s="191" t="s">
        <v>273</v>
      </c>
      <c r="AP299" s="192"/>
      <c r="AQ299" s="193"/>
      <c r="AR299" s="191" t="str">
        <f t="shared" si="13"/>
        <v>-</v>
      </c>
      <c r="AS299" s="192"/>
      <c r="AT299" s="193"/>
      <c r="AX299" s="135"/>
      <c r="AY299" s="135"/>
      <c r="AZ299" s="135"/>
      <c r="BA299" s="135"/>
      <c r="BB299" s="135"/>
    </row>
    <row r="300" spans="29:54" x14ac:dyDescent="0.3">
      <c r="AC300" s="135"/>
      <c r="AX300" s="135"/>
      <c r="AY300" s="135"/>
      <c r="AZ300" s="135"/>
      <c r="BA300" s="135"/>
      <c r="BB300" s="135"/>
    </row>
    <row r="301" spans="29:54" x14ac:dyDescent="0.3">
      <c r="AC301" s="135"/>
      <c r="AD301" t="s">
        <v>274</v>
      </c>
      <c r="AX301" s="135"/>
      <c r="AY301" s="135"/>
      <c r="AZ301" s="135"/>
      <c r="BA301" s="135"/>
      <c r="BB301" s="135"/>
    </row>
    <row r="302" spans="29:54" x14ac:dyDescent="0.3">
      <c r="AC302" s="135"/>
      <c r="AD302" s="133"/>
      <c r="AE302" s="85"/>
      <c r="AF302" s="134"/>
      <c r="AG302" s="191" t="s">
        <v>21</v>
      </c>
      <c r="AH302" s="192"/>
      <c r="AI302" s="192"/>
      <c r="AJ302" s="193"/>
      <c r="AK302" s="191" t="s">
        <v>22</v>
      </c>
      <c r="AL302" s="192"/>
      <c r="AM302" s="192"/>
      <c r="AN302" s="193"/>
      <c r="AO302" s="191" t="s">
        <v>23</v>
      </c>
      <c r="AP302" s="192"/>
      <c r="AQ302" s="193"/>
      <c r="AR302" s="191" t="s">
        <v>24</v>
      </c>
      <c r="AS302" s="192"/>
      <c r="AT302" s="193"/>
      <c r="AU302" s="190"/>
      <c r="AV302" s="182"/>
      <c r="AW302" s="183"/>
      <c r="AX302" s="135"/>
      <c r="AY302" s="135"/>
      <c r="AZ302" s="135"/>
      <c r="BA302" s="135"/>
      <c r="BB302" s="135"/>
    </row>
    <row r="303" spans="29:54" x14ac:dyDescent="0.3">
      <c r="AC303" s="135"/>
      <c r="AD303" s="133" t="s">
        <v>283</v>
      </c>
      <c r="AE303" s="85"/>
      <c r="AF303" s="134"/>
      <c r="AG303" s="191">
        <f>IF(MAX(Coeff1(AO291,AR291,AK291,$AL$16),Coeff2(AO291,AR291,AK291,$AL$16))&lt;&gt;0,MAX(Coeff1(AO291,AR291,AK291,$AL$16),Coeff2(AO291,AR291,AK291,$AL$16)),Coeff4(AO291,AR291,AK291,$AL$16))</f>
        <v>0.477028686535591</v>
      </c>
      <c r="AH303" s="192"/>
      <c r="AI303" s="192"/>
      <c r="AJ303" s="193"/>
      <c r="AK303" s="184"/>
      <c r="AL303" s="185"/>
      <c r="AM303" s="185"/>
      <c r="AN303" s="186"/>
      <c r="AO303" s="184"/>
      <c r="AP303" s="185"/>
      <c r="AQ303" s="186"/>
      <c r="AR303" s="184"/>
      <c r="AS303" s="185"/>
      <c r="AT303" s="186"/>
      <c r="AU303" s="190" t="s">
        <v>26</v>
      </c>
      <c r="AV303" s="182"/>
      <c r="AW303" s="183"/>
      <c r="AX303" s="135"/>
      <c r="AY303" s="135"/>
      <c r="AZ303" s="135"/>
      <c r="BA303" s="135"/>
      <c r="BB303" s="135"/>
    </row>
    <row r="304" spans="29:54" x14ac:dyDescent="0.3">
      <c r="AC304" s="135"/>
      <c r="AD304" s="133" t="s">
        <v>284</v>
      </c>
      <c r="AE304" s="85"/>
      <c r="AF304" s="134"/>
      <c r="AG304" s="184"/>
      <c r="AH304" s="185"/>
      <c r="AI304" s="185"/>
      <c r="AJ304" s="186"/>
      <c r="AK304" s="191">
        <f>MAX(Coeff1(AO292,AR292,AK292,$AG$16),Coeff3(AO292,AR292,AK292,$AG$16),Coeff4(AO292,AR292,AK292,$AG$16))</f>
        <v>1.0623887746709668</v>
      </c>
      <c r="AL304" s="192"/>
      <c r="AM304" s="192"/>
      <c r="AN304" s="193"/>
      <c r="AO304" s="184"/>
      <c r="AP304" s="185"/>
      <c r="AQ304" s="186"/>
      <c r="AR304" s="184"/>
      <c r="AS304" s="185"/>
      <c r="AT304" s="186"/>
      <c r="AU304" s="190" t="s">
        <v>26</v>
      </c>
      <c r="AV304" s="182"/>
      <c r="AW304" s="183"/>
      <c r="AX304" s="135"/>
      <c r="AY304" s="135"/>
      <c r="AZ304" s="135"/>
      <c r="BA304" s="135"/>
      <c r="BB304" s="135"/>
    </row>
    <row r="305" spans="29:54" x14ac:dyDescent="0.3">
      <c r="AC305" s="135"/>
      <c r="AD305" s="133" t="s">
        <v>285</v>
      </c>
      <c r="AE305" s="85"/>
      <c r="AF305" s="134"/>
      <c r="AG305" s="184"/>
      <c r="AH305" s="185"/>
      <c r="AI305" s="185"/>
      <c r="AJ305" s="186"/>
      <c r="AK305" s="184"/>
      <c r="AL305" s="185"/>
      <c r="AM305" s="185"/>
      <c r="AN305" s="186"/>
      <c r="AO305" s="203">
        <f>Coeff5(AO293,AR293,AK293,$AL$16)</f>
        <v>0.17739573024124761</v>
      </c>
      <c r="AP305" s="204"/>
      <c r="AQ305" s="205"/>
      <c r="AR305" s="184"/>
      <c r="AS305" s="185"/>
      <c r="AT305" s="186"/>
      <c r="AU305" s="190" t="s">
        <v>26</v>
      </c>
      <c r="AV305" s="182"/>
      <c r="AW305" s="183"/>
      <c r="AX305" s="135"/>
      <c r="AY305" s="135"/>
      <c r="AZ305" s="135"/>
      <c r="BA305" s="135"/>
      <c r="BB305" s="135"/>
    </row>
    <row r="306" spans="29:54" x14ac:dyDescent="0.3">
      <c r="AC306" s="135"/>
      <c r="AD306" s="133" t="s">
        <v>286</v>
      </c>
      <c r="AE306" s="85"/>
      <c r="AF306" s="134"/>
      <c r="AG306" s="184"/>
      <c r="AH306" s="185"/>
      <c r="AI306" s="185"/>
      <c r="AJ306" s="186"/>
      <c r="AK306" s="184"/>
      <c r="AL306" s="185"/>
      <c r="AM306" s="185"/>
      <c r="AN306" s="186"/>
      <c r="AO306" s="184"/>
      <c r="AP306" s="185"/>
      <c r="AQ306" s="186"/>
      <c r="AR306" s="200">
        <f>Coeff6(AO294,AR294,AK294,$AG$16)</f>
        <v>0.75619301798632987</v>
      </c>
      <c r="AS306" s="201"/>
      <c r="AT306" s="202"/>
      <c r="AU306" s="190" t="s">
        <v>26</v>
      </c>
      <c r="AV306" s="182"/>
      <c r="AW306" s="183"/>
      <c r="AX306" s="135"/>
      <c r="AY306" s="135"/>
      <c r="AZ306" s="135"/>
      <c r="BA306" s="135"/>
      <c r="BB306" s="135"/>
    </row>
    <row r="307" spans="29:54" x14ac:dyDescent="0.3">
      <c r="AC307" s="135"/>
      <c r="AD307" s="133" t="s">
        <v>287</v>
      </c>
      <c r="AE307" s="85"/>
      <c r="AF307" s="134"/>
      <c r="AG307" s="184"/>
      <c r="AH307" s="185"/>
      <c r="AI307" s="185"/>
      <c r="AJ307" s="186"/>
      <c r="AK307" s="184"/>
      <c r="AL307" s="185"/>
      <c r="AM307" s="185"/>
      <c r="AN307" s="186"/>
      <c r="AO307" s="184"/>
      <c r="AP307" s="185"/>
      <c r="AQ307" s="186"/>
      <c r="AR307" s="200">
        <f>8*$AG$31/PI()/$AS$38</f>
        <v>0.10185916357881301</v>
      </c>
      <c r="AS307" s="201"/>
      <c r="AT307" s="202"/>
      <c r="AU307" s="190" t="s">
        <v>26</v>
      </c>
      <c r="AV307" s="182"/>
      <c r="AW307" s="183"/>
      <c r="AX307" s="135"/>
      <c r="AY307" s="135"/>
      <c r="AZ307" s="135"/>
      <c r="BA307" s="135"/>
      <c r="BB307" s="135"/>
    </row>
    <row r="308" spans="29:54" x14ac:dyDescent="0.3">
      <c r="AC308" s="135"/>
      <c r="AD308" s="133" t="s">
        <v>288</v>
      </c>
      <c r="AE308" s="85"/>
      <c r="AF308" s="134"/>
      <c r="AG308" s="184">
        <f>AG279</f>
        <v>3.3032694796041264</v>
      </c>
      <c r="AH308" s="185"/>
      <c r="AI308" s="185"/>
      <c r="AJ308" s="186"/>
      <c r="AK308" s="184">
        <f>AK279</f>
        <v>3.145901699102954</v>
      </c>
      <c r="AL308" s="185"/>
      <c r="AM308" s="185"/>
      <c r="AN308" s="186"/>
      <c r="AO308" s="184">
        <f>AO279</f>
        <v>3.3032694796041264</v>
      </c>
      <c r="AP308" s="185"/>
      <c r="AQ308" s="186"/>
      <c r="AR308" s="184"/>
      <c r="AS308" s="185"/>
      <c r="AT308" s="186"/>
      <c r="AU308" s="190"/>
      <c r="AV308" s="182"/>
      <c r="AW308" s="183"/>
      <c r="AX308" s="135"/>
      <c r="AY308" s="135"/>
      <c r="AZ308" s="135"/>
      <c r="BA308" s="135"/>
      <c r="BB308" s="135"/>
    </row>
    <row r="309" spans="29:54" x14ac:dyDescent="0.3">
      <c r="AC309" s="135"/>
      <c r="AD309" s="133" t="s">
        <v>289</v>
      </c>
      <c r="AE309" s="85"/>
      <c r="AF309" s="134"/>
      <c r="AG309" s="184"/>
      <c r="AH309" s="185"/>
      <c r="AI309" s="185"/>
      <c r="AJ309" s="186"/>
      <c r="AK309" s="184"/>
      <c r="AL309" s="185"/>
      <c r="AM309" s="185"/>
      <c r="AN309" s="186"/>
      <c r="AO309" s="184">
        <f>Coeff6(AO295,AR295,AK295,$AP$16)*AO308</f>
        <v>1.1968731270605495</v>
      </c>
      <c r="AP309" s="185"/>
      <c r="AQ309" s="186"/>
      <c r="AR309" s="184"/>
      <c r="AS309" s="185"/>
      <c r="AT309" s="186"/>
      <c r="AU309" s="190" t="s">
        <v>26</v>
      </c>
      <c r="AV309" s="182"/>
      <c r="AW309" s="183"/>
      <c r="AX309" s="135"/>
      <c r="AY309" s="135"/>
      <c r="AZ309" s="135"/>
      <c r="BA309" s="135"/>
      <c r="BB309" s="135"/>
    </row>
    <row r="310" spans="29:54" x14ac:dyDescent="0.3">
      <c r="AC310" s="135"/>
      <c r="AD310" s="133" t="s">
        <v>290</v>
      </c>
      <c r="AE310" s="85"/>
      <c r="AF310" s="134"/>
      <c r="AG310" s="191">
        <f>MAX(Coeff1(AO297,AR297,AK297,$AP$16),Coeff2(AO297,AR297,AK297,$AP$16),Coeff4(AO297,AR297,AK297,$AP$16))*AG308</f>
        <v>1.2285559504109689</v>
      </c>
      <c r="AH310" s="192"/>
      <c r="AI310" s="192"/>
      <c r="AJ310" s="193"/>
      <c r="AK310" s="191">
        <f>MAX(Coeff1(AO297,AR297,AK297,$AP$16),Coeff2(AO297,AR297,AK297,$AP$16),Coeff4(AO297,AR297,AK297,$AP$16))*AK308</f>
        <v>1.1700275365678292</v>
      </c>
      <c r="AL310" s="192"/>
      <c r="AM310" s="192"/>
      <c r="AN310" s="193"/>
      <c r="AO310" s="184"/>
      <c r="AP310" s="185"/>
      <c r="AQ310" s="186"/>
      <c r="AR310" s="184"/>
      <c r="AS310" s="185"/>
      <c r="AT310" s="186"/>
      <c r="AU310" s="190" t="s">
        <v>26</v>
      </c>
      <c r="AV310" s="182"/>
      <c r="AW310" s="183"/>
      <c r="AX310" s="135"/>
      <c r="AY310" s="135"/>
      <c r="AZ310" s="135"/>
      <c r="BA310" s="135"/>
      <c r="BB310" s="135"/>
    </row>
    <row r="311" spans="29:54" x14ac:dyDescent="0.3">
      <c r="AC311" s="135"/>
      <c r="AD311" s="133" t="s">
        <v>291</v>
      </c>
      <c r="AE311" s="85"/>
      <c r="AF311" s="134"/>
      <c r="AG311" s="184">
        <f>Coeff7(AG298,$AP$15,$AG$28)</f>
        <v>0.75038877611976584</v>
      </c>
      <c r="AH311" s="185"/>
      <c r="AI311" s="185"/>
      <c r="AJ311" s="186"/>
      <c r="AK311" s="184">
        <f>Coeff7(AG299,$AP$15,$AG$28)</f>
        <v>0.75194243261404758</v>
      </c>
      <c r="AL311" s="185"/>
      <c r="AM311" s="185"/>
      <c r="AN311" s="186"/>
      <c r="AO311" s="187">
        <f>Coeff7(AG296,$AP$15,$AG$28)</f>
        <v>0.75079732565057578</v>
      </c>
      <c r="AP311" s="188"/>
      <c r="AQ311" s="189"/>
      <c r="AR311" s="184"/>
      <c r="AS311" s="185"/>
      <c r="AT311" s="186"/>
      <c r="AU311" s="190" t="s">
        <v>26</v>
      </c>
      <c r="AV311" s="182"/>
      <c r="AW311" s="183"/>
      <c r="AX311" s="135"/>
      <c r="AY311" s="135"/>
      <c r="AZ311" s="135"/>
      <c r="BA311" s="135"/>
      <c r="BB311" s="135"/>
    </row>
    <row r="312" spans="29:54" x14ac:dyDescent="0.3">
      <c r="AC312" s="135"/>
      <c r="AD312" s="133" t="s">
        <v>292</v>
      </c>
      <c r="AE312" s="85"/>
      <c r="AF312" s="134"/>
      <c r="AG312" s="191">
        <f>$AG$47/($AG$46/12)</f>
        <v>640</v>
      </c>
      <c r="AH312" s="192"/>
      <c r="AI312" s="192"/>
      <c r="AJ312" s="193"/>
      <c r="AK312" s="191">
        <f>$AG$47/($AG$46/12)</f>
        <v>640</v>
      </c>
      <c r="AL312" s="192"/>
      <c r="AM312" s="192"/>
      <c r="AN312" s="193"/>
      <c r="AO312" s="191">
        <f>$AG$47/($AG$46/12)</f>
        <v>640</v>
      </c>
      <c r="AP312" s="192"/>
      <c r="AQ312" s="193"/>
      <c r="AR312" s="191">
        <f>$AG$47/($AG$46/12)</f>
        <v>640</v>
      </c>
      <c r="AS312" s="192"/>
      <c r="AT312" s="193"/>
      <c r="AU312" s="190" t="s">
        <v>26</v>
      </c>
      <c r="AV312" s="182"/>
      <c r="AW312" s="183"/>
      <c r="AX312" s="135"/>
      <c r="AY312" s="135"/>
      <c r="AZ312" s="135"/>
      <c r="BA312" s="135"/>
      <c r="BB312" s="135"/>
    </row>
    <row r="313" spans="29:54" x14ac:dyDescent="0.3">
      <c r="AC313" s="135"/>
      <c r="AD313" s="133" t="s">
        <v>293</v>
      </c>
      <c r="AE313" s="85"/>
      <c r="AF313" s="134"/>
      <c r="AG313" s="194">
        <f>IF(OR($AK$45="",$AK$45="No"),"",$AK$47/$AK$46*12)</f>
        <v>0.22400000000000003</v>
      </c>
      <c r="AH313" s="195"/>
      <c r="AI313" s="195"/>
      <c r="AJ313" s="196"/>
      <c r="AK313" s="194">
        <f>IF(OR($AK$45="",$AK$45="No"),"",$AK$47/$AK$46*12)</f>
        <v>0.22400000000000003</v>
      </c>
      <c r="AL313" s="195"/>
      <c r="AM313" s="195"/>
      <c r="AN313" s="196"/>
      <c r="AO313" s="191" t="str">
        <f>IF(OR($AO$45="",$AO$45="No"),"",$AO$47/$AO$46*12)</f>
        <v/>
      </c>
      <c r="AP313" s="192"/>
      <c r="AQ313" s="193"/>
      <c r="AR313" s="191" t="str">
        <f>IF(OR($AR$45="",$AR$45="No"),"",$AR$47/$AR$46*12)</f>
        <v/>
      </c>
      <c r="AS313" s="192"/>
      <c r="AT313" s="193"/>
      <c r="AU313" s="190" t="s">
        <v>26</v>
      </c>
      <c r="AV313" s="182"/>
      <c r="AW313" s="183"/>
      <c r="AX313" s="135"/>
      <c r="AY313" s="135"/>
      <c r="AZ313" s="135"/>
      <c r="BA313" s="135"/>
      <c r="BB313" s="135"/>
    </row>
    <row r="314" spans="29:54" ht="17.25" thickBot="1" x14ac:dyDescent="0.35">
      <c r="AC314" s="135"/>
      <c r="AD314" s="133" t="s">
        <v>294</v>
      </c>
      <c r="AE314" s="85"/>
      <c r="AF314" s="134"/>
      <c r="AG314" s="197">
        <f>1/$AR$25</f>
        <v>1000</v>
      </c>
      <c r="AH314" s="198"/>
      <c r="AI314" s="198"/>
      <c r="AJ314" s="199"/>
      <c r="AK314" s="197">
        <f>1/$AR$26</f>
        <v>800</v>
      </c>
      <c r="AL314" s="198"/>
      <c r="AM314" s="198"/>
      <c r="AN314" s="199"/>
      <c r="AO314" s="197">
        <f>IF($H$38="Roof",1/$AR$27,"")</f>
        <v>1000</v>
      </c>
      <c r="AP314" s="198"/>
      <c r="AQ314" s="198"/>
      <c r="AR314" s="197">
        <f>IF($H$39="No",1/$AR$28,"")</f>
        <v>500</v>
      </c>
      <c r="AS314" s="198"/>
      <c r="AT314" s="198"/>
      <c r="AU314" s="190" t="s">
        <v>26</v>
      </c>
      <c r="AV314" s="182"/>
      <c r="AW314" s="183"/>
      <c r="AX314" s="135"/>
      <c r="AY314" s="135"/>
      <c r="AZ314" s="135"/>
      <c r="BA314" s="135"/>
      <c r="BB314" s="135"/>
    </row>
    <row r="315" spans="29:54" ht="17.25" thickBot="1" x14ac:dyDescent="0.35">
      <c r="AC315" s="135"/>
      <c r="AD315" s="133" t="s">
        <v>295</v>
      </c>
      <c r="AE315" s="85"/>
      <c r="AF315" s="85"/>
      <c r="AG315" s="174">
        <f>1/(1/AG303+1/(AG310+AG311)+1/AG312+IF(AG313="",0,1/AG313)+1/AG314)</f>
        <v>0.14147317094152345</v>
      </c>
      <c r="AH315" s="175"/>
      <c r="AI315" s="175"/>
      <c r="AJ315" s="176"/>
      <c r="AK315" s="177">
        <f>1/(1/AK304+1/(AK310+AK311)+1/AK312+IF(AK313="",0,1/AK313)+1/AK314)</f>
        <v>0.16867181719196828</v>
      </c>
      <c r="AL315" s="175"/>
      <c r="AM315" s="175"/>
      <c r="AN315" s="176"/>
      <c r="AO315" s="178">
        <f>1/(1/AO305+1/(AO309+AO311)+1/AO312+IF(AO313="",0,1/AO313)+1/AO314)</f>
        <v>0.16251942454042317</v>
      </c>
      <c r="AP315" s="179"/>
      <c r="AQ315" s="180"/>
      <c r="AR315" s="178">
        <f>1/(1/AR306+1/AR307+1/AR312+IF(AR313="",0,1/AR313)+1/AR314)</f>
        <v>8.9738789139387154E-2</v>
      </c>
      <c r="AS315" s="179"/>
      <c r="AT315" s="181"/>
      <c r="AU315" s="182" t="s">
        <v>26</v>
      </c>
      <c r="AV315" s="182"/>
      <c r="AW315" s="183"/>
      <c r="AX315" s="135"/>
      <c r="AY315" s="135"/>
      <c r="AZ315" s="135"/>
      <c r="BA315" s="135"/>
      <c r="BB315" s="135"/>
    </row>
    <row r="316" spans="29:54" x14ac:dyDescent="0.3">
      <c r="AC316" s="135"/>
      <c r="AD316" s="135"/>
      <c r="AE316" s="135"/>
      <c r="AF316" s="135"/>
      <c r="AG316" s="135"/>
      <c r="AH316" s="135"/>
      <c r="AI316" s="135"/>
      <c r="AJ316" s="135"/>
      <c r="AK316" s="135"/>
      <c r="AL316" s="135"/>
      <c r="AM316" s="135"/>
      <c r="AN316" s="135"/>
      <c r="AO316" s="135"/>
      <c r="AP316" s="135"/>
      <c r="AQ316" s="135"/>
      <c r="AR316" s="135"/>
      <c r="AS316" s="135"/>
      <c r="AT316" s="135"/>
      <c r="AU316" s="135"/>
      <c r="AV316" s="135"/>
      <c r="AW316" s="135"/>
      <c r="AX316" s="135"/>
      <c r="AY316" s="135"/>
      <c r="AZ316" s="135"/>
      <c r="BA316" s="135"/>
      <c r="BB316" s="135"/>
    </row>
    <row r="317" spans="29:54" x14ac:dyDescent="0.3">
      <c r="AC317" s="135"/>
      <c r="AD317" s="131" t="s">
        <v>353</v>
      </c>
      <c r="AG317" s="230"/>
      <c r="AH317" s="230"/>
      <c r="AI317" s="230"/>
      <c r="AJ317" s="230"/>
      <c r="AK317" s="230"/>
      <c r="AL317" s="230"/>
      <c r="AM317" s="230"/>
      <c r="AN317" s="230"/>
      <c r="AO317" s="231"/>
      <c r="AP317" s="231"/>
      <c r="AQ317" s="231"/>
      <c r="AR317" s="231"/>
      <c r="AS317" s="231"/>
      <c r="AT317" s="231"/>
      <c r="AU317" s="230"/>
      <c r="AV317" s="230"/>
      <c r="AW317" s="230"/>
      <c r="AX317" s="135"/>
      <c r="AY317" s="135"/>
      <c r="AZ317" s="135"/>
      <c r="BA317" s="135"/>
      <c r="BB317" s="135"/>
    </row>
    <row r="318" spans="29:54" x14ac:dyDescent="0.3">
      <c r="AC318" s="135"/>
      <c r="AD318" t="s">
        <v>258</v>
      </c>
      <c r="AJ318" s="10"/>
      <c r="AX318" s="135"/>
      <c r="AY318" s="135"/>
      <c r="AZ318" s="135"/>
      <c r="BA318" s="135"/>
      <c r="BB318" s="135"/>
    </row>
    <row r="319" spans="29:54" ht="17.25" thickBot="1" x14ac:dyDescent="0.35">
      <c r="AC319" s="135"/>
      <c r="AD319" s="133"/>
      <c r="AE319" s="85"/>
      <c r="AF319" s="134"/>
      <c r="AG319" s="232" t="s">
        <v>271</v>
      </c>
      <c r="AH319" s="233"/>
      <c r="AI319" s="233"/>
      <c r="AJ319" s="234"/>
      <c r="AK319" s="191" t="s">
        <v>270</v>
      </c>
      <c r="AL319" s="192"/>
      <c r="AM319" s="192"/>
      <c r="AN319" s="193"/>
      <c r="AO319" s="191" t="s">
        <v>264</v>
      </c>
      <c r="AP319" s="192"/>
      <c r="AQ319" s="193"/>
      <c r="AR319" s="191" t="s">
        <v>265</v>
      </c>
      <c r="AS319" s="192"/>
      <c r="AT319" s="193"/>
      <c r="AX319" s="135"/>
      <c r="AY319" s="135"/>
      <c r="AZ319" s="135"/>
      <c r="BA319" s="135"/>
      <c r="BB319" s="135"/>
    </row>
    <row r="320" spans="29:54" x14ac:dyDescent="0.3">
      <c r="AC320" s="135"/>
      <c r="AD320" s="133" t="s">
        <v>259</v>
      </c>
      <c r="AE320" s="85"/>
      <c r="AF320" s="85"/>
      <c r="AG320" s="212">
        <f>$AL$15-AG315/AG303*($AL$15-$AP$15)</f>
        <v>45.551425681473091</v>
      </c>
      <c r="AH320" s="213"/>
      <c r="AI320" s="213"/>
      <c r="AJ320" s="214"/>
      <c r="AK320" s="192">
        <f t="shared" ref="AK320:AK328" si="14">AK291</f>
        <v>24</v>
      </c>
      <c r="AL320" s="192"/>
      <c r="AM320" s="192"/>
      <c r="AN320" s="193"/>
      <c r="AO320" s="215">
        <f>$AL$19^2*4.17*10^8*$AL$20/(2.42*$AL$18)^2*AK320^3*ABS($AL$15-AG320)</f>
        <v>1143862409539.8755</v>
      </c>
      <c r="AP320" s="216"/>
      <c r="AQ320" s="217"/>
      <c r="AR320" s="191">
        <f t="shared" ref="AR320:AR328" si="15">AR291</f>
        <v>0.28046357615894041</v>
      </c>
      <c r="AS320" s="192"/>
      <c r="AT320" s="193"/>
      <c r="AX320" s="135"/>
      <c r="AY320" s="135"/>
      <c r="AZ320" s="135"/>
      <c r="BA320" s="135"/>
      <c r="BB320" s="135"/>
    </row>
    <row r="321" spans="29:55" x14ac:dyDescent="0.3">
      <c r="AC321" s="135"/>
      <c r="AD321" s="133" t="s">
        <v>260</v>
      </c>
      <c r="AE321" s="85"/>
      <c r="AF321" s="85"/>
      <c r="AG321" s="218">
        <f>$AG$15-AK315/AK304*($AG$15-$AP$15)</f>
        <v>51.82466868601454</v>
      </c>
      <c r="AH321" s="219"/>
      <c r="AI321" s="219"/>
      <c r="AJ321" s="220"/>
      <c r="AK321" s="192">
        <f t="shared" si="14"/>
        <v>24</v>
      </c>
      <c r="AL321" s="192"/>
      <c r="AM321" s="192"/>
      <c r="AN321" s="193"/>
      <c r="AO321" s="209">
        <f>$AG$19^2*4.17*10^8*$AG$20/(2.42*$AG$18)^2*AK321^3*ABS($AG$15-AG321)</f>
        <v>4278581.5876936717</v>
      </c>
      <c r="AP321" s="210"/>
      <c r="AQ321" s="211"/>
      <c r="AR321" s="191">
        <f t="shared" si="15"/>
        <v>484</v>
      </c>
      <c r="AS321" s="192"/>
      <c r="AT321" s="193"/>
      <c r="AX321" s="135"/>
      <c r="AY321" s="135"/>
      <c r="AZ321" s="135"/>
      <c r="BA321" s="135"/>
      <c r="BB321" s="135"/>
    </row>
    <row r="322" spans="29:55" x14ac:dyDescent="0.3">
      <c r="AC322" s="135"/>
      <c r="AD322" s="133" t="s">
        <v>266</v>
      </c>
      <c r="AE322" s="85"/>
      <c r="AF322" s="85"/>
      <c r="AG322" s="218">
        <f>$AL$15-AO315/AO305*($AL$15-$AP$15)</f>
        <v>36.257891524271201</v>
      </c>
      <c r="AH322" s="219"/>
      <c r="AI322" s="219"/>
      <c r="AJ322" s="220"/>
      <c r="AK322" s="192">
        <f t="shared" si="14"/>
        <v>20</v>
      </c>
      <c r="AL322" s="192"/>
      <c r="AM322" s="192"/>
      <c r="AN322" s="193"/>
      <c r="AO322" s="209">
        <f>$AL$19^2*4.17*10^8*$AL$20/(2.42*$AL$18)^2*AK322^3*ABS($AL$15-AG322)</f>
        <v>2044855255511.1531</v>
      </c>
      <c r="AP322" s="210"/>
      <c r="AQ322" s="211"/>
      <c r="AR322" s="191">
        <f t="shared" si="15"/>
        <v>0.28046357615894041</v>
      </c>
      <c r="AS322" s="192"/>
      <c r="AT322" s="193"/>
      <c r="AX322" s="135"/>
      <c r="AY322" s="135"/>
      <c r="AZ322" s="135"/>
      <c r="BA322" s="135"/>
      <c r="BB322" s="135"/>
    </row>
    <row r="323" spans="29:55" ht="17.25" thickBot="1" x14ac:dyDescent="0.35">
      <c r="AC323" s="135"/>
      <c r="AD323" s="133" t="s">
        <v>267</v>
      </c>
      <c r="AE323" s="85"/>
      <c r="AF323" s="85"/>
      <c r="AG323" s="221">
        <f>$AG$15-AR315/AR306*($AG$15-$AP$15)</f>
        <v>52.626563932622574</v>
      </c>
      <c r="AH323" s="222"/>
      <c r="AI323" s="222"/>
      <c r="AJ323" s="223"/>
      <c r="AK323" s="192">
        <f t="shared" si="14"/>
        <v>20</v>
      </c>
      <c r="AL323" s="192"/>
      <c r="AM323" s="192"/>
      <c r="AN323" s="193"/>
      <c r="AO323" s="224">
        <f>$AG$19^2*4.17*10^8*$AG$20/(2.42*$AG$18)^2*AK323^3*ABS($AG$15-AG323)</f>
        <v>1850736.4193811128</v>
      </c>
      <c r="AP323" s="225"/>
      <c r="AQ323" s="226"/>
      <c r="AR323" s="191">
        <f t="shared" si="15"/>
        <v>484</v>
      </c>
      <c r="AS323" s="192"/>
      <c r="AT323" s="193"/>
      <c r="AX323" s="135"/>
      <c r="AY323" s="135"/>
      <c r="AZ323" s="135"/>
      <c r="BA323" s="135"/>
      <c r="BB323" s="135"/>
    </row>
    <row r="324" spans="29:55" x14ac:dyDescent="0.3">
      <c r="AC324" s="135"/>
      <c r="AD324" s="133" t="s">
        <v>268</v>
      </c>
      <c r="AE324" s="85"/>
      <c r="AF324" s="134"/>
      <c r="AG324" s="227">
        <f>$AP$15+($AL$15-$AP$15)*AO315/(AO309+AO311)</f>
        <v>36.251644683890433</v>
      </c>
      <c r="AH324" s="228"/>
      <c r="AI324" s="228"/>
      <c r="AJ324" s="229"/>
      <c r="AK324" s="191">
        <f t="shared" si="14"/>
        <v>20</v>
      </c>
      <c r="AL324" s="192"/>
      <c r="AM324" s="192"/>
      <c r="AN324" s="193"/>
      <c r="AO324" s="209">
        <f>$AP$19^2*4.17*10^8*$AP$20/(2.42*$AP$18)^2*AK324^3*ABS($AP$15-AG324)</f>
        <v>186247417156.28256</v>
      </c>
      <c r="AP324" s="210"/>
      <c r="AQ324" s="211"/>
      <c r="AR324" s="191">
        <f t="shared" si="15"/>
        <v>0.28233333333333333</v>
      </c>
      <c r="AS324" s="192"/>
      <c r="AT324" s="193"/>
      <c r="AX324" s="169"/>
      <c r="AY324" s="169"/>
      <c r="AZ324" s="169"/>
      <c r="BA324" s="169"/>
      <c r="BB324" s="169"/>
      <c r="BC324" s="165"/>
    </row>
    <row r="325" spans="29:55" x14ac:dyDescent="0.3">
      <c r="AC325" s="135"/>
      <c r="AD325" s="133" t="s">
        <v>269</v>
      </c>
      <c r="AE325" s="85"/>
      <c r="AF325" s="134"/>
      <c r="AG325" s="206">
        <f>$AP$15+($AL$15-$AP$15)*AO315/(AO309+AO311)</f>
        <v>36.251644683890433</v>
      </c>
      <c r="AH325" s="207"/>
      <c r="AI325" s="207"/>
      <c r="AJ325" s="208"/>
      <c r="AK325" s="191" t="str">
        <f t="shared" si="14"/>
        <v>-</v>
      </c>
      <c r="AL325" s="192"/>
      <c r="AM325" s="192"/>
      <c r="AN325" s="193"/>
      <c r="AO325" s="209" t="s">
        <v>273</v>
      </c>
      <c r="AP325" s="210"/>
      <c r="AQ325" s="211"/>
      <c r="AR325" s="191" t="str">
        <f t="shared" si="15"/>
        <v>-</v>
      </c>
      <c r="AS325" s="192"/>
      <c r="AT325" s="193"/>
      <c r="AX325" s="135"/>
      <c r="AY325" s="135"/>
      <c r="AZ325" s="135"/>
      <c r="BA325" s="135"/>
      <c r="BB325" s="135"/>
    </row>
    <row r="326" spans="29:55" x14ac:dyDescent="0.3">
      <c r="AC326" s="135"/>
      <c r="AD326" s="133" t="s">
        <v>261</v>
      </c>
      <c r="AE326" s="85"/>
      <c r="AF326" s="134"/>
      <c r="AG326" s="206">
        <f>MAX(AG328,AG327)</f>
        <v>36.755197218443186</v>
      </c>
      <c r="AH326" s="207"/>
      <c r="AI326" s="207"/>
      <c r="AJ326" s="208"/>
      <c r="AK326" s="191">
        <f t="shared" si="14"/>
        <v>48</v>
      </c>
      <c r="AL326" s="192"/>
      <c r="AM326" s="192"/>
      <c r="AN326" s="193"/>
      <c r="AO326" s="209">
        <f>$AP$19^2*4.17*10^8*$AP$20/(2.42*$AP$18)^2*AK326^3*ABS($AP$15-AG326)</f>
        <v>3610512448709.0723</v>
      </c>
      <c r="AP326" s="210"/>
      <c r="AQ326" s="211"/>
      <c r="AR326" s="191">
        <f t="shared" si="15"/>
        <v>0.28233333333333333</v>
      </c>
      <c r="AS326" s="192"/>
      <c r="AT326" s="193"/>
      <c r="AX326" s="135"/>
      <c r="AY326" s="135"/>
      <c r="AZ326" s="135"/>
      <c r="BA326" s="135"/>
      <c r="BB326" s="135"/>
    </row>
    <row r="327" spans="29:55" x14ac:dyDescent="0.3">
      <c r="AC327" s="135"/>
      <c r="AD327" s="133" t="s">
        <v>262</v>
      </c>
      <c r="AE327" s="85"/>
      <c r="AF327" s="134"/>
      <c r="AG327" s="206">
        <f>AG315/(AG310+AG311)*($AL$15-$AP$15)+$AP$15</f>
        <v>36.072337966630869</v>
      </c>
      <c r="AH327" s="207"/>
      <c r="AI327" s="207"/>
      <c r="AJ327" s="208"/>
      <c r="AK327" s="191" t="str">
        <f t="shared" si="14"/>
        <v>-</v>
      </c>
      <c r="AL327" s="192"/>
      <c r="AM327" s="192"/>
      <c r="AN327" s="193"/>
      <c r="AO327" s="209" t="s">
        <v>273</v>
      </c>
      <c r="AP327" s="210"/>
      <c r="AQ327" s="211"/>
      <c r="AR327" s="191" t="str">
        <f t="shared" si="15"/>
        <v>-</v>
      </c>
      <c r="AS327" s="192"/>
      <c r="AT327" s="193"/>
      <c r="AX327" s="135"/>
      <c r="AY327" s="135"/>
      <c r="AZ327" s="135"/>
      <c r="BA327" s="135"/>
      <c r="BB327" s="135"/>
    </row>
    <row r="328" spans="29:55" x14ac:dyDescent="0.3">
      <c r="AC328" s="135"/>
      <c r="AD328" s="133" t="s">
        <v>263</v>
      </c>
      <c r="AE328" s="85"/>
      <c r="AF328" s="134"/>
      <c r="AG328" s="206">
        <f>$AP$15+($AG$15-$AP$15)*AK315/(AK310+AK311)</f>
        <v>36.755197218443186</v>
      </c>
      <c r="AH328" s="207"/>
      <c r="AI328" s="207"/>
      <c r="AJ328" s="208"/>
      <c r="AK328" s="191" t="str">
        <f t="shared" si="14"/>
        <v>-</v>
      </c>
      <c r="AL328" s="192"/>
      <c r="AM328" s="192"/>
      <c r="AN328" s="193"/>
      <c r="AO328" s="191" t="s">
        <v>273</v>
      </c>
      <c r="AP328" s="192"/>
      <c r="AQ328" s="193"/>
      <c r="AR328" s="191" t="str">
        <f t="shared" si="15"/>
        <v>-</v>
      </c>
      <c r="AS328" s="192"/>
      <c r="AT328" s="193"/>
      <c r="AX328" s="135"/>
      <c r="AY328" s="135"/>
      <c r="AZ328" s="135"/>
      <c r="BA328" s="135"/>
      <c r="BB328" s="135"/>
    </row>
    <row r="329" spans="29:55" x14ac:dyDescent="0.3">
      <c r="AC329" s="135"/>
      <c r="AX329" s="135"/>
      <c r="AY329" s="135"/>
      <c r="AZ329" s="135"/>
      <c r="BA329" s="135"/>
      <c r="BB329" s="135"/>
    </row>
    <row r="330" spans="29:55" x14ac:dyDescent="0.3">
      <c r="AC330" s="135"/>
      <c r="AD330" t="s">
        <v>274</v>
      </c>
      <c r="AX330" s="135"/>
      <c r="AY330" s="135"/>
      <c r="AZ330" s="135"/>
      <c r="BA330" s="135"/>
      <c r="BB330" s="135"/>
    </row>
    <row r="331" spans="29:55" x14ac:dyDescent="0.3">
      <c r="AC331" s="135"/>
      <c r="AD331" s="133"/>
      <c r="AE331" s="85"/>
      <c r="AF331" s="134"/>
      <c r="AG331" s="191" t="s">
        <v>21</v>
      </c>
      <c r="AH331" s="192"/>
      <c r="AI331" s="192"/>
      <c r="AJ331" s="193"/>
      <c r="AK331" s="191" t="s">
        <v>22</v>
      </c>
      <c r="AL331" s="192"/>
      <c r="AM331" s="192"/>
      <c r="AN331" s="193"/>
      <c r="AO331" s="191" t="s">
        <v>23</v>
      </c>
      <c r="AP331" s="192"/>
      <c r="AQ331" s="193"/>
      <c r="AR331" s="191" t="s">
        <v>24</v>
      </c>
      <c r="AS331" s="192"/>
      <c r="AT331" s="193"/>
      <c r="AU331" s="190"/>
      <c r="AV331" s="182"/>
      <c r="AW331" s="183"/>
      <c r="AX331" s="135"/>
      <c r="AY331" s="135"/>
      <c r="AZ331" s="135"/>
      <c r="BA331" s="135"/>
      <c r="BB331" s="135"/>
    </row>
    <row r="332" spans="29:55" x14ac:dyDescent="0.3">
      <c r="AC332" s="135"/>
      <c r="AD332" s="133" t="s">
        <v>283</v>
      </c>
      <c r="AE332" s="85"/>
      <c r="AF332" s="134"/>
      <c r="AG332" s="191">
        <f>IF(MAX(Coeff1(AO320,AR320,AK320,$AL$16),Coeff2(AO320,AR320,AK320,$AL$16))&lt;&gt;0,MAX(Coeff1(AO320,AR320,AK320,$AL$16),Coeff2(AO320,AR320,AK320,$AL$16)),Coeff4(AO320,AR320,AK320,$AL$16))</f>
        <v>0.47700348764127054</v>
      </c>
      <c r="AH332" s="192"/>
      <c r="AI332" s="192"/>
      <c r="AJ332" s="193"/>
      <c r="AK332" s="184"/>
      <c r="AL332" s="185"/>
      <c r="AM332" s="185"/>
      <c r="AN332" s="186"/>
      <c r="AO332" s="184"/>
      <c r="AP332" s="185"/>
      <c r="AQ332" s="186"/>
      <c r="AR332" s="184"/>
      <c r="AS332" s="185"/>
      <c r="AT332" s="186"/>
      <c r="AU332" s="190" t="s">
        <v>26</v>
      </c>
      <c r="AV332" s="182"/>
      <c r="AW332" s="183"/>
      <c r="AX332" s="135"/>
      <c r="AY332" s="135"/>
      <c r="AZ332" s="135"/>
      <c r="BA332" s="135"/>
      <c r="BB332" s="135"/>
    </row>
    <row r="333" spans="29:55" x14ac:dyDescent="0.3">
      <c r="AC333" s="135"/>
      <c r="AD333" s="133" t="s">
        <v>284</v>
      </c>
      <c r="AE333" s="85"/>
      <c r="AF333" s="134"/>
      <c r="AG333" s="184"/>
      <c r="AH333" s="185"/>
      <c r="AI333" s="185"/>
      <c r="AJ333" s="186"/>
      <c r="AK333" s="191">
        <f>MAX(Coeff1(AO321,AR321,AK321,$AG$16),Coeff3(AO321,AR321,AK321,$AG$16),Coeff4(AO321,AR321,AK321,$AG$16))</f>
        <v>1.062359787573937</v>
      </c>
      <c r="AL333" s="192"/>
      <c r="AM333" s="192"/>
      <c r="AN333" s="193"/>
      <c r="AO333" s="184"/>
      <c r="AP333" s="185"/>
      <c r="AQ333" s="186"/>
      <c r="AR333" s="184"/>
      <c r="AS333" s="185"/>
      <c r="AT333" s="186"/>
      <c r="AU333" s="190" t="s">
        <v>26</v>
      </c>
      <c r="AV333" s="182"/>
      <c r="AW333" s="183"/>
      <c r="AX333" s="135"/>
      <c r="AY333" s="135"/>
      <c r="AZ333" s="135"/>
      <c r="BA333" s="135"/>
      <c r="BB333" s="135"/>
    </row>
    <row r="334" spans="29:55" x14ac:dyDescent="0.3">
      <c r="AC334" s="135"/>
      <c r="AD334" s="133" t="s">
        <v>285</v>
      </c>
      <c r="AE334" s="85"/>
      <c r="AF334" s="134"/>
      <c r="AG334" s="184"/>
      <c r="AH334" s="185"/>
      <c r="AI334" s="185"/>
      <c r="AJ334" s="186"/>
      <c r="AK334" s="184"/>
      <c r="AL334" s="185"/>
      <c r="AM334" s="185"/>
      <c r="AN334" s="186"/>
      <c r="AO334" s="203">
        <f>Coeff5(AO322,AR322,AK322,$AL$16)</f>
        <v>0.1773966750731141</v>
      </c>
      <c r="AP334" s="204"/>
      <c r="AQ334" s="205"/>
      <c r="AR334" s="184"/>
      <c r="AS334" s="185"/>
      <c r="AT334" s="186"/>
      <c r="AU334" s="190" t="s">
        <v>26</v>
      </c>
      <c r="AV334" s="182"/>
      <c r="AW334" s="183"/>
      <c r="AX334" s="135"/>
      <c r="AY334" s="135"/>
      <c r="AZ334" s="135"/>
      <c r="BA334" s="135"/>
      <c r="BB334" s="135"/>
    </row>
    <row r="335" spans="29:55" x14ac:dyDescent="0.3">
      <c r="AC335" s="135"/>
      <c r="AD335" s="133" t="s">
        <v>286</v>
      </c>
      <c r="AE335" s="85"/>
      <c r="AF335" s="134"/>
      <c r="AG335" s="184"/>
      <c r="AH335" s="185"/>
      <c r="AI335" s="185"/>
      <c r="AJ335" s="186"/>
      <c r="AK335" s="184"/>
      <c r="AL335" s="185"/>
      <c r="AM335" s="185"/>
      <c r="AN335" s="186"/>
      <c r="AO335" s="184"/>
      <c r="AP335" s="185"/>
      <c r="AQ335" s="186"/>
      <c r="AR335" s="200">
        <f>Coeff6(AO323,AR323,AK323,$AG$16)</f>
        <v>0.75596547886238441</v>
      </c>
      <c r="AS335" s="201"/>
      <c r="AT335" s="202"/>
      <c r="AU335" s="190" t="s">
        <v>26</v>
      </c>
      <c r="AV335" s="182"/>
      <c r="AW335" s="183"/>
      <c r="AX335" s="135"/>
      <c r="AY335" s="135"/>
      <c r="AZ335" s="135"/>
      <c r="BA335" s="135"/>
      <c r="BB335" s="135"/>
    </row>
    <row r="336" spans="29:55" x14ac:dyDescent="0.3">
      <c r="AC336" s="135"/>
      <c r="AD336" s="133" t="s">
        <v>287</v>
      </c>
      <c r="AE336" s="85"/>
      <c r="AF336" s="134"/>
      <c r="AG336" s="184"/>
      <c r="AH336" s="185"/>
      <c r="AI336" s="185"/>
      <c r="AJ336" s="186"/>
      <c r="AK336" s="184"/>
      <c r="AL336" s="185"/>
      <c r="AM336" s="185"/>
      <c r="AN336" s="186"/>
      <c r="AO336" s="184"/>
      <c r="AP336" s="185"/>
      <c r="AQ336" s="186"/>
      <c r="AR336" s="200">
        <f>8*$AG$31/PI()/$AS$38</f>
        <v>0.10185916357881301</v>
      </c>
      <c r="AS336" s="201"/>
      <c r="AT336" s="202"/>
      <c r="AU336" s="190" t="s">
        <v>26</v>
      </c>
      <c r="AV336" s="182"/>
      <c r="AW336" s="183"/>
      <c r="AX336" s="135"/>
      <c r="AY336" s="135"/>
      <c r="AZ336" s="135"/>
      <c r="BA336" s="135"/>
      <c r="BB336" s="135"/>
    </row>
    <row r="337" spans="29:54" x14ac:dyDescent="0.3">
      <c r="AC337" s="135"/>
      <c r="AD337" s="133" t="s">
        <v>288</v>
      </c>
      <c r="AE337" s="85"/>
      <c r="AF337" s="134"/>
      <c r="AG337" s="184">
        <f>AG308</f>
        <v>3.3032694796041264</v>
      </c>
      <c r="AH337" s="185"/>
      <c r="AI337" s="185"/>
      <c r="AJ337" s="186"/>
      <c r="AK337" s="184">
        <f>AK308</f>
        <v>3.145901699102954</v>
      </c>
      <c r="AL337" s="185"/>
      <c r="AM337" s="185"/>
      <c r="AN337" s="186"/>
      <c r="AO337" s="184">
        <f>AO308</f>
        <v>3.3032694796041264</v>
      </c>
      <c r="AP337" s="185"/>
      <c r="AQ337" s="186"/>
      <c r="AR337" s="184"/>
      <c r="AS337" s="185"/>
      <c r="AT337" s="186"/>
      <c r="AU337" s="190"/>
      <c r="AV337" s="182"/>
      <c r="AW337" s="183"/>
      <c r="AX337" s="135"/>
      <c r="AY337" s="135"/>
      <c r="AZ337" s="135"/>
      <c r="BA337" s="135"/>
      <c r="BB337" s="135"/>
    </row>
    <row r="338" spans="29:54" x14ac:dyDescent="0.3">
      <c r="AC338" s="135"/>
      <c r="AD338" s="133" t="s">
        <v>289</v>
      </c>
      <c r="AE338" s="85"/>
      <c r="AF338" s="134"/>
      <c r="AG338" s="184"/>
      <c r="AH338" s="185"/>
      <c r="AI338" s="185"/>
      <c r="AJ338" s="186"/>
      <c r="AK338" s="184"/>
      <c r="AL338" s="185"/>
      <c r="AM338" s="185"/>
      <c r="AN338" s="186"/>
      <c r="AO338" s="184">
        <f>Coeff6(AO324,AR324,AK324,$AP$16)*AO337</f>
        <v>1.1967807651918347</v>
      </c>
      <c r="AP338" s="185"/>
      <c r="AQ338" s="186"/>
      <c r="AR338" s="184"/>
      <c r="AS338" s="185"/>
      <c r="AT338" s="186"/>
      <c r="AU338" s="190" t="s">
        <v>26</v>
      </c>
      <c r="AV338" s="182"/>
      <c r="AW338" s="183"/>
      <c r="AX338" s="135"/>
      <c r="AY338" s="135"/>
      <c r="AZ338" s="135"/>
      <c r="BA338" s="135"/>
      <c r="BB338" s="135"/>
    </row>
    <row r="339" spans="29:54" x14ac:dyDescent="0.3">
      <c r="AC339" s="135"/>
      <c r="AD339" s="133" t="s">
        <v>290</v>
      </c>
      <c r="AE339" s="85"/>
      <c r="AF339" s="134"/>
      <c r="AG339" s="191">
        <f>MAX(Coeff1(AO326,AR326,AK326,$AP$16),Coeff2(AO326,AR326,AK326,$AP$16),Coeff4(AO326,AR326,AK326,$AP$16))*AG337</f>
        <v>1.2285691340353133</v>
      </c>
      <c r="AH339" s="192"/>
      <c r="AI339" s="192"/>
      <c r="AJ339" s="193"/>
      <c r="AK339" s="191">
        <f>MAX(Coeff1(AO326,AR326,AK326,$AP$16),Coeff2(AO326,AR326,AK326,$AP$16),Coeff4(AO326,AR326,AK326,$AP$16))*AK337</f>
        <v>1.1700400921242202</v>
      </c>
      <c r="AL339" s="192"/>
      <c r="AM339" s="192"/>
      <c r="AN339" s="193"/>
      <c r="AO339" s="184"/>
      <c r="AP339" s="185"/>
      <c r="AQ339" s="186"/>
      <c r="AR339" s="184"/>
      <c r="AS339" s="185"/>
      <c r="AT339" s="186"/>
      <c r="AU339" s="190" t="s">
        <v>26</v>
      </c>
      <c r="AV339" s="182"/>
      <c r="AW339" s="183"/>
      <c r="AX339" s="135"/>
      <c r="AY339" s="135"/>
      <c r="AZ339" s="135"/>
      <c r="BA339" s="135"/>
      <c r="BB339" s="135"/>
    </row>
    <row r="340" spans="29:54" x14ac:dyDescent="0.3">
      <c r="AC340" s="135"/>
      <c r="AD340" s="133" t="s">
        <v>291</v>
      </c>
      <c r="AE340" s="85"/>
      <c r="AF340" s="134"/>
      <c r="AG340" s="184">
        <f>Coeff7(AG327,$AP$15,$AG$28)</f>
        <v>0.75038898266825771</v>
      </c>
      <c r="AH340" s="185"/>
      <c r="AI340" s="185"/>
      <c r="AJ340" s="186"/>
      <c r="AK340" s="184">
        <f>Coeff7(AG328,$AP$15,$AG$28)</f>
        <v>0.75194260417828906</v>
      </c>
      <c r="AL340" s="185"/>
      <c r="AM340" s="185"/>
      <c r="AN340" s="186"/>
      <c r="AO340" s="187">
        <f>Coeff7(AG325,$AP$15,$AG$28)</f>
        <v>0.75079665991148625</v>
      </c>
      <c r="AP340" s="188"/>
      <c r="AQ340" s="189"/>
      <c r="AR340" s="184"/>
      <c r="AS340" s="185"/>
      <c r="AT340" s="186"/>
      <c r="AU340" s="190" t="s">
        <v>26</v>
      </c>
      <c r="AV340" s="182"/>
      <c r="AW340" s="183"/>
      <c r="AX340" s="135"/>
      <c r="AY340" s="135"/>
      <c r="AZ340" s="135"/>
      <c r="BA340" s="135"/>
      <c r="BB340" s="135"/>
    </row>
    <row r="341" spans="29:54" x14ac:dyDescent="0.3">
      <c r="AC341" s="135"/>
      <c r="AD341" s="133" t="s">
        <v>292</v>
      </c>
      <c r="AE341" s="85"/>
      <c r="AF341" s="134"/>
      <c r="AG341" s="191">
        <f>$AG$47/($AG$46/12)</f>
        <v>640</v>
      </c>
      <c r="AH341" s="192"/>
      <c r="AI341" s="192"/>
      <c r="AJ341" s="193"/>
      <c r="AK341" s="191">
        <f>$AG$47/($AG$46/12)</f>
        <v>640</v>
      </c>
      <c r="AL341" s="192"/>
      <c r="AM341" s="192"/>
      <c r="AN341" s="193"/>
      <c r="AO341" s="191">
        <f>$AG$47/($AG$46/12)</f>
        <v>640</v>
      </c>
      <c r="AP341" s="192"/>
      <c r="AQ341" s="193"/>
      <c r="AR341" s="191">
        <f>$AG$47/($AG$46/12)</f>
        <v>640</v>
      </c>
      <c r="AS341" s="192"/>
      <c r="AT341" s="193"/>
      <c r="AU341" s="190" t="s">
        <v>26</v>
      </c>
      <c r="AV341" s="182"/>
      <c r="AW341" s="183"/>
      <c r="AX341" s="135"/>
      <c r="AY341" s="135"/>
      <c r="AZ341" s="135"/>
      <c r="BA341" s="135"/>
      <c r="BB341" s="135"/>
    </row>
    <row r="342" spans="29:54" x14ac:dyDescent="0.3">
      <c r="AC342" s="135"/>
      <c r="AD342" s="133" t="s">
        <v>293</v>
      </c>
      <c r="AE342" s="85"/>
      <c r="AF342" s="134"/>
      <c r="AG342" s="194">
        <f>IF(OR($AK$45="",$AK$45="No"),"",$AK$47/$AK$46*12)</f>
        <v>0.22400000000000003</v>
      </c>
      <c r="AH342" s="195"/>
      <c r="AI342" s="195"/>
      <c r="AJ342" s="196"/>
      <c r="AK342" s="194">
        <f>IF(OR($AK$45="",$AK$45="No"),"",$AK$47/$AK$46*12)</f>
        <v>0.22400000000000003</v>
      </c>
      <c r="AL342" s="195"/>
      <c r="AM342" s="195"/>
      <c r="AN342" s="196"/>
      <c r="AO342" s="191" t="str">
        <f>IF(OR($AO$45="",$AO$45="No"),"",$AO$47/$AO$46*12)</f>
        <v/>
      </c>
      <c r="AP342" s="192"/>
      <c r="AQ342" s="193"/>
      <c r="AR342" s="191" t="str">
        <f>IF(OR($AR$45="",$AR$45="No"),"",$AR$47/$AR$46*12)</f>
        <v/>
      </c>
      <c r="AS342" s="192"/>
      <c r="AT342" s="193"/>
      <c r="AU342" s="190" t="s">
        <v>26</v>
      </c>
      <c r="AV342" s="182"/>
      <c r="AW342" s="183"/>
      <c r="AX342" s="135"/>
      <c r="AY342" s="135"/>
      <c r="AZ342" s="135"/>
      <c r="BA342" s="135"/>
      <c r="BB342" s="135"/>
    </row>
    <row r="343" spans="29:54" ht="17.25" thickBot="1" x14ac:dyDescent="0.35">
      <c r="AC343" s="135"/>
      <c r="AD343" s="133" t="s">
        <v>294</v>
      </c>
      <c r="AE343" s="85"/>
      <c r="AF343" s="134"/>
      <c r="AG343" s="197">
        <f>1/$AR$25</f>
        <v>1000</v>
      </c>
      <c r="AH343" s="198"/>
      <c r="AI343" s="198"/>
      <c r="AJ343" s="199"/>
      <c r="AK343" s="197">
        <f>1/$AR$26</f>
        <v>800</v>
      </c>
      <c r="AL343" s="198"/>
      <c r="AM343" s="198"/>
      <c r="AN343" s="199"/>
      <c r="AO343" s="197">
        <f>IF($H$38="Roof",1/$AR$27,"")</f>
        <v>1000</v>
      </c>
      <c r="AP343" s="198"/>
      <c r="AQ343" s="198"/>
      <c r="AR343" s="197">
        <f>IF($H$39="No",1/$AR$28,"")</f>
        <v>500</v>
      </c>
      <c r="AS343" s="198"/>
      <c r="AT343" s="198"/>
      <c r="AU343" s="190" t="s">
        <v>26</v>
      </c>
      <c r="AV343" s="182"/>
      <c r="AW343" s="183"/>
      <c r="AX343" s="135"/>
      <c r="AY343" s="135"/>
      <c r="AZ343" s="135"/>
      <c r="BA343" s="135"/>
      <c r="BB343" s="135"/>
    </row>
    <row r="344" spans="29:54" ht="17.25" thickBot="1" x14ac:dyDescent="0.35">
      <c r="AC344" s="135"/>
      <c r="AD344" s="133" t="s">
        <v>295</v>
      </c>
      <c r="AE344" s="85"/>
      <c r="AF344" s="85"/>
      <c r="AG344" s="174">
        <f>1/(1/AG332+1/(AG339+AG340)+1/AG341+IF(AG342="",0,1/AG342)+1/AG343)</f>
        <v>0.14147102292795977</v>
      </c>
      <c r="AH344" s="175"/>
      <c r="AI344" s="175"/>
      <c r="AJ344" s="176"/>
      <c r="AK344" s="177">
        <f>1/(1/AK333+1/(AK339+AK340)+1/AK341+IF(AK342="",0,1/AK342)+1/AK343)</f>
        <v>0.16867118452280019</v>
      </c>
      <c r="AL344" s="175"/>
      <c r="AM344" s="175"/>
      <c r="AN344" s="176"/>
      <c r="AO344" s="178">
        <f>1/(1/AO334+1/(AO338+AO340)+1/AO341+IF(AO342="",0,1/AO342)+1/AO343)</f>
        <v>0.16251956978938015</v>
      </c>
      <c r="AP344" s="179"/>
      <c r="AQ344" s="180"/>
      <c r="AR344" s="178">
        <f>1/(1/AR335+1/AR336+1/AR341+IF(AR342="",0,1/AR342)+1/AR343)</f>
        <v>8.9735583856589987E-2</v>
      </c>
      <c r="AS344" s="179"/>
      <c r="AT344" s="181"/>
      <c r="AU344" s="182" t="s">
        <v>26</v>
      </c>
      <c r="AV344" s="182"/>
      <c r="AW344" s="183"/>
      <c r="AX344" s="135"/>
      <c r="AY344" s="135"/>
      <c r="AZ344" s="135"/>
      <c r="BA344" s="135"/>
      <c r="BB344" s="135"/>
    </row>
    <row r="345" spans="29:54" x14ac:dyDescent="0.3">
      <c r="AC345" s="135"/>
      <c r="AD345" s="135"/>
      <c r="AE345" s="135"/>
      <c r="AF345" s="135"/>
      <c r="AG345" s="135"/>
      <c r="AH345" s="135"/>
      <c r="AI345" s="135"/>
      <c r="AJ345" s="135"/>
      <c r="AK345" s="135"/>
      <c r="AL345" s="135"/>
      <c r="AM345" s="135"/>
      <c r="AN345" s="135"/>
      <c r="AO345" s="135"/>
      <c r="AP345" s="135"/>
      <c r="AQ345" s="135"/>
      <c r="AR345" s="135"/>
      <c r="AS345" s="135"/>
      <c r="AT345" s="135"/>
      <c r="AU345" s="135"/>
      <c r="AV345" s="135"/>
      <c r="AW345" s="135"/>
      <c r="AX345" s="135"/>
      <c r="AY345" s="135"/>
      <c r="AZ345" s="135"/>
      <c r="BA345" s="135"/>
      <c r="BB345" s="135"/>
    </row>
    <row r="346" spans="29:54" x14ac:dyDescent="0.3">
      <c r="AC346" s="135"/>
      <c r="AD346" s="131" t="s">
        <v>354</v>
      </c>
      <c r="AG346" s="230"/>
      <c r="AH346" s="230"/>
      <c r="AI346" s="230"/>
      <c r="AJ346" s="230"/>
      <c r="AK346" s="230"/>
      <c r="AL346" s="230"/>
      <c r="AM346" s="230"/>
      <c r="AN346" s="230"/>
      <c r="AO346" s="231"/>
      <c r="AP346" s="231"/>
      <c r="AQ346" s="231"/>
      <c r="AR346" s="231"/>
      <c r="AS346" s="231"/>
      <c r="AT346" s="231"/>
      <c r="AU346" s="230"/>
      <c r="AV346" s="230"/>
      <c r="AW346" s="230"/>
      <c r="AX346" s="135"/>
      <c r="AY346" s="135"/>
      <c r="AZ346" s="135"/>
      <c r="BA346" s="135"/>
      <c r="BB346" s="135"/>
    </row>
    <row r="347" spans="29:54" x14ac:dyDescent="0.3">
      <c r="AC347" s="135"/>
      <c r="AD347" t="s">
        <v>258</v>
      </c>
      <c r="AJ347" s="10"/>
      <c r="AX347" s="135"/>
      <c r="AY347" s="135"/>
      <c r="AZ347" s="135"/>
      <c r="BA347" s="135"/>
      <c r="BB347" s="135"/>
    </row>
    <row r="348" spans="29:54" ht="17.25" thickBot="1" x14ac:dyDescent="0.35">
      <c r="AC348" s="135"/>
      <c r="AD348" s="133"/>
      <c r="AE348" s="85"/>
      <c r="AF348" s="134"/>
      <c r="AG348" s="232" t="s">
        <v>271</v>
      </c>
      <c r="AH348" s="233"/>
      <c r="AI348" s="233"/>
      <c r="AJ348" s="234"/>
      <c r="AK348" s="191" t="s">
        <v>270</v>
      </c>
      <c r="AL348" s="192"/>
      <c r="AM348" s="192"/>
      <c r="AN348" s="193"/>
      <c r="AO348" s="191" t="s">
        <v>264</v>
      </c>
      <c r="AP348" s="192"/>
      <c r="AQ348" s="193"/>
      <c r="AR348" s="191" t="s">
        <v>265</v>
      </c>
      <c r="AS348" s="192"/>
      <c r="AT348" s="193"/>
      <c r="AX348" s="135"/>
      <c r="AY348" s="135"/>
      <c r="AZ348" s="135"/>
      <c r="BA348" s="135"/>
      <c r="BB348" s="135"/>
    </row>
    <row r="349" spans="29:54" x14ac:dyDescent="0.3">
      <c r="AC349" s="135"/>
      <c r="AD349" s="133" t="s">
        <v>259</v>
      </c>
      <c r="AE349" s="85"/>
      <c r="AF349" s="85"/>
      <c r="AG349" s="212">
        <f>$AL$15-AG344/AG332*($AL$15-$AP$15)</f>
        <v>45.551258221584973</v>
      </c>
      <c r="AH349" s="213"/>
      <c r="AI349" s="213"/>
      <c r="AJ349" s="214"/>
      <c r="AK349" s="192">
        <f t="shared" ref="AK349:AK357" si="16">AK320</f>
        <v>24</v>
      </c>
      <c r="AL349" s="192"/>
      <c r="AM349" s="192"/>
      <c r="AN349" s="193"/>
      <c r="AO349" s="215">
        <f>$AL$19^2*4.17*10^8*$AL$20/(2.42*$AL$18)^2*AK349^3*ABS($AL$15-AG349)</f>
        <v>1143905468519.5415</v>
      </c>
      <c r="AP349" s="216"/>
      <c r="AQ349" s="217"/>
      <c r="AR349" s="191">
        <f t="shared" ref="AR349:AR357" si="17">AR320</f>
        <v>0.28046357615894041</v>
      </c>
      <c r="AS349" s="192"/>
      <c r="AT349" s="193"/>
      <c r="AX349" s="135"/>
      <c r="AY349" s="135"/>
      <c r="AZ349" s="135"/>
      <c r="BA349" s="135"/>
      <c r="BB349" s="135"/>
    </row>
    <row r="350" spans="29:54" x14ac:dyDescent="0.3">
      <c r="AC350" s="135"/>
      <c r="AD350" s="133" t="s">
        <v>260</v>
      </c>
      <c r="AE350" s="85"/>
      <c r="AF350" s="85"/>
      <c r="AG350" s="218">
        <f>$AG$15-AK344/AK333*($AG$15-$AP$15)</f>
        <v>51.824593955914182</v>
      </c>
      <c r="AH350" s="219"/>
      <c r="AI350" s="219"/>
      <c r="AJ350" s="220"/>
      <c r="AK350" s="192">
        <f t="shared" si="16"/>
        <v>24</v>
      </c>
      <c r="AL350" s="192"/>
      <c r="AM350" s="192"/>
      <c r="AN350" s="193"/>
      <c r="AO350" s="209">
        <f>$AG$19^2*4.17*10^8*$AG$20/(2.42*$AG$18)^2*AK350^3*ABS($AG$15-AG350)</f>
        <v>4278682.2823298611</v>
      </c>
      <c r="AP350" s="210"/>
      <c r="AQ350" s="211"/>
      <c r="AR350" s="191">
        <f t="shared" si="17"/>
        <v>484</v>
      </c>
      <c r="AS350" s="192"/>
      <c r="AT350" s="193"/>
      <c r="AX350" s="135"/>
      <c r="AY350" s="135"/>
      <c r="AZ350" s="135"/>
      <c r="BA350" s="135"/>
      <c r="BB350" s="135"/>
    </row>
    <row r="351" spans="29:54" x14ac:dyDescent="0.3">
      <c r="AC351" s="135"/>
      <c r="AD351" s="133" t="s">
        <v>266</v>
      </c>
      <c r="AE351" s="85"/>
      <c r="AF351" s="85"/>
      <c r="AG351" s="218">
        <f>$AL$15-AO344/AO334*($AL$15-$AP$15)</f>
        <v>36.257952434362345</v>
      </c>
      <c r="AH351" s="219"/>
      <c r="AI351" s="219"/>
      <c r="AJ351" s="220"/>
      <c r="AK351" s="192">
        <f t="shared" si="16"/>
        <v>20</v>
      </c>
      <c r="AL351" s="192"/>
      <c r="AM351" s="192"/>
      <c r="AN351" s="193"/>
      <c r="AO351" s="209">
        <f>$AL$19^2*4.17*10^8*$AL$20/(2.42*$AL$18)^2*AK351^3*ABS($AL$15-AG351)</f>
        <v>2044846191958.7727</v>
      </c>
      <c r="AP351" s="210"/>
      <c r="AQ351" s="211"/>
      <c r="AR351" s="191">
        <f t="shared" si="17"/>
        <v>0.28046357615894041</v>
      </c>
      <c r="AS351" s="192"/>
      <c r="AT351" s="193"/>
      <c r="AX351" s="135"/>
      <c r="AY351" s="135"/>
      <c r="AZ351" s="135"/>
      <c r="BA351" s="135"/>
      <c r="BB351" s="135"/>
    </row>
    <row r="352" spans="29:54" ht="17.25" thickBot="1" x14ac:dyDescent="0.35">
      <c r="AC352" s="135"/>
      <c r="AD352" s="133" t="s">
        <v>267</v>
      </c>
      <c r="AE352" s="85"/>
      <c r="AF352" s="85"/>
      <c r="AG352" s="221">
        <f>$AG$15-AR344/AR335*($AG$15-$AP$15)</f>
        <v>52.625934348440651</v>
      </c>
      <c r="AH352" s="222"/>
      <c r="AI352" s="222"/>
      <c r="AJ352" s="223"/>
      <c r="AK352" s="192">
        <f t="shared" si="16"/>
        <v>20</v>
      </c>
      <c r="AL352" s="192"/>
      <c r="AM352" s="192"/>
      <c r="AN352" s="193"/>
      <c r="AO352" s="224">
        <f>$AG$19^2*4.17*10^8*$AG$20/(2.42*$AG$18)^2*AK352^3*ABS($AG$15-AG352)</f>
        <v>1851227.3508161597</v>
      </c>
      <c r="AP352" s="225"/>
      <c r="AQ352" s="226"/>
      <c r="AR352" s="191">
        <f t="shared" si="17"/>
        <v>484</v>
      </c>
      <c r="AS352" s="192"/>
      <c r="AT352" s="193"/>
      <c r="AX352" s="135"/>
      <c r="AY352" s="135"/>
      <c r="AZ352" s="135"/>
      <c r="BA352" s="135"/>
      <c r="BB352" s="135"/>
    </row>
    <row r="353" spans="29:54" x14ac:dyDescent="0.3">
      <c r="AC353" s="135"/>
      <c r="AD353" s="133" t="s">
        <v>268</v>
      </c>
      <c r="AE353" s="85"/>
      <c r="AF353" s="134"/>
      <c r="AG353" s="227">
        <f>$AP$15+($AL$15-$AP$15)*AO344/(AO338+AO340)</f>
        <v>36.251705588398558</v>
      </c>
      <c r="AH353" s="228"/>
      <c r="AI353" s="228"/>
      <c r="AJ353" s="229"/>
      <c r="AK353" s="191">
        <f t="shared" si="16"/>
        <v>20</v>
      </c>
      <c r="AL353" s="192"/>
      <c r="AM353" s="192"/>
      <c r="AN353" s="193"/>
      <c r="AO353" s="209">
        <f>$AP$19^2*4.17*10^8*$AP$20/(2.42*$AP$18)^2*AK353^3*ABS($AP$15-AG353)</f>
        <v>186256479877.89789</v>
      </c>
      <c r="AP353" s="210"/>
      <c r="AQ353" s="211"/>
      <c r="AR353" s="191">
        <f t="shared" si="17"/>
        <v>0.28233333333333333</v>
      </c>
      <c r="AS353" s="192"/>
      <c r="AT353" s="193"/>
      <c r="AX353" s="135"/>
      <c r="AY353" s="135"/>
      <c r="AZ353" s="135"/>
      <c r="BA353" s="135"/>
      <c r="BB353" s="135"/>
    </row>
    <row r="354" spans="29:54" x14ac:dyDescent="0.3">
      <c r="AC354" s="135"/>
      <c r="AD354" s="133" t="s">
        <v>269</v>
      </c>
      <c r="AE354" s="85"/>
      <c r="AF354" s="134"/>
      <c r="AG354" s="206">
        <f>$AP$15+($AL$15-$AP$15)*AO344/(AO338+AO340)</f>
        <v>36.251705588398558</v>
      </c>
      <c r="AH354" s="207"/>
      <c r="AI354" s="207"/>
      <c r="AJ354" s="208"/>
      <c r="AK354" s="191" t="str">
        <f t="shared" si="16"/>
        <v>-</v>
      </c>
      <c r="AL354" s="192"/>
      <c r="AM354" s="192"/>
      <c r="AN354" s="193"/>
      <c r="AO354" s="209" t="s">
        <v>273</v>
      </c>
      <c r="AP354" s="210"/>
      <c r="AQ354" s="211"/>
      <c r="AR354" s="191" t="str">
        <f t="shared" si="17"/>
        <v>-</v>
      </c>
      <c r="AS354" s="192"/>
      <c r="AT354" s="193"/>
      <c r="AX354" s="135"/>
      <c r="AY354" s="135"/>
      <c r="AZ354" s="135"/>
      <c r="BA354" s="135"/>
      <c r="BB354" s="135"/>
    </row>
    <row r="355" spans="29:54" x14ac:dyDescent="0.3">
      <c r="AC355" s="135"/>
      <c r="AD355" s="133" t="s">
        <v>261</v>
      </c>
      <c r="AE355" s="85"/>
      <c r="AF355" s="134"/>
      <c r="AG355" s="206">
        <f>MAX(AG357,AG356)</f>
        <v>36.755179012249052</v>
      </c>
      <c r="AH355" s="207"/>
      <c r="AI355" s="207"/>
      <c r="AJ355" s="208"/>
      <c r="AK355" s="191">
        <f t="shared" si="16"/>
        <v>48</v>
      </c>
      <c r="AL355" s="192"/>
      <c r="AM355" s="192"/>
      <c r="AN355" s="193"/>
      <c r="AO355" s="209">
        <f>$AP$19^2*4.17*10^8*$AP$20/(2.42*$AP$18)^2*AK355^3*ABS($AP$15-AG355)</f>
        <v>3610474997823.2827</v>
      </c>
      <c r="AP355" s="210"/>
      <c r="AQ355" s="211"/>
      <c r="AR355" s="191">
        <f t="shared" si="17"/>
        <v>0.28233333333333333</v>
      </c>
      <c r="AS355" s="192"/>
      <c r="AT355" s="193"/>
      <c r="AX355" s="135"/>
      <c r="AY355" s="135"/>
      <c r="AZ355" s="135"/>
      <c r="BA355" s="135"/>
      <c r="BB355" s="135"/>
    </row>
    <row r="356" spans="29:54" x14ac:dyDescent="0.3">
      <c r="AC356" s="135"/>
      <c r="AD356" s="133" t="s">
        <v>262</v>
      </c>
      <c r="AE356" s="85"/>
      <c r="AF356" s="134"/>
      <c r="AG356" s="206">
        <f>AG344/(AG339+AG340)*($AL$15-$AP$15)+$AP$15</f>
        <v>36.07231442950102</v>
      </c>
      <c r="AH356" s="207"/>
      <c r="AI356" s="207"/>
      <c r="AJ356" s="208"/>
      <c r="AK356" s="191" t="str">
        <f t="shared" si="16"/>
        <v>-</v>
      </c>
      <c r="AL356" s="192"/>
      <c r="AM356" s="192"/>
      <c r="AN356" s="193"/>
      <c r="AO356" s="209" t="s">
        <v>273</v>
      </c>
      <c r="AP356" s="210"/>
      <c r="AQ356" s="211"/>
      <c r="AR356" s="191" t="str">
        <f t="shared" si="17"/>
        <v>-</v>
      </c>
      <c r="AS356" s="192"/>
      <c r="AT356" s="193"/>
      <c r="AX356" s="135"/>
      <c r="AY356" s="135"/>
      <c r="AZ356" s="135"/>
      <c r="BA356" s="135"/>
      <c r="BB356" s="135"/>
    </row>
    <row r="357" spans="29:54" x14ac:dyDescent="0.3">
      <c r="AC357" s="135"/>
      <c r="AD357" s="133" t="s">
        <v>263</v>
      </c>
      <c r="AE357" s="85"/>
      <c r="AF357" s="134"/>
      <c r="AG357" s="206">
        <f>$AP$15+($AG$15-$AP$15)*AK344/(AK339+AK340)</f>
        <v>36.755179012249052</v>
      </c>
      <c r="AH357" s="207"/>
      <c r="AI357" s="207"/>
      <c r="AJ357" s="208"/>
      <c r="AK357" s="191" t="str">
        <f t="shared" si="16"/>
        <v>-</v>
      </c>
      <c r="AL357" s="192"/>
      <c r="AM357" s="192"/>
      <c r="AN357" s="193"/>
      <c r="AO357" s="191" t="s">
        <v>273</v>
      </c>
      <c r="AP357" s="192"/>
      <c r="AQ357" s="193"/>
      <c r="AR357" s="191" t="str">
        <f t="shared" si="17"/>
        <v>-</v>
      </c>
      <c r="AS357" s="192"/>
      <c r="AT357" s="193"/>
      <c r="AX357" s="135"/>
      <c r="AY357" s="135"/>
      <c r="AZ357" s="135"/>
      <c r="BA357" s="135"/>
      <c r="BB357" s="135"/>
    </row>
    <row r="358" spans="29:54" x14ac:dyDescent="0.3">
      <c r="AC358" s="135"/>
      <c r="AX358" s="135"/>
      <c r="AY358" s="135"/>
      <c r="AZ358" s="135"/>
      <c r="BA358" s="135"/>
      <c r="BB358" s="135"/>
    </row>
    <row r="359" spans="29:54" x14ac:dyDescent="0.3">
      <c r="AC359" s="135"/>
      <c r="AD359" t="s">
        <v>274</v>
      </c>
      <c r="AX359" s="135"/>
      <c r="AY359" s="135"/>
      <c r="AZ359" s="135"/>
      <c r="BA359" s="135"/>
      <c r="BB359" s="135"/>
    </row>
    <row r="360" spans="29:54" x14ac:dyDescent="0.3">
      <c r="AC360" s="135"/>
      <c r="AD360" s="133"/>
      <c r="AE360" s="85"/>
      <c r="AF360" s="134"/>
      <c r="AG360" s="191" t="s">
        <v>21</v>
      </c>
      <c r="AH360" s="192"/>
      <c r="AI360" s="192"/>
      <c r="AJ360" s="193"/>
      <c r="AK360" s="191" t="s">
        <v>22</v>
      </c>
      <c r="AL360" s="192"/>
      <c r="AM360" s="192"/>
      <c r="AN360" s="193"/>
      <c r="AO360" s="191" t="s">
        <v>23</v>
      </c>
      <c r="AP360" s="192"/>
      <c r="AQ360" s="193"/>
      <c r="AR360" s="191" t="s">
        <v>24</v>
      </c>
      <c r="AS360" s="192"/>
      <c r="AT360" s="193"/>
      <c r="AU360" s="190"/>
      <c r="AV360" s="182"/>
      <c r="AW360" s="183"/>
      <c r="AX360" s="135"/>
      <c r="AY360" s="135"/>
      <c r="AZ360" s="135"/>
      <c r="BA360" s="135"/>
      <c r="BB360" s="135"/>
    </row>
    <row r="361" spans="29:54" x14ac:dyDescent="0.3">
      <c r="AC361" s="135"/>
      <c r="AD361" s="133" t="s">
        <v>283</v>
      </c>
      <c r="AE361" s="85"/>
      <c r="AF361" s="134"/>
      <c r="AG361" s="191">
        <f>IF(MAX(Coeff1(AO349,AR349,AK349,$AL$16),Coeff2(AO349,AR349,AK349,$AL$16))&lt;&gt;0,MAX(Coeff1(AO349,AR349,AK349,$AL$16),Coeff2(AO349,AR349,AK349,$AL$16)),Coeff4(AO349,AR349,AK349,$AL$16))</f>
        <v>0.4770099517517456</v>
      </c>
      <c r="AH361" s="192"/>
      <c r="AI361" s="192"/>
      <c r="AJ361" s="193"/>
      <c r="AK361" s="184"/>
      <c r="AL361" s="185"/>
      <c r="AM361" s="185"/>
      <c r="AN361" s="186"/>
      <c r="AO361" s="184"/>
      <c r="AP361" s="185"/>
      <c r="AQ361" s="186"/>
      <c r="AR361" s="184"/>
      <c r="AS361" s="185"/>
      <c r="AT361" s="186"/>
      <c r="AU361" s="190" t="s">
        <v>26</v>
      </c>
      <c r="AV361" s="182"/>
      <c r="AW361" s="183"/>
      <c r="AX361" s="135"/>
      <c r="AY361" s="135"/>
      <c r="AZ361" s="135"/>
      <c r="BA361" s="135"/>
      <c r="BB361" s="135"/>
    </row>
    <row r="362" spans="29:54" x14ac:dyDescent="0.3">
      <c r="AC362" s="135"/>
      <c r="AD362" s="133" t="s">
        <v>284</v>
      </c>
      <c r="AE362" s="85"/>
      <c r="AF362" s="134"/>
      <c r="AG362" s="184"/>
      <c r="AH362" s="185"/>
      <c r="AI362" s="185"/>
      <c r="AJ362" s="186"/>
      <c r="AK362" s="191">
        <f>MAX(Coeff1(AO350,AR350,AK350,$AG$16),Coeff3(AO350,AR350,AK350,$AG$16),Coeff4(AO350,AR350,AK350,$AG$16))</f>
        <v>1.0623660380675901</v>
      </c>
      <c r="AL362" s="192"/>
      <c r="AM362" s="192"/>
      <c r="AN362" s="193"/>
      <c r="AO362" s="184"/>
      <c r="AP362" s="185"/>
      <c r="AQ362" s="186"/>
      <c r="AR362" s="184"/>
      <c r="AS362" s="185"/>
      <c r="AT362" s="186"/>
      <c r="AU362" s="190" t="s">
        <v>26</v>
      </c>
      <c r="AV362" s="182"/>
      <c r="AW362" s="183"/>
      <c r="AX362" s="135"/>
      <c r="AY362" s="135"/>
      <c r="AZ362" s="135"/>
      <c r="BA362" s="135"/>
      <c r="BB362" s="135"/>
    </row>
    <row r="363" spans="29:54" x14ac:dyDescent="0.3">
      <c r="AC363" s="135"/>
      <c r="AD363" s="133" t="s">
        <v>285</v>
      </c>
      <c r="AE363" s="85"/>
      <c r="AF363" s="134"/>
      <c r="AG363" s="184"/>
      <c r="AH363" s="185"/>
      <c r="AI363" s="185"/>
      <c r="AJ363" s="186"/>
      <c r="AK363" s="184"/>
      <c r="AL363" s="185"/>
      <c r="AM363" s="185"/>
      <c r="AN363" s="186"/>
      <c r="AO363" s="203">
        <f>Coeff5(AO351,AR351,AK351,$AL$16)</f>
        <v>0.17739647850092094</v>
      </c>
      <c r="AP363" s="204"/>
      <c r="AQ363" s="205"/>
      <c r="AR363" s="184"/>
      <c r="AS363" s="185"/>
      <c r="AT363" s="186"/>
      <c r="AU363" s="190" t="s">
        <v>26</v>
      </c>
      <c r="AV363" s="182"/>
      <c r="AW363" s="183"/>
      <c r="AX363" s="135"/>
      <c r="AY363" s="135"/>
      <c r="AZ363" s="135"/>
      <c r="BA363" s="135"/>
      <c r="BB363" s="135"/>
    </row>
    <row r="364" spans="29:54" x14ac:dyDescent="0.3">
      <c r="AC364" s="135"/>
      <c r="AD364" s="133" t="s">
        <v>286</v>
      </c>
      <c r="AE364" s="85"/>
      <c r="AF364" s="134"/>
      <c r="AG364" s="184"/>
      <c r="AH364" s="185"/>
      <c r="AI364" s="185"/>
      <c r="AJ364" s="186"/>
      <c r="AK364" s="184"/>
      <c r="AL364" s="185"/>
      <c r="AM364" s="185"/>
      <c r="AN364" s="186"/>
      <c r="AO364" s="184"/>
      <c r="AP364" s="185"/>
      <c r="AQ364" s="186"/>
      <c r="AR364" s="200">
        <f>Coeff6(AO352,AR352,AK352,$AG$16)</f>
        <v>0.75603164771216258</v>
      </c>
      <c r="AS364" s="201"/>
      <c r="AT364" s="202"/>
      <c r="AU364" s="190" t="s">
        <v>26</v>
      </c>
      <c r="AV364" s="182"/>
      <c r="AW364" s="183"/>
      <c r="AX364" s="135"/>
      <c r="AY364" s="135"/>
      <c r="AZ364" s="135"/>
      <c r="BA364" s="135"/>
      <c r="BB364" s="135"/>
    </row>
    <row r="365" spans="29:54" x14ac:dyDescent="0.3">
      <c r="AC365" s="135"/>
      <c r="AD365" s="133" t="s">
        <v>287</v>
      </c>
      <c r="AE365" s="85"/>
      <c r="AF365" s="134"/>
      <c r="AG365" s="184"/>
      <c r="AH365" s="185"/>
      <c r="AI365" s="185"/>
      <c r="AJ365" s="186"/>
      <c r="AK365" s="184"/>
      <c r="AL365" s="185"/>
      <c r="AM365" s="185"/>
      <c r="AN365" s="186"/>
      <c r="AO365" s="184"/>
      <c r="AP365" s="185"/>
      <c r="AQ365" s="186"/>
      <c r="AR365" s="200">
        <f>8*$AG$31/PI()/$AS$38</f>
        <v>0.10185916357881301</v>
      </c>
      <c r="AS365" s="201"/>
      <c r="AT365" s="202"/>
      <c r="AU365" s="190" t="s">
        <v>26</v>
      </c>
      <c r="AV365" s="182"/>
      <c r="AW365" s="183"/>
      <c r="AX365" s="135"/>
      <c r="AY365" s="135"/>
      <c r="AZ365" s="135"/>
      <c r="BA365" s="135"/>
      <c r="BB365" s="135"/>
    </row>
    <row r="366" spans="29:54" x14ac:dyDescent="0.3">
      <c r="AC366" s="135"/>
      <c r="AD366" s="133" t="s">
        <v>288</v>
      </c>
      <c r="AE366" s="85"/>
      <c r="AF366" s="134"/>
      <c r="AG366" s="184">
        <f>AG337</f>
        <v>3.3032694796041264</v>
      </c>
      <c r="AH366" s="185"/>
      <c r="AI366" s="185"/>
      <c r="AJ366" s="186"/>
      <c r="AK366" s="184">
        <f>AK337</f>
        <v>3.145901699102954</v>
      </c>
      <c r="AL366" s="185"/>
      <c r="AM366" s="185"/>
      <c r="AN366" s="186"/>
      <c r="AO366" s="184">
        <f>AO337</f>
        <v>3.3032694796041264</v>
      </c>
      <c r="AP366" s="185"/>
      <c r="AQ366" s="186"/>
      <c r="AR366" s="184"/>
      <c r="AS366" s="185"/>
      <c r="AT366" s="186"/>
      <c r="AU366" s="190"/>
      <c r="AV366" s="182"/>
      <c r="AW366" s="183"/>
      <c r="AX366" s="135"/>
      <c r="AY366" s="135"/>
      <c r="AZ366" s="135"/>
      <c r="BA366" s="135"/>
      <c r="BB366" s="135"/>
    </row>
    <row r="367" spans="29:54" x14ac:dyDescent="0.3">
      <c r="AC367" s="135"/>
      <c r="AD367" s="133" t="s">
        <v>289</v>
      </c>
      <c r="AE367" s="85"/>
      <c r="AF367" s="134"/>
      <c r="AG367" s="184"/>
      <c r="AH367" s="185"/>
      <c r="AI367" s="185"/>
      <c r="AJ367" s="186"/>
      <c r="AK367" s="184"/>
      <c r="AL367" s="185"/>
      <c r="AM367" s="185"/>
      <c r="AN367" s="186"/>
      <c r="AO367" s="184">
        <f>Coeff6(AO353,AR353,AK353,$AP$16)*AO366</f>
        <v>1.1967999823799806</v>
      </c>
      <c r="AP367" s="185"/>
      <c r="AQ367" s="186"/>
      <c r="AR367" s="184"/>
      <c r="AS367" s="185"/>
      <c r="AT367" s="186"/>
      <c r="AU367" s="190" t="s">
        <v>26</v>
      </c>
      <c r="AV367" s="182"/>
      <c r="AW367" s="183"/>
      <c r="AX367" s="135"/>
      <c r="AY367" s="135"/>
      <c r="AZ367" s="135"/>
      <c r="BA367" s="135"/>
      <c r="BB367" s="135"/>
    </row>
    <row r="368" spans="29:54" x14ac:dyDescent="0.3">
      <c r="AC368" s="135"/>
      <c r="AD368" s="133" t="s">
        <v>290</v>
      </c>
      <c r="AE368" s="85"/>
      <c r="AF368" s="134"/>
      <c r="AG368" s="191">
        <f>MAX(Coeff1(AO355,AR355,AK355,$AP$16),Coeff2(AO355,AR355,AK355,$AP$16),Coeff4(AO355,AR355,AK355,$AP$16))*AG366</f>
        <v>1.2285659481176667</v>
      </c>
      <c r="AH368" s="192"/>
      <c r="AI368" s="192"/>
      <c r="AJ368" s="193"/>
      <c r="AK368" s="191">
        <f>MAX(Coeff1(AO355,AR355,AK355,$AP$16),Coeff2(AO355,AR355,AK355,$AP$16),Coeff4(AO355,AR355,AK355,$AP$16))*AK366</f>
        <v>1.170037057983712</v>
      </c>
      <c r="AL368" s="192"/>
      <c r="AM368" s="192"/>
      <c r="AN368" s="193"/>
      <c r="AO368" s="184"/>
      <c r="AP368" s="185"/>
      <c r="AQ368" s="186"/>
      <c r="AR368" s="184"/>
      <c r="AS368" s="185"/>
      <c r="AT368" s="186"/>
      <c r="AU368" s="190" t="s">
        <v>26</v>
      </c>
      <c r="AV368" s="182"/>
      <c r="AW368" s="183"/>
      <c r="AX368" s="135"/>
      <c r="AY368" s="135"/>
      <c r="AZ368" s="135"/>
      <c r="BA368" s="135"/>
      <c r="BB368" s="135"/>
    </row>
    <row r="369" spans="26:54" x14ac:dyDescent="0.3">
      <c r="AC369" s="135"/>
      <c r="AD369" s="133" t="s">
        <v>291</v>
      </c>
      <c r="AE369" s="85"/>
      <c r="AF369" s="134"/>
      <c r="AG369" s="184">
        <f>Coeff7(AG356,$AP$15,$AG$28)</f>
        <v>0.7503889291664334</v>
      </c>
      <c r="AH369" s="185"/>
      <c r="AI369" s="185"/>
      <c r="AJ369" s="186"/>
      <c r="AK369" s="184">
        <f>Coeff7(AG357,$AP$15,$AG$28)</f>
        <v>0.75194256271805349</v>
      </c>
      <c r="AL369" s="185"/>
      <c r="AM369" s="185"/>
      <c r="AN369" s="186"/>
      <c r="AO369" s="187">
        <f>Coeff7(AG354,$AP$15,$AG$28)</f>
        <v>0.75079679841925717</v>
      </c>
      <c r="AP369" s="188"/>
      <c r="AQ369" s="189"/>
      <c r="AR369" s="184"/>
      <c r="AS369" s="185"/>
      <c r="AT369" s="186"/>
      <c r="AU369" s="190" t="s">
        <v>26</v>
      </c>
      <c r="AV369" s="182"/>
      <c r="AW369" s="183"/>
      <c r="AX369" s="135"/>
      <c r="AY369" s="135"/>
      <c r="AZ369" s="135"/>
      <c r="BA369" s="135"/>
      <c r="BB369" s="135"/>
    </row>
    <row r="370" spans="26:54" x14ac:dyDescent="0.3">
      <c r="AC370" s="135"/>
      <c r="AD370" s="133" t="s">
        <v>292</v>
      </c>
      <c r="AE370" s="85"/>
      <c r="AF370" s="134"/>
      <c r="AG370" s="191">
        <f>$AG$47/($AG$46/12)</f>
        <v>640</v>
      </c>
      <c r="AH370" s="192"/>
      <c r="AI370" s="192"/>
      <c r="AJ370" s="193"/>
      <c r="AK370" s="191">
        <f>$AG$47/($AG$46/12)</f>
        <v>640</v>
      </c>
      <c r="AL370" s="192"/>
      <c r="AM370" s="192"/>
      <c r="AN370" s="193"/>
      <c r="AO370" s="191">
        <f>$AG$47/($AG$46/12)</f>
        <v>640</v>
      </c>
      <c r="AP370" s="192"/>
      <c r="AQ370" s="193"/>
      <c r="AR370" s="191">
        <f>$AG$47/($AG$46/12)</f>
        <v>640</v>
      </c>
      <c r="AS370" s="192"/>
      <c r="AT370" s="193"/>
      <c r="AU370" s="190" t="s">
        <v>26</v>
      </c>
      <c r="AV370" s="182"/>
      <c r="AW370" s="183"/>
      <c r="AX370" s="135"/>
      <c r="AY370" s="135"/>
      <c r="AZ370" s="135"/>
      <c r="BA370" s="135"/>
      <c r="BB370" s="135"/>
    </row>
    <row r="371" spans="26:54" x14ac:dyDescent="0.3">
      <c r="AC371" s="135"/>
      <c r="AD371" s="133" t="s">
        <v>293</v>
      </c>
      <c r="AE371" s="85"/>
      <c r="AF371" s="134"/>
      <c r="AG371" s="194">
        <f>IF(OR($AK$45="",$AK$45="No"),"",$AK$47/$AK$46*12)</f>
        <v>0.22400000000000003</v>
      </c>
      <c r="AH371" s="195"/>
      <c r="AI371" s="195"/>
      <c r="AJ371" s="196"/>
      <c r="AK371" s="194">
        <f>IF(OR($AK$45="",$AK$45="No"),"",$AK$47/$AK$46*12)</f>
        <v>0.22400000000000003</v>
      </c>
      <c r="AL371" s="195"/>
      <c r="AM371" s="195"/>
      <c r="AN371" s="196"/>
      <c r="AO371" s="191" t="str">
        <f>IF(OR($AO$45="",$AO$45="No"),"",$AO$47/$AO$46*12)</f>
        <v/>
      </c>
      <c r="AP371" s="192"/>
      <c r="AQ371" s="193"/>
      <c r="AR371" s="191" t="str">
        <f>IF(OR($AR$45="",$AR$45="No"),"",$AR$47/$AR$46*12)</f>
        <v/>
      </c>
      <c r="AS371" s="192"/>
      <c r="AT371" s="193"/>
      <c r="AU371" s="190" t="s">
        <v>26</v>
      </c>
      <c r="AV371" s="182"/>
      <c r="AW371" s="183"/>
      <c r="AX371" s="135"/>
      <c r="AY371" s="135"/>
      <c r="AZ371" s="135"/>
      <c r="BA371" s="135"/>
      <c r="BB371" s="135"/>
    </row>
    <row r="372" spans="26:54" ht="17.25" thickBot="1" x14ac:dyDescent="0.35">
      <c r="AC372" s="135"/>
      <c r="AD372" s="133" t="s">
        <v>294</v>
      </c>
      <c r="AE372" s="85"/>
      <c r="AF372" s="134"/>
      <c r="AG372" s="197">
        <f>1/$AR$25</f>
        <v>1000</v>
      </c>
      <c r="AH372" s="198"/>
      <c r="AI372" s="198"/>
      <c r="AJ372" s="199"/>
      <c r="AK372" s="197">
        <f>1/$AR$26</f>
        <v>800</v>
      </c>
      <c r="AL372" s="198"/>
      <c r="AM372" s="198"/>
      <c r="AN372" s="199"/>
      <c r="AO372" s="197">
        <f>IF($H$38="Roof",1/$AR$27,"")</f>
        <v>1000</v>
      </c>
      <c r="AP372" s="198"/>
      <c r="AQ372" s="198"/>
      <c r="AR372" s="197">
        <f>IF($H$39="No",1/$AR$28,"")</f>
        <v>500</v>
      </c>
      <c r="AS372" s="198"/>
      <c r="AT372" s="198"/>
      <c r="AU372" s="190" t="s">
        <v>26</v>
      </c>
      <c r="AV372" s="182"/>
      <c r="AW372" s="183"/>
      <c r="AX372" s="135"/>
      <c r="AY372" s="135"/>
      <c r="AZ372" s="135"/>
      <c r="BA372" s="135"/>
      <c r="BB372" s="135"/>
    </row>
    <row r="373" spans="26:54" ht="17.25" thickBot="1" x14ac:dyDescent="0.35">
      <c r="AC373" s="135"/>
      <c r="AD373" s="133" t="s">
        <v>295</v>
      </c>
      <c r="AE373" s="85"/>
      <c r="AF373" s="85"/>
      <c r="AG373" s="174">
        <f>1/(1/AG361+1/(AG368+AG369)+1/AG370+IF(AG371="",0,1/AG371)+1/AG372)</f>
        <v>0.14147157495926396</v>
      </c>
      <c r="AH373" s="175"/>
      <c r="AI373" s="175"/>
      <c r="AJ373" s="176"/>
      <c r="AK373" s="177">
        <f>1/(1/AK362+1/(AK368+AK369)+1/AK370+IF(AK371="",0,1/AK371)+1/AK372)</f>
        <v>0.16867131839729144</v>
      </c>
      <c r="AL373" s="175"/>
      <c r="AM373" s="175"/>
      <c r="AN373" s="176"/>
      <c r="AO373" s="178">
        <f>1/(1/AO363+1/(AO367+AO369)+1/AO370+IF(AO371="",0,1/AO371)+1/AO372)</f>
        <v>0.16251953958523838</v>
      </c>
      <c r="AP373" s="179"/>
      <c r="AQ373" s="180"/>
      <c r="AR373" s="178">
        <f>1/(1/AR364+1/AR365+1/AR370+IF(AR371="",0,1/AR371)+1/AR372)</f>
        <v>8.9736516134821073E-2</v>
      </c>
      <c r="AS373" s="179"/>
      <c r="AT373" s="181"/>
      <c r="AU373" s="182" t="s">
        <v>26</v>
      </c>
      <c r="AV373" s="182"/>
      <c r="AW373" s="183"/>
      <c r="AX373" s="135"/>
      <c r="AY373" s="135"/>
      <c r="AZ373" s="135"/>
      <c r="BA373" s="135"/>
      <c r="BB373" s="135"/>
    </row>
    <row r="374" spans="26:54" x14ac:dyDescent="0.3">
      <c r="AC374" s="135"/>
      <c r="AD374" s="135"/>
      <c r="AE374" s="135"/>
      <c r="AF374" s="135"/>
      <c r="AG374" s="135"/>
      <c r="AH374" s="135"/>
      <c r="AI374" s="135"/>
      <c r="AJ374" s="135"/>
      <c r="AK374" s="135"/>
      <c r="AL374" s="135"/>
      <c r="AM374" s="135"/>
      <c r="AN374" s="135"/>
      <c r="AO374" s="135"/>
      <c r="AP374" s="135"/>
      <c r="AQ374" s="135"/>
      <c r="AR374" s="135"/>
      <c r="AS374" s="135"/>
      <c r="AT374" s="135"/>
      <c r="AU374" s="135"/>
      <c r="AV374" s="135"/>
      <c r="AW374" s="135"/>
      <c r="AX374" s="135"/>
      <c r="AY374" s="135"/>
      <c r="AZ374" s="135"/>
      <c r="BA374" s="135"/>
      <c r="BB374" s="135"/>
    </row>
    <row r="375" spans="26:54" x14ac:dyDescent="0.3">
      <c r="AC375" s="135"/>
      <c r="AD375" s="131" t="s">
        <v>355</v>
      </c>
      <c r="AG375" s="230"/>
      <c r="AH375" s="230"/>
      <c r="AI375" s="230"/>
      <c r="AJ375" s="230"/>
      <c r="AK375" s="230"/>
      <c r="AL375" s="230"/>
      <c r="AM375" s="230"/>
      <c r="AN375" s="230"/>
      <c r="AO375" s="231"/>
      <c r="AP375" s="231"/>
      <c r="AQ375" s="231"/>
      <c r="AR375" s="231"/>
      <c r="AS375" s="231"/>
      <c r="AT375" s="231"/>
      <c r="AU375" s="230"/>
      <c r="AV375" s="230"/>
      <c r="AW375" s="230"/>
      <c r="AX375" s="135"/>
      <c r="AY375" s="135"/>
      <c r="AZ375" s="135"/>
      <c r="BA375" s="135"/>
      <c r="BB375" s="135"/>
    </row>
    <row r="376" spans="26:54" x14ac:dyDescent="0.3">
      <c r="AC376" s="135"/>
      <c r="AD376" t="s">
        <v>258</v>
      </c>
      <c r="AJ376" s="10"/>
      <c r="AX376" s="135"/>
      <c r="AY376" s="135"/>
      <c r="AZ376" s="135"/>
      <c r="BA376" s="135"/>
      <c r="BB376" s="135"/>
    </row>
    <row r="377" spans="26:54" ht="17.25" thickBot="1" x14ac:dyDescent="0.35">
      <c r="AC377" s="135"/>
      <c r="AD377" s="133"/>
      <c r="AE377" s="85"/>
      <c r="AF377" s="134"/>
      <c r="AG377" s="232" t="s">
        <v>271</v>
      </c>
      <c r="AH377" s="233"/>
      <c r="AI377" s="233"/>
      <c r="AJ377" s="234"/>
      <c r="AK377" s="191" t="s">
        <v>270</v>
      </c>
      <c r="AL377" s="192"/>
      <c r="AM377" s="192"/>
      <c r="AN377" s="193"/>
      <c r="AO377" s="191" t="s">
        <v>264</v>
      </c>
      <c r="AP377" s="192"/>
      <c r="AQ377" s="193"/>
      <c r="AR377" s="191" t="s">
        <v>265</v>
      </c>
      <c r="AS377" s="192"/>
      <c r="AT377" s="193"/>
      <c r="AX377" s="135"/>
      <c r="AY377" s="135"/>
      <c r="AZ377" s="135"/>
      <c r="BA377" s="135"/>
      <c r="BB377" s="135"/>
    </row>
    <row r="378" spans="26:54" x14ac:dyDescent="0.3">
      <c r="AC378" s="135">
        <v>0</v>
      </c>
      <c r="AD378" s="133" t="s">
        <v>259</v>
      </c>
      <c r="AE378" s="85"/>
      <c r="AF378" s="85"/>
      <c r="AG378" s="212">
        <f>$AL$15-AG373/AG361*($AL$15-$AP$15)</f>
        <v>45.551301148758071</v>
      </c>
      <c r="AH378" s="213"/>
      <c r="AI378" s="213"/>
      <c r="AJ378" s="214"/>
      <c r="AK378" s="192">
        <f t="shared" ref="AK378:AK386" si="18">AK349</f>
        <v>24</v>
      </c>
      <c r="AL378" s="192"/>
      <c r="AM378" s="192"/>
      <c r="AN378" s="193"/>
      <c r="AO378" s="215">
        <f>$AL$19^2*4.17*10^8*$AL$20/(2.42*$AL$18)^2*AK378^3*ABS($AL$15-AG378)</f>
        <v>1143894430650.7461</v>
      </c>
      <c r="AP378" s="216"/>
      <c r="AQ378" s="217"/>
      <c r="AR378" s="191">
        <f t="shared" ref="AR378:AR386" si="19">AR349</f>
        <v>0.28046357615894041</v>
      </c>
      <c r="AS378" s="192"/>
      <c r="AT378" s="193"/>
      <c r="AX378" s="135"/>
      <c r="AY378" s="135"/>
      <c r="AZ378" s="135"/>
      <c r="BA378" s="135"/>
      <c r="BB378" s="135"/>
    </row>
    <row r="379" spans="26:54" x14ac:dyDescent="0.3">
      <c r="AC379" s="135">
        <v>1</v>
      </c>
      <c r="AD379" s="133" t="s">
        <v>260</v>
      </c>
      <c r="AE379" s="85"/>
      <c r="AF379" s="85"/>
      <c r="AG379" s="218">
        <f>$AG$15-AK373/AK362*($AG$15-$AP$15)</f>
        <v>51.824610118295965</v>
      </c>
      <c r="AH379" s="219"/>
      <c r="AI379" s="219"/>
      <c r="AJ379" s="220"/>
      <c r="AK379" s="192">
        <f t="shared" si="18"/>
        <v>24</v>
      </c>
      <c r="AL379" s="192"/>
      <c r="AM379" s="192"/>
      <c r="AN379" s="193"/>
      <c r="AO379" s="209">
        <f>$AG$19^2*4.17*10^8*$AG$20/(2.42*$AG$18)^2*AK379^3*ABS($AG$15-AG379)</f>
        <v>4278660.5044231564</v>
      </c>
      <c r="AP379" s="210"/>
      <c r="AQ379" s="211"/>
      <c r="AR379" s="191">
        <f t="shared" si="19"/>
        <v>484</v>
      </c>
      <c r="AS379" s="192"/>
      <c r="AT379" s="193"/>
      <c r="AX379" s="135"/>
      <c r="AY379" s="135"/>
      <c r="AZ379" s="135"/>
      <c r="BA379" s="135"/>
      <c r="BB379" s="135"/>
    </row>
    <row r="380" spans="26:54" x14ac:dyDescent="0.3">
      <c r="Z380" t="s">
        <v>349</v>
      </c>
      <c r="AC380" s="135">
        <v>2</v>
      </c>
      <c r="AD380" s="133" t="s">
        <v>266</v>
      </c>
      <c r="AE380" s="85"/>
      <c r="AF380" s="85"/>
      <c r="AG380" s="218">
        <f>$AL$15-AO373/AO363*($AL$15-$AP$15)</f>
        <v>36.257939760817067</v>
      </c>
      <c r="AH380" s="219"/>
      <c r="AI380" s="219"/>
      <c r="AJ380" s="220"/>
      <c r="AK380" s="192">
        <f t="shared" si="18"/>
        <v>20</v>
      </c>
      <c r="AL380" s="192"/>
      <c r="AM380" s="192"/>
      <c r="AN380" s="193"/>
      <c r="AO380" s="209">
        <f>$AL$19^2*4.17*10^8*$AL$20/(2.42*$AL$18)^2*AK380^3*ABS($AL$15-AG380)</f>
        <v>2044848077809.5293</v>
      </c>
      <c r="AP380" s="210"/>
      <c r="AQ380" s="211"/>
      <c r="AR380" s="191">
        <f t="shared" si="19"/>
        <v>0.28046357615894041</v>
      </c>
      <c r="AS380" s="192"/>
      <c r="AT380" s="193"/>
      <c r="AX380" s="135"/>
      <c r="AY380" s="135"/>
      <c r="AZ380" s="135"/>
      <c r="BA380" s="135"/>
      <c r="BB380" s="135"/>
    </row>
    <row r="381" spans="26:54" ht="17.25" thickBot="1" x14ac:dyDescent="0.35">
      <c r="Z381" t="s">
        <v>349</v>
      </c>
      <c r="AC381" s="403">
        <v>3</v>
      </c>
      <c r="AD381" s="133" t="s">
        <v>267</v>
      </c>
      <c r="AE381" s="85"/>
      <c r="AF381" s="85"/>
      <c r="AG381" s="221">
        <f>$AG$15-AR373/AR364*($AG$15-$AP$15)</f>
        <v>52.626117467268095</v>
      </c>
      <c r="AH381" s="222"/>
      <c r="AI381" s="222"/>
      <c r="AJ381" s="223"/>
      <c r="AK381" s="192">
        <f t="shared" si="18"/>
        <v>20</v>
      </c>
      <c r="AL381" s="192"/>
      <c r="AM381" s="192"/>
      <c r="AN381" s="193"/>
      <c r="AO381" s="224">
        <f>$AG$19^2*4.17*10^8*$AG$20/(2.42*$AG$18)^2*AK381^3*ABS($AG$15-AG381)</f>
        <v>1851084.5600801115</v>
      </c>
      <c r="AP381" s="225"/>
      <c r="AQ381" s="226"/>
      <c r="AR381" s="191">
        <f t="shared" si="19"/>
        <v>484</v>
      </c>
      <c r="AS381" s="192"/>
      <c r="AT381" s="193"/>
      <c r="AX381" s="135"/>
      <c r="AY381" s="135"/>
      <c r="AZ381" s="135"/>
      <c r="BA381" s="135"/>
      <c r="BB381" s="135"/>
    </row>
    <row r="382" spans="26:54" x14ac:dyDescent="0.3">
      <c r="AC382" s="403">
        <v>4</v>
      </c>
      <c r="AD382" s="133" t="s">
        <v>268</v>
      </c>
      <c r="AE382" s="85"/>
      <c r="AF382" s="134"/>
      <c r="AG382" s="400">
        <f>$AP$15+($AL$15-$AP$15)*AO373/(AO367+AO369)</f>
        <v>36.251692916014257</v>
      </c>
      <c r="AH382" s="401"/>
      <c r="AI382" s="401"/>
      <c r="AJ382" s="402"/>
      <c r="AK382" s="191">
        <f t="shared" si="18"/>
        <v>20</v>
      </c>
      <c r="AL382" s="192"/>
      <c r="AM382" s="192"/>
      <c r="AN382" s="193"/>
      <c r="AO382" s="209">
        <f>$AP$19^2*4.17*10^8*$AP$20/(2.42*$AP$18)^2*AK382^3*ABS($AP$15-AG382)</f>
        <v>186254594199.89703</v>
      </c>
      <c r="AP382" s="210"/>
      <c r="AQ382" s="211"/>
      <c r="AR382" s="191">
        <f t="shared" si="19"/>
        <v>0.28233333333333333</v>
      </c>
      <c r="AS382" s="192"/>
      <c r="AT382" s="193"/>
      <c r="AX382" s="135"/>
      <c r="AY382" s="135"/>
      <c r="AZ382" s="135"/>
      <c r="BA382" s="135"/>
      <c r="BB382" s="135"/>
    </row>
    <row r="383" spans="26:54" x14ac:dyDescent="0.3">
      <c r="AC383" s="403">
        <v>5</v>
      </c>
      <c r="AD383" s="133" t="s">
        <v>269</v>
      </c>
      <c r="AE383" s="85"/>
      <c r="AF383" s="134"/>
      <c r="AG383" s="382">
        <f>$AP$15+($AL$15-$AP$15)*AO373/(AO367+AO369)</f>
        <v>36.251692916014257</v>
      </c>
      <c r="AH383" s="219"/>
      <c r="AI383" s="219"/>
      <c r="AJ383" s="383"/>
      <c r="AK383" s="191" t="str">
        <f t="shared" si="18"/>
        <v>-</v>
      </c>
      <c r="AL383" s="192"/>
      <c r="AM383" s="192"/>
      <c r="AN383" s="193"/>
      <c r="AO383" s="209" t="s">
        <v>273</v>
      </c>
      <c r="AP383" s="210"/>
      <c r="AQ383" s="211"/>
      <c r="AR383" s="191" t="str">
        <f t="shared" si="19"/>
        <v>-</v>
      </c>
      <c r="AS383" s="192"/>
      <c r="AT383" s="193"/>
      <c r="AX383" s="135"/>
      <c r="AY383" s="135"/>
      <c r="AZ383" s="135"/>
      <c r="BA383" s="135"/>
      <c r="BB383" s="135"/>
    </row>
    <row r="384" spans="26:54" x14ac:dyDescent="0.3">
      <c r="AC384" s="403">
        <v>6</v>
      </c>
      <c r="AD384" s="133" t="s">
        <v>261</v>
      </c>
      <c r="AE384" s="85"/>
      <c r="AF384" s="134"/>
      <c r="AG384" s="206">
        <f>MAX(AG386,AG385)</f>
        <v>36.755183214020811</v>
      </c>
      <c r="AH384" s="207"/>
      <c r="AI384" s="207"/>
      <c r="AJ384" s="208"/>
      <c r="AK384" s="191">
        <f t="shared" si="18"/>
        <v>48</v>
      </c>
      <c r="AL384" s="192"/>
      <c r="AM384" s="192"/>
      <c r="AN384" s="193"/>
      <c r="AO384" s="209">
        <f>$AP$19^2*4.17*10^8*$AP$20/(2.42*$AP$18)^2*AK384^3*ABS($AP$15-AG384)</f>
        <v>3610483641039.6021</v>
      </c>
      <c r="AP384" s="210"/>
      <c r="AQ384" s="211"/>
      <c r="AR384" s="191">
        <f t="shared" si="19"/>
        <v>0.28233333333333333</v>
      </c>
      <c r="AS384" s="192"/>
      <c r="AT384" s="193"/>
      <c r="AX384" s="135"/>
      <c r="AY384" s="135"/>
      <c r="AZ384" s="135"/>
      <c r="BA384" s="135"/>
      <c r="BB384" s="135"/>
    </row>
    <row r="385" spans="29:54" x14ac:dyDescent="0.3">
      <c r="AC385" s="403">
        <v>7</v>
      </c>
      <c r="AD385" s="133" t="s">
        <v>262</v>
      </c>
      <c r="AE385" s="85"/>
      <c r="AF385" s="134"/>
      <c r="AG385" s="206">
        <f>AG373/(AG368+AG369)*($AL$15-$AP$15)+$AP$15</f>
        <v>36.072320369073438</v>
      </c>
      <c r="AH385" s="207"/>
      <c r="AI385" s="207"/>
      <c r="AJ385" s="208"/>
      <c r="AK385" s="191" t="str">
        <f t="shared" si="18"/>
        <v>-</v>
      </c>
      <c r="AL385" s="192"/>
      <c r="AM385" s="192"/>
      <c r="AN385" s="193"/>
      <c r="AO385" s="209" t="s">
        <v>273</v>
      </c>
      <c r="AP385" s="210"/>
      <c r="AQ385" s="211"/>
      <c r="AR385" s="191" t="str">
        <f t="shared" si="19"/>
        <v>-</v>
      </c>
      <c r="AS385" s="192"/>
      <c r="AT385" s="193"/>
      <c r="AX385" s="135"/>
      <c r="AY385" s="135"/>
      <c r="AZ385" s="135"/>
      <c r="BA385" s="135"/>
      <c r="BB385" s="135"/>
    </row>
    <row r="386" spans="29:54" x14ac:dyDescent="0.3">
      <c r="AC386" s="135"/>
      <c r="AD386" s="133" t="s">
        <v>263</v>
      </c>
      <c r="AE386" s="85"/>
      <c r="AF386" s="134"/>
      <c r="AG386" s="206">
        <f>$AP$15+($AG$15-$AP$15)*AK373/(AK368+AK369)</f>
        <v>36.755183214020811</v>
      </c>
      <c r="AH386" s="207"/>
      <c r="AI386" s="207"/>
      <c r="AJ386" s="208"/>
      <c r="AK386" s="191" t="str">
        <f t="shared" si="18"/>
        <v>-</v>
      </c>
      <c r="AL386" s="192"/>
      <c r="AM386" s="192"/>
      <c r="AN386" s="193"/>
      <c r="AO386" s="191" t="s">
        <v>273</v>
      </c>
      <c r="AP386" s="192"/>
      <c r="AQ386" s="193"/>
      <c r="AR386" s="191" t="str">
        <f t="shared" si="19"/>
        <v>-</v>
      </c>
      <c r="AS386" s="192"/>
      <c r="AT386" s="193"/>
      <c r="AX386" s="135"/>
      <c r="AY386" s="135"/>
      <c r="AZ386" s="135"/>
      <c r="BA386" s="135"/>
      <c r="BB386" s="135"/>
    </row>
    <row r="387" spans="29:54" x14ac:dyDescent="0.3">
      <c r="AC387" s="135"/>
      <c r="AX387" s="135"/>
      <c r="AY387" s="135"/>
      <c r="AZ387" s="135"/>
      <c r="BA387" s="135"/>
      <c r="BB387" s="135"/>
    </row>
    <row r="388" spans="29:54" x14ac:dyDescent="0.3">
      <c r="AC388" s="135"/>
      <c r="AD388" t="s">
        <v>274</v>
      </c>
      <c r="AX388" s="135"/>
      <c r="AY388" s="135"/>
      <c r="AZ388" s="135"/>
      <c r="BA388" s="135"/>
      <c r="BB388" s="135"/>
    </row>
    <row r="389" spans="29:54" x14ac:dyDescent="0.3">
      <c r="AC389" s="135"/>
      <c r="AD389" s="133"/>
      <c r="AE389" s="85"/>
      <c r="AF389" s="134"/>
      <c r="AG389" s="191" t="s">
        <v>21</v>
      </c>
      <c r="AH389" s="192"/>
      <c r="AI389" s="192"/>
      <c r="AJ389" s="193"/>
      <c r="AK389" s="191" t="s">
        <v>22</v>
      </c>
      <c r="AL389" s="192"/>
      <c r="AM389" s="192"/>
      <c r="AN389" s="193"/>
      <c r="AO389" s="191" t="s">
        <v>23</v>
      </c>
      <c r="AP389" s="192"/>
      <c r="AQ389" s="193"/>
      <c r="AR389" s="191" t="s">
        <v>24</v>
      </c>
      <c r="AS389" s="192"/>
      <c r="AT389" s="193"/>
      <c r="AU389" s="190"/>
      <c r="AV389" s="182"/>
      <c r="AW389" s="183"/>
      <c r="AX389" s="135"/>
      <c r="AY389" s="135"/>
      <c r="AZ389" s="135"/>
      <c r="BA389" s="135"/>
      <c r="BB389" s="135"/>
    </row>
    <row r="390" spans="29:54" x14ac:dyDescent="0.3">
      <c r="AC390" s="135"/>
      <c r="AD390" s="133" t="s">
        <v>283</v>
      </c>
      <c r="AE390" s="85"/>
      <c r="AF390" s="134"/>
      <c r="AG390" s="191">
        <f>IF(MAX(Coeff1(AO378,AR378,AK378,$AL$16),Coeff2(AO378,AR378,AK378,$AL$16))&lt;&gt;0,MAX(Coeff1(AO378,AR378,AK378,$AL$16),Coeff2(AO378,AR378,AK378,$AL$16)),Coeff4(AO378,AR378,AK378,$AL$16))</f>
        <v>0.47700829473700174</v>
      </c>
      <c r="AH390" s="192"/>
      <c r="AI390" s="192"/>
      <c r="AJ390" s="193"/>
      <c r="AK390" s="184"/>
      <c r="AL390" s="185"/>
      <c r="AM390" s="185"/>
      <c r="AN390" s="186"/>
      <c r="AO390" s="184"/>
      <c r="AP390" s="185"/>
      <c r="AQ390" s="186"/>
      <c r="AR390" s="184"/>
      <c r="AS390" s="185"/>
      <c r="AT390" s="186"/>
      <c r="AU390" s="190" t="s">
        <v>26</v>
      </c>
      <c r="AV390" s="182"/>
      <c r="AW390" s="183"/>
      <c r="AX390" s="135"/>
      <c r="AY390" s="135"/>
      <c r="AZ390" s="135"/>
      <c r="BA390" s="135"/>
      <c r="BB390" s="135"/>
    </row>
    <row r="391" spans="29:54" x14ac:dyDescent="0.3">
      <c r="AC391" s="135"/>
      <c r="AD391" s="133" t="s">
        <v>284</v>
      </c>
      <c r="AE391" s="85"/>
      <c r="AF391" s="134"/>
      <c r="AG391" s="184"/>
      <c r="AH391" s="185"/>
      <c r="AI391" s="185"/>
      <c r="AJ391" s="186"/>
      <c r="AK391" s="191">
        <f>MAX(Coeff1(AO379,AR379,AK379,$AG$16),Coeff3(AO379,AR379,AK379,$AG$16),Coeff4(AO379,AR379,AK379,$AG$16))</f>
        <v>1.0623646862406082</v>
      </c>
      <c r="AL391" s="192"/>
      <c r="AM391" s="192"/>
      <c r="AN391" s="193"/>
      <c r="AO391" s="184"/>
      <c r="AP391" s="185"/>
      <c r="AQ391" s="186"/>
      <c r="AR391" s="184"/>
      <c r="AS391" s="185"/>
      <c r="AT391" s="186"/>
      <c r="AU391" s="190" t="s">
        <v>26</v>
      </c>
      <c r="AV391" s="182"/>
      <c r="AW391" s="183"/>
      <c r="AX391" s="135"/>
      <c r="AY391" s="135"/>
      <c r="AZ391" s="135"/>
      <c r="BA391" s="135"/>
      <c r="BB391" s="135"/>
    </row>
    <row r="392" spans="29:54" x14ac:dyDescent="0.3">
      <c r="AC392" s="135"/>
      <c r="AD392" s="133" t="s">
        <v>285</v>
      </c>
      <c r="AE392" s="85"/>
      <c r="AF392" s="134"/>
      <c r="AG392" s="184"/>
      <c r="AH392" s="185"/>
      <c r="AI392" s="185"/>
      <c r="AJ392" s="186"/>
      <c r="AK392" s="184"/>
      <c r="AL392" s="185"/>
      <c r="AM392" s="185"/>
      <c r="AN392" s="186"/>
      <c r="AO392" s="203">
        <f>Coeff5(AO380,AR380,AK380,$AL$16)</f>
        <v>0.1773965194016949</v>
      </c>
      <c r="AP392" s="204"/>
      <c r="AQ392" s="205"/>
      <c r="AR392" s="184"/>
      <c r="AS392" s="185"/>
      <c r="AT392" s="186"/>
      <c r="AU392" s="190" t="s">
        <v>26</v>
      </c>
      <c r="AV392" s="182"/>
      <c r="AW392" s="183"/>
      <c r="AX392" s="135"/>
      <c r="AY392" s="135"/>
      <c r="AZ392" s="135"/>
      <c r="BA392" s="135"/>
      <c r="BB392" s="135"/>
    </row>
    <row r="393" spans="29:54" x14ac:dyDescent="0.3">
      <c r="AC393" s="135"/>
      <c r="AD393" s="133" t="s">
        <v>286</v>
      </c>
      <c r="AE393" s="85"/>
      <c r="AF393" s="134"/>
      <c r="AG393" s="184"/>
      <c r="AH393" s="185"/>
      <c r="AI393" s="185"/>
      <c r="AJ393" s="186"/>
      <c r="AK393" s="184"/>
      <c r="AL393" s="185"/>
      <c r="AM393" s="185"/>
      <c r="AN393" s="186"/>
      <c r="AO393" s="184"/>
      <c r="AP393" s="185"/>
      <c r="AQ393" s="186"/>
      <c r="AR393" s="200">
        <f>Coeff6(AO381,AR381,AK381,$AG$16)</f>
        <v>0.75601240326622499</v>
      </c>
      <c r="AS393" s="201"/>
      <c r="AT393" s="202"/>
      <c r="AU393" s="190" t="s">
        <v>26</v>
      </c>
      <c r="AV393" s="182"/>
      <c r="AW393" s="183"/>
      <c r="AX393" s="135"/>
      <c r="AY393" s="135"/>
      <c r="AZ393" s="135"/>
      <c r="BA393" s="135"/>
      <c r="BB393" s="135"/>
    </row>
    <row r="394" spans="29:54" x14ac:dyDescent="0.3">
      <c r="AC394" s="135"/>
      <c r="AD394" s="133" t="s">
        <v>287</v>
      </c>
      <c r="AE394" s="85"/>
      <c r="AF394" s="134"/>
      <c r="AG394" s="184"/>
      <c r="AH394" s="185"/>
      <c r="AI394" s="185"/>
      <c r="AJ394" s="186"/>
      <c r="AK394" s="184"/>
      <c r="AL394" s="185"/>
      <c r="AM394" s="185"/>
      <c r="AN394" s="186"/>
      <c r="AO394" s="184"/>
      <c r="AP394" s="185"/>
      <c r="AQ394" s="186"/>
      <c r="AR394" s="200">
        <f>8*$AG$31/PI()/$AS$38</f>
        <v>0.10185916357881301</v>
      </c>
      <c r="AS394" s="201"/>
      <c r="AT394" s="202"/>
      <c r="AU394" s="190" t="s">
        <v>26</v>
      </c>
      <c r="AV394" s="182"/>
      <c r="AW394" s="183"/>
      <c r="AX394" s="135"/>
      <c r="AY394" s="135"/>
      <c r="AZ394" s="135"/>
      <c r="BA394" s="135"/>
      <c r="BB394" s="135"/>
    </row>
    <row r="395" spans="29:54" x14ac:dyDescent="0.3">
      <c r="AC395" s="135"/>
      <c r="AD395" s="133" t="s">
        <v>288</v>
      </c>
      <c r="AE395" s="85"/>
      <c r="AF395" s="134"/>
      <c r="AG395" s="184">
        <f>AG366</f>
        <v>3.3032694796041264</v>
      </c>
      <c r="AH395" s="185"/>
      <c r="AI395" s="185"/>
      <c r="AJ395" s="186"/>
      <c r="AK395" s="184">
        <f>AK366</f>
        <v>3.145901699102954</v>
      </c>
      <c r="AL395" s="185"/>
      <c r="AM395" s="185"/>
      <c r="AN395" s="186"/>
      <c r="AO395" s="184">
        <f>AO366</f>
        <v>3.3032694796041264</v>
      </c>
      <c r="AP395" s="185"/>
      <c r="AQ395" s="186"/>
      <c r="AR395" s="184"/>
      <c r="AS395" s="185"/>
      <c r="AT395" s="186"/>
      <c r="AU395" s="190"/>
      <c r="AV395" s="182"/>
      <c r="AW395" s="183"/>
      <c r="AX395" s="135"/>
      <c r="AY395" s="135"/>
      <c r="AZ395" s="135"/>
      <c r="BA395" s="135"/>
      <c r="BB395" s="135"/>
    </row>
    <row r="396" spans="29:54" x14ac:dyDescent="0.3">
      <c r="AC396" s="135"/>
      <c r="AD396" s="133" t="s">
        <v>289</v>
      </c>
      <c r="AE396" s="85"/>
      <c r="AF396" s="134"/>
      <c r="AG396" s="184"/>
      <c r="AH396" s="185"/>
      <c r="AI396" s="185"/>
      <c r="AJ396" s="186"/>
      <c r="AK396" s="184"/>
      <c r="AL396" s="185"/>
      <c r="AM396" s="185"/>
      <c r="AN396" s="186"/>
      <c r="AO396" s="184">
        <f>Coeff6(AO382,AR382,AK382,$AP$16)*AO395</f>
        <v>1.1967959839165299</v>
      </c>
      <c r="AP396" s="185"/>
      <c r="AQ396" s="186"/>
      <c r="AR396" s="184"/>
      <c r="AS396" s="185"/>
      <c r="AT396" s="186"/>
      <c r="AU396" s="190" t="s">
        <v>26</v>
      </c>
      <c r="AV396" s="182"/>
      <c r="AW396" s="183"/>
      <c r="AX396" s="135"/>
      <c r="AY396" s="135"/>
      <c r="AZ396" s="135"/>
      <c r="BA396" s="135"/>
      <c r="BB396" s="135"/>
    </row>
    <row r="397" spans="29:54" x14ac:dyDescent="0.3">
      <c r="AC397" s="135"/>
      <c r="AD397" s="133" t="s">
        <v>290</v>
      </c>
      <c r="AE397" s="85"/>
      <c r="AF397" s="134"/>
      <c r="AG397" s="191">
        <f>MAX(Coeff1(AO384,AR384,AK384,$AP$16),Coeff2(AO384,AR384,AK384,$AP$16),Coeff4(AO384,AR384,AK384,$AP$16))*AG395</f>
        <v>1.2285666833915381</v>
      </c>
      <c r="AH397" s="192"/>
      <c r="AI397" s="192"/>
      <c r="AJ397" s="193"/>
      <c r="AK397" s="191">
        <f>MAX(Coeff1(AO384,AR384,AK384,$AP$16),Coeff2(AO384,AR384,AK384,$AP$16),Coeff4(AO384,AR384,AK384,$AP$16))*AK395</f>
        <v>1.170037758229131</v>
      </c>
      <c r="AL397" s="192"/>
      <c r="AM397" s="192"/>
      <c r="AN397" s="193"/>
      <c r="AO397" s="184"/>
      <c r="AP397" s="185"/>
      <c r="AQ397" s="186"/>
      <c r="AR397" s="184"/>
      <c r="AS397" s="185"/>
      <c r="AT397" s="186"/>
      <c r="AU397" s="190" t="s">
        <v>26</v>
      </c>
      <c r="AV397" s="182"/>
      <c r="AW397" s="183"/>
      <c r="AX397" s="135"/>
      <c r="AY397" s="135"/>
      <c r="AZ397" s="135"/>
      <c r="BA397" s="135"/>
      <c r="BB397" s="135"/>
    </row>
    <row r="398" spans="29:54" x14ac:dyDescent="0.3">
      <c r="AC398" s="135"/>
      <c r="AD398" s="133" t="s">
        <v>291</v>
      </c>
      <c r="AE398" s="85"/>
      <c r="AF398" s="134"/>
      <c r="AG398" s="184">
        <f>Coeff7(AG385,$AP$15,$AG$28)</f>
        <v>0.75038894266757394</v>
      </c>
      <c r="AH398" s="185"/>
      <c r="AI398" s="185"/>
      <c r="AJ398" s="186"/>
      <c r="AK398" s="184">
        <f>Coeff7(AG386,$AP$15,$AG$28)</f>
        <v>0.75194257228656747</v>
      </c>
      <c r="AL398" s="185"/>
      <c r="AM398" s="185"/>
      <c r="AN398" s="186"/>
      <c r="AO398" s="187">
        <f>Coeff7(AG383,$AP$15,$AG$28)</f>
        <v>0.75079676959995001</v>
      </c>
      <c r="AP398" s="188"/>
      <c r="AQ398" s="189"/>
      <c r="AR398" s="184"/>
      <c r="AS398" s="185"/>
      <c r="AT398" s="186"/>
      <c r="AU398" s="190" t="s">
        <v>26</v>
      </c>
      <c r="AV398" s="182"/>
      <c r="AW398" s="183"/>
      <c r="AX398" s="135"/>
      <c r="AY398" s="135"/>
      <c r="AZ398" s="135"/>
      <c r="BA398" s="135"/>
      <c r="BB398" s="135"/>
    </row>
    <row r="399" spans="29:54" x14ac:dyDescent="0.3">
      <c r="AC399" s="135"/>
      <c r="AD399" s="133" t="s">
        <v>292</v>
      </c>
      <c r="AE399" s="85"/>
      <c r="AF399" s="134"/>
      <c r="AG399" s="191">
        <f>$AG$47/($AG$46/12)</f>
        <v>640</v>
      </c>
      <c r="AH399" s="192"/>
      <c r="AI399" s="192"/>
      <c r="AJ399" s="193"/>
      <c r="AK399" s="191">
        <f>$AG$47/($AG$46/12)</f>
        <v>640</v>
      </c>
      <c r="AL399" s="192"/>
      <c r="AM399" s="192"/>
      <c r="AN399" s="193"/>
      <c r="AO399" s="191">
        <f>$AG$47/($AG$46/12)</f>
        <v>640</v>
      </c>
      <c r="AP399" s="192"/>
      <c r="AQ399" s="193"/>
      <c r="AR399" s="191">
        <f>$AG$47/($AG$46/12)</f>
        <v>640</v>
      </c>
      <c r="AS399" s="192"/>
      <c r="AT399" s="193"/>
      <c r="AU399" s="190" t="s">
        <v>26</v>
      </c>
      <c r="AV399" s="182"/>
      <c r="AW399" s="183"/>
      <c r="AX399" s="135"/>
      <c r="AY399" s="135"/>
      <c r="AZ399" s="135"/>
      <c r="BA399" s="135"/>
      <c r="BB399" s="135"/>
    </row>
    <row r="400" spans="29:54" x14ac:dyDescent="0.3">
      <c r="AC400" s="135"/>
      <c r="AD400" s="133" t="s">
        <v>293</v>
      </c>
      <c r="AE400" s="85"/>
      <c r="AF400" s="134"/>
      <c r="AG400" s="194">
        <f>IF(OR($AK$45="",$AK$45="No"),"",$AK$47/$AK$46*12)</f>
        <v>0.22400000000000003</v>
      </c>
      <c r="AH400" s="195"/>
      <c r="AI400" s="195"/>
      <c r="AJ400" s="196"/>
      <c r="AK400" s="194">
        <f>IF(OR($AK$45="",$AK$45="No"),"",$AK$47/$AK$46*12)</f>
        <v>0.22400000000000003</v>
      </c>
      <c r="AL400" s="195"/>
      <c r="AM400" s="195"/>
      <c r="AN400" s="196"/>
      <c r="AO400" s="191" t="str">
        <f>IF(OR($AO$45="",$AO$45="No"),"",$AO$47/$AO$46*12)</f>
        <v/>
      </c>
      <c r="AP400" s="192"/>
      <c r="AQ400" s="193"/>
      <c r="AR400" s="191" t="str">
        <f>IF(OR($AR$45="",$AR$45="No"),"",$AR$47/$AR$46*12)</f>
        <v/>
      </c>
      <c r="AS400" s="192"/>
      <c r="AT400" s="193"/>
      <c r="AU400" s="190" t="s">
        <v>26</v>
      </c>
      <c r="AV400" s="182"/>
      <c r="AW400" s="183"/>
      <c r="AX400" s="135"/>
      <c r="AY400" s="135"/>
      <c r="AZ400" s="135"/>
      <c r="BA400" s="135"/>
      <c r="BB400" s="135"/>
    </row>
    <row r="401" spans="29:54" ht="17.25" thickBot="1" x14ac:dyDescent="0.35">
      <c r="AC401" s="135"/>
      <c r="AD401" s="133" t="s">
        <v>294</v>
      </c>
      <c r="AE401" s="85"/>
      <c r="AF401" s="134"/>
      <c r="AG401" s="197">
        <f>1/$AR$25</f>
        <v>1000</v>
      </c>
      <c r="AH401" s="198"/>
      <c r="AI401" s="198"/>
      <c r="AJ401" s="199"/>
      <c r="AK401" s="197">
        <f>1/$AR$26</f>
        <v>800</v>
      </c>
      <c r="AL401" s="198"/>
      <c r="AM401" s="198"/>
      <c r="AN401" s="199"/>
      <c r="AO401" s="197">
        <f>IF($H$38="Roof",1/$AR$27,"")</f>
        <v>1000</v>
      </c>
      <c r="AP401" s="198"/>
      <c r="AQ401" s="198"/>
      <c r="AR401" s="197">
        <f>IF($H$39="No",1/$AR$28,"")</f>
        <v>500</v>
      </c>
      <c r="AS401" s="198"/>
      <c r="AT401" s="198"/>
      <c r="AU401" s="190" t="s">
        <v>26</v>
      </c>
      <c r="AV401" s="182"/>
      <c r="AW401" s="183"/>
      <c r="AX401" s="135"/>
      <c r="AY401" s="135"/>
      <c r="AZ401" s="135"/>
      <c r="BA401" s="135"/>
      <c r="BB401" s="135"/>
    </row>
    <row r="402" spans="29:54" ht="17.25" thickBot="1" x14ac:dyDescent="0.35">
      <c r="AC402" s="135"/>
      <c r="AD402" s="133" t="s">
        <v>295</v>
      </c>
      <c r="AE402" s="85"/>
      <c r="AF402" s="85"/>
      <c r="AG402" s="174">
        <f>1/(1/AG390+1/(AG397+AG398)+1/AG399+IF(AG400="",0,1/AG400)+1/AG401)</f>
        <v>0.14147143303510296</v>
      </c>
      <c r="AH402" s="175"/>
      <c r="AI402" s="175"/>
      <c r="AJ402" s="176"/>
      <c r="AK402" s="177">
        <f>1/(1/AK391+1/(AK397+AK398)+1/AK399+IF(AK400="",0,1/AK400)+1/AK401)</f>
        <v>0.16867128978748414</v>
      </c>
      <c r="AL402" s="175"/>
      <c r="AM402" s="175"/>
      <c r="AN402" s="176"/>
      <c r="AO402" s="178">
        <f>1/(1/AO392+1/(AO396+AO398)+1/AO399+IF(AO400="",0,1/AO400)+1/AO401)</f>
        <v>0.16251954587045833</v>
      </c>
      <c r="AP402" s="179"/>
      <c r="AQ402" s="180"/>
      <c r="AR402" s="178">
        <f>1/(1/AR393+1/AR394+1/AR399+IF(AR400="",0,1/AR400)+1/AR401)</f>
        <v>8.9736245007293894E-2</v>
      </c>
      <c r="AS402" s="179"/>
      <c r="AT402" s="181"/>
      <c r="AU402" s="182" t="s">
        <v>26</v>
      </c>
      <c r="AV402" s="182"/>
      <c r="AW402" s="183"/>
      <c r="AX402" s="135"/>
      <c r="AY402" s="135"/>
      <c r="AZ402" s="135"/>
      <c r="BA402" s="135"/>
      <c r="BB402" s="135"/>
    </row>
    <row r="403" spans="29:54" x14ac:dyDescent="0.3">
      <c r="AC403" s="135"/>
      <c r="AD403" s="135"/>
      <c r="AE403" s="135"/>
      <c r="AF403" s="135"/>
      <c r="AG403" s="135"/>
      <c r="AH403" s="135"/>
      <c r="AI403" s="135"/>
      <c r="AJ403" s="135"/>
      <c r="AK403" s="135"/>
      <c r="AL403" s="135"/>
      <c r="AM403" s="135"/>
      <c r="AN403" s="135"/>
      <c r="AO403" s="135"/>
      <c r="AP403" s="135"/>
      <c r="AQ403" s="135"/>
      <c r="AR403" s="135"/>
      <c r="AS403" s="135"/>
      <c r="AT403" s="135"/>
      <c r="AU403" s="135"/>
      <c r="AV403" s="135"/>
      <c r="AW403" s="135"/>
      <c r="AX403" s="135"/>
      <c r="AY403" s="135"/>
      <c r="AZ403" s="135"/>
      <c r="BA403" s="135"/>
      <c r="BB403" s="135"/>
    </row>
  </sheetData>
  <mergeCells count="1504">
    <mergeCell ref="AG343:AJ343"/>
    <mergeCell ref="AK343:AN343"/>
    <mergeCell ref="AO343:AQ343"/>
    <mergeCell ref="AR343:AT343"/>
    <mergeCell ref="AU343:AW343"/>
    <mergeCell ref="AG344:AJ344"/>
    <mergeCell ref="AK344:AN344"/>
    <mergeCell ref="AO344:AQ344"/>
    <mergeCell ref="AR344:AT344"/>
    <mergeCell ref="AU344:AW344"/>
    <mergeCell ref="AG341:AJ341"/>
    <mergeCell ref="AK341:AN341"/>
    <mergeCell ref="AO341:AQ341"/>
    <mergeCell ref="AR341:AT341"/>
    <mergeCell ref="AU341:AW341"/>
    <mergeCell ref="AG342:AJ342"/>
    <mergeCell ref="AK342:AN342"/>
    <mergeCell ref="AO342:AQ342"/>
    <mergeCell ref="AR342:AT342"/>
    <mergeCell ref="AU342:AW342"/>
    <mergeCell ref="AG339:AJ339"/>
    <mergeCell ref="AK339:AN339"/>
    <mergeCell ref="AO339:AQ339"/>
    <mergeCell ref="AR339:AT339"/>
    <mergeCell ref="AU339:AW339"/>
    <mergeCell ref="AG340:AJ340"/>
    <mergeCell ref="AK340:AN340"/>
    <mergeCell ref="AO340:AQ340"/>
    <mergeCell ref="AR340:AT340"/>
    <mergeCell ref="AU340:AW340"/>
    <mergeCell ref="AG337:AJ337"/>
    <mergeCell ref="AK337:AN337"/>
    <mergeCell ref="AO337:AQ337"/>
    <mergeCell ref="AR337:AT337"/>
    <mergeCell ref="AU337:AW337"/>
    <mergeCell ref="AG338:AJ338"/>
    <mergeCell ref="AK338:AN338"/>
    <mergeCell ref="AO338:AQ338"/>
    <mergeCell ref="AR338:AT338"/>
    <mergeCell ref="AU338:AW338"/>
    <mergeCell ref="AG335:AJ335"/>
    <mergeCell ref="AK335:AN335"/>
    <mergeCell ref="AO335:AQ335"/>
    <mergeCell ref="AR335:AT335"/>
    <mergeCell ref="AU335:AW335"/>
    <mergeCell ref="AG336:AJ336"/>
    <mergeCell ref="AK336:AN336"/>
    <mergeCell ref="AO336:AQ336"/>
    <mergeCell ref="AR336:AT336"/>
    <mergeCell ref="AU336:AW336"/>
    <mergeCell ref="AG333:AJ333"/>
    <mergeCell ref="AK333:AN333"/>
    <mergeCell ref="AO333:AQ333"/>
    <mergeCell ref="AR333:AT333"/>
    <mergeCell ref="AU333:AW333"/>
    <mergeCell ref="AG334:AJ334"/>
    <mergeCell ref="AK334:AN334"/>
    <mergeCell ref="AO334:AQ334"/>
    <mergeCell ref="AR334:AT334"/>
    <mergeCell ref="AU334:AW334"/>
    <mergeCell ref="AG331:AJ331"/>
    <mergeCell ref="AK331:AN331"/>
    <mergeCell ref="AO331:AQ331"/>
    <mergeCell ref="AR331:AT331"/>
    <mergeCell ref="AU331:AW331"/>
    <mergeCell ref="AG332:AJ332"/>
    <mergeCell ref="AK332:AN332"/>
    <mergeCell ref="AO332:AQ332"/>
    <mergeCell ref="AR332:AT332"/>
    <mergeCell ref="AU332:AW332"/>
    <mergeCell ref="AG326:AJ326"/>
    <mergeCell ref="AK326:AN326"/>
    <mergeCell ref="AO326:AQ326"/>
    <mergeCell ref="AR326:AT326"/>
    <mergeCell ref="AG327:AJ327"/>
    <mergeCell ref="AK327:AN327"/>
    <mergeCell ref="AO327:AQ327"/>
    <mergeCell ref="AR327:AT327"/>
    <mergeCell ref="AG328:AJ328"/>
    <mergeCell ref="AK328:AN328"/>
    <mergeCell ref="AO328:AQ328"/>
    <mergeCell ref="AR328:AT328"/>
    <mergeCell ref="AG323:AJ323"/>
    <mergeCell ref="AK323:AN323"/>
    <mergeCell ref="AO323:AQ323"/>
    <mergeCell ref="AR323:AT323"/>
    <mergeCell ref="AG324:AJ324"/>
    <mergeCell ref="AK324:AN324"/>
    <mergeCell ref="AO324:AQ324"/>
    <mergeCell ref="AR324:AT324"/>
    <mergeCell ref="AG325:AJ325"/>
    <mergeCell ref="AK325:AN325"/>
    <mergeCell ref="AO325:AQ325"/>
    <mergeCell ref="AR325:AT325"/>
    <mergeCell ref="AG320:AJ320"/>
    <mergeCell ref="AK320:AN320"/>
    <mergeCell ref="AO320:AQ320"/>
    <mergeCell ref="AR320:AT320"/>
    <mergeCell ref="AG321:AJ321"/>
    <mergeCell ref="AK321:AN321"/>
    <mergeCell ref="AO321:AQ321"/>
    <mergeCell ref="AR321:AT321"/>
    <mergeCell ref="AG322:AJ322"/>
    <mergeCell ref="AK322:AN322"/>
    <mergeCell ref="AO322:AQ322"/>
    <mergeCell ref="AR322:AT322"/>
    <mergeCell ref="AG317:AJ317"/>
    <mergeCell ref="AK317:AN317"/>
    <mergeCell ref="AO317:AQ317"/>
    <mergeCell ref="AR317:AT317"/>
    <mergeCell ref="AU317:AW317"/>
    <mergeCell ref="AG319:AJ319"/>
    <mergeCell ref="AK319:AN319"/>
    <mergeCell ref="AO319:AQ319"/>
    <mergeCell ref="AR319:AT319"/>
    <mergeCell ref="AG314:AJ314"/>
    <mergeCell ref="AK314:AN314"/>
    <mergeCell ref="AO314:AQ314"/>
    <mergeCell ref="AR314:AT314"/>
    <mergeCell ref="AU314:AW314"/>
    <mergeCell ref="AG315:AJ315"/>
    <mergeCell ref="AK315:AN315"/>
    <mergeCell ref="AO315:AQ315"/>
    <mergeCell ref="AR315:AT315"/>
    <mergeCell ref="AU315:AW315"/>
    <mergeCell ref="AG312:AJ312"/>
    <mergeCell ref="AK312:AN312"/>
    <mergeCell ref="AO312:AQ312"/>
    <mergeCell ref="AR312:AT312"/>
    <mergeCell ref="AU312:AW312"/>
    <mergeCell ref="AG313:AJ313"/>
    <mergeCell ref="AK313:AN313"/>
    <mergeCell ref="AO313:AQ313"/>
    <mergeCell ref="AR313:AT313"/>
    <mergeCell ref="AU313:AW313"/>
    <mergeCell ref="AG310:AJ310"/>
    <mergeCell ref="AK310:AN310"/>
    <mergeCell ref="AO310:AQ310"/>
    <mergeCell ref="AR310:AT310"/>
    <mergeCell ref="AU310:AW310"/>
    <mergeCell ref="AG311:AJ311"/>
    <mergeCell ref="AK311:AN311"/>
    <mergeCell ref="AO311:AQ311"/>
    <mergeCell ref="AR311:AT311"/>
    <mergeCell ref="AU311:AW311"/>
    <mergeCell ref="AG308:AJ308"/>
    <mergeCell ref="AK308:AN308"/>
    <mergeCell ref="AO308:AQ308"/>
    <mergeCell ref="AR308:AT308"/>
    <mergeCell ref="AU308:AW308"/>
    <mergeCell ref="AG309:AJ309"/>
    <mergeCell ref="AK309:AN309"/>
    <mergeCell ref="AO309:AQ309"/>
    <mergeCell ref="AR309:AT309"/>
    <mergeCell ref="AU309:AW309"/>
    <mergeCell ref="AG306:AJ306"/>
    <mergeCell ref="AK306:AN306"/>
    <mergeCell ref="AO306:AQ306"/>
    <mergeCell ref="AR306:AT306"/>
    <mergeCell ref="AU306:AW306"/>
    <mergeCell ref="AG307:AJ307"/>
    <mergeCell ref="AK307:AN307"/>
    <mergeCell ref="AO307:AQ307"/>
    <mergeCell ref="AR307:AT307"/>
    <mergeCell ref="AU307:AW307"/>
    <mergeCell ref="AG304:AJ304"/>
    <mergeCell ref="AK304:AN304"/>
    <mergeCell ref="AO304:AQ304"/>
    <mergeCell ref="AR304:AT304"/>
    <mergeCell ref="AU304:AW304"/>
    <mergeCell ref="AG305:AJ305"/>
    <mergeCell ref="AK305:AN305"/>
    <mergeCell ref="AO305:AQ305"/>
    <mergeCell ref="AR305:AT305"/>
    <mergeCell ref="AU305:AW305"/>
    <mergeCell ref="AG302:AJ302"/>
    <mergeCell ref="AK302:AN302"/>
    <mergeCell ref="AO302:AQ302"/>
    <mergeCell ref="AR302:AT302"/>
    <mergeCell ref="AU302:AW302"/>
    <mergeCell ref="AG303:AJ303"/>
    <mergeCell ref="AK303:AN303"/>
    <mergeCell ref="AO303:AQ303"/>
    <mergeCell ref="AR303:AT303"/>
    <mergeCell ref="AU303:AW303"/>
    <mergeCell ref="AG297:AJ297"/>
    <mergeCell ref="AK297:AN297"/>
    <mergeCell ref="AO297:AQ297"/>
    <mergeCell ref="AR297:AT297"/>
    <mergeCell ref="AG298:AJ298"/>
    <mergeCell ref="AK298:AN298"/>
    <mergeCell ref="AO298:AQ298"/>
    <mergeCell ref="AR298:AT298"/>
    <mergeCell ref="AG299:AJ299"/>
    <mergeCell ref="AK299:AN299"/>
    <mergeCell ref="AO299:AQ299"/>
    <mergeCell ref="AR299:AT299"/>
    <mergeCell ref="AG294:AJ294"/>
    <mergeCell ref="AK294:AN294"/>
    <mergeCell ref="AO294:AQ294"/>
    <mergeCell ref="AR294:AT294"/>
    <mergeCell ref="AG295:AJ295"/>
    <mergeCell ref="AK295:AN295"/>
    <mergeCell ref="AO295:AQ295"/>
    <mergeCell ref="AR295:AT295"/>
    <mergeCell ref="AG296:AJ296"/>
    <mergeCell ref="AK296:AN296"/>
    <mergeCell ref="AO296:AQ296"/>
    <mergeCell ref="AR296:AT296"/>
    <mergeCell ref="AG291:AJ291"/>
    <mergeCell ref="AK291:AN291"/>
    <mergeCell ref="AO291:AQ291"/>
    <mergeCell ref="AR291:AT291"/>
    <mergeCell ref="AG292:AJ292"/>
    <mergeCell ref="AK292:AN292"/>
    <mergeCell ref="AO292:AQ292"/>
    <mergeCell ref="AR292:AT292"/>
    <mergeCell ref="AG293:AJ293"/>
    <mergeCell ref="AK293:AN293"/>
    <mergeCell ref="AO293:AQ293"/>
    <mergeCell ref="AR293:AT293"/>
    <mergeCell ref="AG288:AJ288"/>
    <mergeCell ref="AK288:AN288"/>
    <mergeCell ref="AO288:AQ288"/>
    <mergeCell ref="AR288:AT288"/>
    <mergeCell ref="AU288:AW288"/>
    <mergeCell ref="AG290:AJ290"/>
    <mergeCell ref="AK290:AN290"/>
    <mergeCell ref="AO290:AQ290"/>
    <mergeCell ref="AR290:AT290"/>
    <mergeCell ref="AG285:AJ285"/>
    <mergeCell ref="AK285:AN285"/>
    <mergeCell ref="AO285:AQ285"/>
    <mergeCell ref="AR285:AT285"/>
    <mergeCell ref="AU285:AW285"/>
    <mergeCell ref="AG286:AJ286"/>
    <mergeCell ref="AK286:AN286"/>
    <mergeCell ref="AO286:AQ286"/>
    <mergeCell ref="AR286:AT286"/>
    <mergeCell ref="AU286:AW286"/>
    <mergeCell ref="AG283:AJ283"/>
    <mergeCell ref="AK283:AN283"/>
    <mergeCell ref="AO283:AQ283"/>
    <mergeCell ref="AR283:AT283"/>
    <mergeCell ref="AU283:AW283"/>
    <mergeCell ref="AG284:AJ284"/>
    <mergeCell ref="AK284:AN284"/>
    <mergeCell ref="AO284:AQ284"/>
    <mergeCell ref="AR284:AT284"/>
    <mergeCell ref="AU284:AW284"/>
    <mergeCell ref="AG281:AJ281"/>
    <mergeCell ref="AK281:AN281"/>
    <mergeCell ref="AO281:AQ281"/>
    <mergeCell ref="AR281:AT281"/>
    <mergeCell ref="AU281:AW281"/>
    <mergeCell ref="AG282:AJ282"/>
    <mergeCell ref="AK282:AN282"/>
    <mergeCell ref="AO282:AQ282"/>
    <mergeCell ref="AR282:AT282"/>
    <mergeCell ref="AU282:AW282"/>
    <mergeCell ref="AG279:AJ279"/>
    <mergeCell ref="AK279:AN279"/>
    <mergeCell ref="AO279:AQ279"/>
    <mergeCell ref="AR279:AT279"/>
    <mergeCell ref="AU279:AW279"/>
    <mergeCell ref="AG280:AJ280"/>
    <mergeCell ref="AK280:AN280"/>
    <mergeCell ref="AO280:AQ280"/>
    <mergeCell ref="AR280:AT280"/>
    <mergeCell ref="AU280:AW280"/>
    <mergeCell ref="AG277:AJ277"/>
    <mergeCell ref="AK277:AN277"/>
    <mergeCell ref="AO277:AQ277"/>
    <mergeCell ref="AR277:AT277"/>
    <mergeCell ref="AU277:AW277"/>
    <mergeCell ref="AG278:AJ278"/>
    <mergeCell ref="AK278:AN278"/>
    <mergeCell ref="AO278:AQ278"/>
    <mergeCell ref="AR278:AT278"/>
    <mergeCell ref="AU278:AW278"/>
    <mergeCell ref="AG275:AJ275"/>
    <mergeCell ref="AK275:AN275"/>
    <mergeCell ref="AO275:AQ275"/>
    <mergeCell ref="AR275:AT275"/>
    <mergeCell ref="AU275:AW275"/>
    <mergeCell ref="AG276:AJ276"/>
    <mergeCell ref="AK276:AN276"/>
    <mergeCell ref="AO276:AQ276"/>
    <mergeCell ref="AR276:AT276"/>
    <mergeCell ref="AU276:AW276"/>
    <mergeCell ref="AG273:AJ273"/>
    <mergeCell ref="AK273:AN273"/>
    <mergeCell ref="AO273:AQ273"/>
    <mergeCell ref="AR273:AT273"/>
    <mergeCell ref="AU273:AW273"/>
    <mergeCell ref="AG274:AJ274"/>
    <mergeCell ref="AK274:AN274"/>
    <mergeCell ref="AO274:AQ274"/>
    <mergeCell ref="AR274:AT274"/>
    <mergeCell ref="AU274:AW274"/>
    <mergeCell ref="AG268:AJ268"/>
    <mergeCell ref="AK268:AN268"/>
    <mergeCell ref="AO268:AQ268"/>
    <mergeCell ref="AR268:AT268"/>
    <mergeCell ref="AG269:AJ269"/>
    <mergeCell ref="AK269:AN269"/>
    <mergeCell ref="AO269:AQ269"/>
    <mergeCell ref="AR269:AT269"/>
    <mergeCell ref="AG270:AJ270"/>
    <mergeCell ref="AK270:AN270"/>
    <mergeCell ref="AO270:AQ270"/>
    <mergeCell ref="AR270:AT270"/>
    <mergeCell ref="AG265:AJ265"/>
    <mergeCell ref="AK265:AN265"/>
    <mergeCell ref="AO265:AQ265"/>
    <mergeCell ref="AR265:AT265"/>
    <mergeCell ref="AG266:AJ266"/>
    <mergeCell ref="AK266:AN266"/>
    <mergeCell ref="AO266:AQ266"/>
    <mergeCell ref="AR266:AT266"/>
    <mergeCell ref="AG267:AJ267"/>
    <mergeCell ref="AK267:AN267"/>
    <mergeCell ref="AO267:AQ267"/>
    <mergeCell ref="AR267:AT267"/>
    <mergeCell ref="AG262:AJ262"/>
    <mergeCell ref="AK262:AN262"/>
    <mergeCell ref="AO262:AQ262"/>
    <mergeCell ref="AR262:AT262"/>
    <mergeCell ref="AG263:AJ263"/>
    <mergeCell ref="AK263:AN263"/>
    <mergeCell ref="AO263:AQ263"/>
    <mergeCell ref="AR263:AT263"/>
    <mergeCell ref="AG264:AJ264"/>
    <mergeCell ref="AK264:AN264"/>
    <mergeCell ref="AO264:AQ264"/>
    <mergeCell ref="AR264:AT264"/>
    <mergeCell ref="AG259:AJ259"/>
    <mergeCell ref="AK259:AN259"/>
    <mergeCell ref="AO259:AQ259"/>
    <mergeCell ref="AR259:AT259"/>
    <mergeCell ref="AU259:AW259"/>
    <mergeCell ref="AG261:AJ261"/>
    <mergeCell ref="AK261:AN261"/>
    <mergeCell ref="AO261:AQ261"/>
    <mergeCell ref="AR261:AT261"/>
    <mergeCell ref="AG256:AJ256"/>
    <mergeCell ref="AK256:AN256"/>
    <mergeCell ref="AO256:AQ256"/>
    <mergeCell ref="AR256:AT256"/>
    <mergeCell ref="AU256:AW256"/>
    <mergeCell ref="AG257:AJ257"/>
    <mergeCell ref="AK257:AN257"/>
    <mergeCell ref="AO257:AQ257"/>
    <mergeCell ref="AR257:AT257"/>
    <mergeCell ref="AU257:AW257"/>
    <mergeCell ref="AG254:AJ254"/>
    <mergeCell ref="AK254:AN254"/>
    <mergeCell ref="AO254:AQ254"/>
    <mergeCell ref="AR254:AT254"/>
    <mergeCell ref="AU254:AW254"/>
    <mergeCell ref="AG255:AJ255"/>
    <mergeCell ref="AK255:AN255"/>
    <mergeCell ref="AO255:AQ255"/>
    <mergeCell ref="AR255:AT255"/>
    <mergeCell ref="AU255:AW255"/>
    <mergeCell ref="AG252:AJ252"/>
    <mergeCell ref="AK252:AN252"/>
    <mergeCell ref="AO252:AQ252"/>
    <mergeCell ref="AR252:AT252"/>
    <mergeCell ref="AU252:AW252"/>
    <mergeCell ref="AG253:AJ253"/>
    <mergeCell ref="AK253:AN253"/>
    <mergeCell ref="AO253:AQ253"/>
    <mergeCell ref="AR253:AT253"/>
    <mergeCell ref="AU253:AW253"/>
    <mergeCell ref="AG250:AJ250"/>
    <mergeCell ref="AK250:AN250"/>
    <mergeCell ref="AO250:AQ250"/>
    <mergeCell ref="AR250:AT250"/>
    <mergeCell ref="AU250:AW250"/>
    <mergeCell ref="AG251:AJ251"/>
    <mergeCell ref="AK251:AN251"/>
    <mergeCell ref="AO251:AQ251"/>
    <mergeCell ref="AR251:AT251"/>
    <mergeCell ref="AU251:AW251"/>
    <mergeCell ref="AG248:AJ248"/>
    <mergeCell ref="AK248:AN248"/>
    <mergeCell ref="AO248:AQ248"/>
    <mergeCell ref="AR248:AT248"/>
    <mergeCell ref="AU248:AW248"/>
    <mergeCell ref="AG249:AJ249"/>
    <mergeCell ref="AK249:AN249"/>
    <mergeCell ref="AO249:AQ249"/>
    <mergeCell ref="AR249:AT249"/>
    <mergeCell ref="AU249:AW249"/>
    <mergeCell ref="AG246:AJ246"/>
    <mergeCell ref="AK246:AN246"/>
    <mergeCell ref="AO246:AQ246"/>
    <mergeCell ref="AR246:AT246"/>
    <mergeCell ref="AU246:AW246"/>
    <mergeCell ref="AG247:AJ247"/>
    <mergeCell ref="AK247:AN247"/>
    <mergeCell ref="AO247:AQ247"/>
    <mergeCell ref="AR247:AT247"/>
    <mergeCell ref="AU247:AW247"/>
    <mergeCell ref="AG244:AJ244"/>
    <mergeCell ref="AK244:AN244"/>
    <mergeCell ref="AO244:AQ244"/>
    <mergeCell ref="AR244:AT244"/>
    <mergeCell ref="AU244:AW244"/>
    <mergeCell ref="AG245:AJ245"/>
    <mergeCell ref="AK245:AN245"/>
    <mergeCell ref="AO245:AQ245"/>
    <mergeCell ref="AR245:AT245"/>
    <mergeCell ref="AU245:AW245"/>
    <mergeCell ref="AG239:AJ239"/>
    <mergeCell ref="AK239:AN239"/>
    <mergeCell ref="AO239:AQ239"/>
    <mergeCell ref="AR239:AT239"/>
    <mergeCell ref="AG240:AJ240"/>
    <mergeCell ref="AK240:AN240"/>
    <mergeCell ref="AO240:AQ240"/>
    <mergeCell ref="AR240:AT240"/>
    <mergeCell ref="AG241:AJ241"/>
    <mergeCell ref="AK241:AN241"/>
    <mergeCell ref="AO241:AQ241"/>
    <mergeCell ref="AR241:AT241"/>
    <mergeCell ref="AG236:AJ236"/>
    <mergeCell ref="AK236:AN236"/>
    <mergeCell ref="AO236:AQ236"/>
    <mergeCell ref="AR236:AT236"/>
    <mergeCell ref="AG237:AJ237"/>
    <mergeCell ref="AK237:AN237"/>
    <mergeCell ref="AO237:AQ237"/>
    <mergeCell ref="AR237:AT237"/>
    <mergeCell ref="AG238:AJ238"/>
    <mergeCell ref="AK238:AN238"/>
    <mergeCell ref="AO238:AQ238"/>
    <mergeCell ref="AR238:AT238"/>
    <mergeCell ref="AG233:AJ233"/>
    <mergeCell ref="AK233:AN233"/>
    <mergeCell ref="AO233:AQ233"/>
    <mergeCell ref="AR233:AT233"/>
    <mergeCell ref="AG234:AJ234"/>
    <mergeCell ref="AK234:AN234"/>
    <mergeCell ref="AO234:AQ234"/>
    <mergeCell ref="AR234:AT234"/>
    <mergeCell ref="AG235:AJ235"/>
    <mergeCell ref="AK235:AN235"/>
    <mergeCell ref="AO235:AQ235"/>
    <mergeCell ref="AR235:AT235"/>
    <mergeCell ref="AG230:AJ230"/>
    <mergeCell ref="AK230:AN230"/>
    <mergeCell ref="AO230:AQ230"/>
    <mergeCell ref="AR230:AT230"/>
    <mergeCell ref="AU230:AW230"/>
    <mergeCell ref="AG232:AJ232"/>
    <mergeCell ref="AK232:AN232"/>
    <mergeCell ref="AO232:AQ232"/>
    <mergeCell ref="AR232:AT232"/>
    <mergeCell ref="AG227:AJ227"/>
    <mergeCell ref="AK227:AN227"/>
    <mergeCell ref="AO227:AQ227"/>
    <mergeCell ref="AR227:AT227"/>
    <mergeCell ref="AU227:AW227"/>
    <mergeCell ref="AG228:AJ228"/>
    <mergeCell ref="AK228:AN228"/>
    <mergeCell ref="AO228:AQ228"/>
    <mergeCell ref="AR228:AT228"/>
    <mergeCell ref="AU228:AW228"/>
    <mergeCell ref="AG225:AJ225"/>
    <mergeCell ref="AK225:AN225"/>
    <mergeCell ref="AO225:AQ225"/>
    <mergeCell ref="AR225:AT225"/>
    <mergeCell ref="AU225:AW225"/>
    <mergeCell ref="AG226:AJ226"/>
    <mergeCell ref="AK226:AN226"/>
    <mergeCell ref="AO226:AQ226"/>
    <mergeCell ref="AR226:AT226"/>
    <mergeCell ref="AU226:AW226"/>
    <mergeCell ref="AG223:AJ223"/>
    <mergeCell ref="AK223:AN223"/>
    <mergeCell ref="AO223:AQ223"/>
    <mergeCell ref="AR223:AT223"/>
    <mergeCell ref="AU223:AW223"/>
    <mergeCell ref="AG224:AJ224"/>
    <mergeCell ref="AK224:AN224"/>
    <mergeCell ref="AO224:AQ224"/>
    <mergeCell ref="AR224:AT224"/>
    <mergeCell ref="AU224:AW224"/>
    <mergeCell ref="AG221:AJ221"/>
    <mergeCell ref="AK221:AN221"/>
    <mergeCell ref="AO221:AQ221"/>
    <mergeCell ref="AR221:AT221"/>
    <mergeCell ref="AU221:AW221"/>
    <mergeCell ref="AG222:AJ222"/>
    <mergeCell ref="AK222:AN222"/>
    <mergeCell ref="AO222:AQ222"/>
    <mergeCell ref="AR222:AT222"/>
    <mergeCell ref="AU222:AW222"/>
    <mergeCell ref="AG219:AJ219"/>
    <mergeCell ref="AK219:AN219"/>
    <mergeCell ref="AO219:AQ219"/>
    <mergeCell ref="AR219:AT219"/>
    <mergeCell ref="AU219:AW219"/>
    <mergeCell ref="AG220:AJ220"/>
    <mergeCell ref="AK220:AN220"/>
    <mergeCell ref="AO220:AQ220"/>
    <mergeCell ref="AR220:AT220"/>
    <mergeCell ref="AU220:AW220"/>
    <mergeCell ref="AG217:AJ217"/>
    <mergeCell ref="AK217:AN217"/>
    <mergeCell ref="AO217:AQ217"/>
    <mergeCell ref="AR217:AT217"/>
    <mergeCell ref="AU217:AW217"/>
    <mergeCell ref="AG218:AJ218"/>
    <mergeCell ref="AK218:AN218"/>
    <mergeCell ref="AO218:AQ218"/>
    <mergeCell ref="AR218:AT218"/>
    <mergeCell ref="AU218:AW218"/>
    <mergeCell ref="AU215:AW215"/>
    <mergeCell ref="AG216:AJ216"/>
    <mergeCell ref="AK216:AN216"/>
    <mergeCell ref="AO216:AQ216"/>
    <mergeCell ref="AR216:AT216"/>
    <mergeCell ref="AU216:AW216"/>
    <mergeCell ref="AG210:AJ210"/>
    <mergeCell ref="AK210:AN210"/>
    <mergeCell ref="AO210:AQ210"/>
    <mergeCell ref="AR210:AT210"/>
    <mergeCell ref="AG211:AJ211"/>
    <mergeCell ref="AK211:AN211"/>
    <mergeCell ref="AO211:AQ211"/>
    <mergeCell ref="AR211:AT211"/>
    <mergeCell ref="AG212:AJ212"/>
    <mergeCell ref="AK212:AN212"/>
    <mergeCell ref="AO212:AQ212"/>
    <mergeCell ref="AR212:AT212"/>
    <mergeCell ref="AG209:AJ209"/>
    <mergeCell ref="AK209:AN209"/>
    <mergeCell ref="AO209:AQ209"/>
    <mergeCell ref="AR209:AT209"/>
    <mergeCell ref="AG204:AJ204"/>
    <mergeCell ref="AK204:AN204"/>
    <mergeCell ref="AO204:AQ204"/>
    <mergeCell ref="AR204:AT204"/>
    <mergeCell ref="AG205:AJ205"/>
    <mergeCell ref="AK205:AN205"/>
    <mergeCell ref="AO205:AQ205"/>
    <mergeCell ref="AR205:AT205"/>
    <mergeCell ref="AG206:AJ206"/>
    <mergeCell ref="AK206:AN206"/>
    <mergeCell ref="AO206:AQ206"/>
    <mergeCell ref="AR206:AT206"/>
    <mergeCell ref="AG215:AJ215"/>
    <mergeCell ref="AK215:AN215"/>
    <mergeCell ref="AO215:AQ215"/>
    <mergeCell ref="AR215:AT215"/>
    <mergeCell ref="AG119:AJ119"/>
    <mergeCell ref="AR116:AT116"/>
    <mergeCell ref="AG207:AJ207"/>
    <mergeCell ref="AK207:AN207"/>
    <mergeCell ref="AO207:AQ207"/>
    <mergeCell ref="AR207:AT207"/>
    <mergeCell ref="AG208:AJ208"/>
    <mergeCell ref="AK208:AN208"/>
    <mergeCell ref="AO208:AQ208"/>
    <mergeCell ref="AR208:AT208"/>
    <mergeCell ref="AK119:AN119"/>
    <mergeCell ref="AO119:AQ119"/>
    <mergeCell ref="AR119:AT119"/>
    <mergeCell ref="AK120:AN120"/>
    <mergeCell ref="AO120:AQ120"/>
    <mergeCell ref="AR120:AT120"/>
    <mergeCell ref="AK121:AN121"/>
    <mergeCell ref="AO121:AQ121"/>
    <mergeCell ref="AR121:AT121"/>
    <mergeCell ref="AG120:AJ120"/>
    <mergeCell ref="AG121:AJ121"/>
    <mergeCell ref="AG122:AJ122"/>
    <mergeCell ref="AG123:AJ123"/>
    <mergeCell ref="AG124:AJ124"/>
    <mergeCell ref="AG130:AJ130"/>
    <mergeCell ref="AK117:AN117"/>
    <mergeCell ref="AO117:AQ117"/>
    <mergeCell ref="AR117:AT117"/>
    <mergeCell ref="AK118:AN118"/>
    <mergeCell ref="AO118:AQ118"/>
    <mergeCell ref="AO130:AQ130"/>
    <mergeCell ref="AR130:AT130"/>
    <mergeCell ref="AK95:AN95"/>
    <mergeCell ref="AO95:AQ95"/>
    <mergeCell ref="AR95:AT95"/>
    <mergeCell ref="AG201:AJ201"/>
    <mergeCell ref="AK201:AN201"/>
    <mergeCell ref="AO201:AQ201"/>
    <mergeCell ref="AR201:AT201"/>
    <mergeCell ref="AU201:AW201"/>
    <mergeCell ref="AG203:AJ203"/>
    <mergeCell ref="AK203:AN203"/>
    <mergeCell ref="AO203:AQ203"/>
    <mergeCell ref="AR203:AT203"/>
    <mergeCell ref="AK101:AN101"/>
    <mergeCell ref="AO101:AQ101"/>
    <mergeCell ref="AR101:AT101"/>
    <mergeCell ref="AG102:AJ102"/>
    <mergeCell ref="AK102:AN102"/>
    <mergeCell ref="AO102:AQ102"/>
    <mergeCell ref="AR102:AT102"/>
    <mergeCell ref="AK106:AN106"/>
    <mergeCell ref="AO106:AQ106"/>
    <mergeCell ref="AR106:AT106"/>
    <mergeCell ref="AK103:AN103"/>
    <mergeCell ref="AO103:AQ103"/>
    <mergeCell ref="AR103:AT103"/>
    <mergeCell ref="AG104:AJ104"/>
    <mergeCell ref="AK104:AN104"/>
    <mergeCell ref="AO104:AQ104"/>
    <mergeCell ref="AR104:AT104"/>
    <mergeCell ref="AG105:AJ105"/>
    <mergeCell ref="AK105:AN105"/>
    <mergeCell ref="AO105:AQ105"/>
    <mergeCell ref="AU75:AV75"/>
    <mergeCell ref="AG76:AJ76"/>
    <mergeCell ref="AK76:AN76"/>
    <mergeCell ref="AO76:AQ76"/>
    <mergeCell ref="AR76:AT76"/>
    <mergeCell ref="AG77:AJ77"/>
    <mergeCell ref="AK77:AN77"/>
    <mergeCell ref="AO77:AQ77"/>
    <mergeCell ref="AR77:AT77"/>
    <mergeCell ref="AG75:AJ75"/>
    <mergeCell ref="AK75:AN75"/>
    <mergeCell ref="AO75:AQ75"/>
    <mergeCell ref="AR75:AT75"/>
    <mergeCell ref="AG78:AJ78"/>
    <mergeCell ref="AK78:AN78"/>
    <mergeCell ref="AO78:AQ78"/>
    <mergeCell ref="AR78:AT78"/>
    <mergeCell ref="AK96:AN96"/>
    <mergeCell ref="AO96:AQ96"/>
    <mergeCell ref="AR96:AT96"/>
    <mergeCell ref="AG97:AJ97"/>
    <mergeCell ref="AG118:AJ118"/>
    <mergeCell ref="AK97:AN97"/>
    <mergeCell ref="AO97:AQ97"/>
    <mergeCell ref="AR97:AT97"/>
    <mergeCell ref="AG117:AJ117"/>
    <mergeCell ref="AR118:AT118"/>
    <mergeCell ref="AK98:AN98"/>
    <mergeCell ref="AO98:AQ98"/>
    <mergeCell ref="AR98:AT98"/>
    <mergeCell ref="AG99:AJ99"/>
    <mergeCell ref="AK99:AN99"/>
    <mergeCell ref="AO99:AQ99"/>
    <mergeCell ref="AR99:AT99"/>
    <mergeCell ref="AK100:AN100"/>
    <mergeCell ref="AO100:AQ100"/>
    <mergeCell ref="AR100:AT100"/>
    <mergeCell ref="AO113:AQ113"/>
    <mergeCell ref="AR105:AT105"/>
    <mergeCell ref="P78:R78"/>
    <mergeCell ref="S78:U78"/>
    <mergeCell ref="P75:R75"/>
    <mergeCell ref="H74:J74"/>
    <mergeCell ref="S74:W74"/>
    <mergeCell ref="AG100:AJ100"/>
    <mergeCell ref="AG103:AJ103"/>
    <mergeCell ref="AG106:AJ106"/>
    <mergeCell ref="S92:U92"/>
    <mergeCell ref="H96:K96"/>
    <mergeCell ref="H98:K98"/>
    <mergeCell ref="H99:K99"/>
    <mergeCell ref="H100:K100"/>
    <mergeCell ref="H101:K101"/>
    <mergeCell ref="H102:K102"/>
    <mergeCell ref="H103:K103"/>
    <mergeCell ref="AG98:AJ98"/>
    <mergeCell ref="AG101:AJ101"/>
    <mergeCell ref="L75:O75"/>
    <mergeCell ref="H77:K77"/>
    <mergeCell ref="AE83:AF83"/>
    <mergeCell ref="AG83:AJ83"/>
    <mergeCell ref="AG95:AJ95"/>
    <mergeCell ref="AG92:AJ92"/>
    <mergeCell ref="AG96:AJ96"/>
    <mergeCell ref="AG93:AJ93"/>
    <mergeCell ref="P95:R95"/>
    <mergeCell ref="S95:U95"/>
    <mergeCell ref="P101:R101"/>
    <mergeCell ref="S101:U101"/>
    <mergeCell ref="H94:K94"/>
    <mergeCell ref="L94:O94"/>
    <mergeCell ref="AL20:AO21"/>
    <mergeCell ref="P76:R76"/>
    <mergeCell ref="S76:U76"/>
    <mergeCell ref="H25:J25"/>
    <mergeCell ref="H27:N27"/>
    <mergeCell ref="H28:N28"/>
    <mergeCell ref="H30:J30"/>
    <mergeCell ref="H31:J31"/>
    <mergeCell ref="L77:O77"/>
    <mergeCell ref="P77:R77"/>
    <mergeCell ref="S77:U77"/>
    <mergeCell ref="C67:L68"/>
    <mergeCell ref="Q64:X64"/>
    <mergeCell ref="V52:W52"/>
    <mergeCell ref="P50:R50"/>
    <mergeCell ref="S50:U50"/>
    <mergeCell ref="V50:W50"/>
    <mergeCell ref="H54:K54"/>
    <mergeCell ref="L54:O54"/>
    <mergeCell ref="P54:R54"/>
    <mergeCell ref="S54:U54"/>
    <mergeCell ref="H56:K56"/>
    <mergeCell ref="L56:O56"/>
    <mergeCell ref="P56:R56"/>
    <mergeCell ref="S56:U56"/>
    <mergeCell ref="H52:K52"/>
    <mergeCell ref="AO44:AQ44"/>
    <mergeCell ref="Q3:X3"/>
    <mergeCell ref="Q4:X4"/>
    <mergeCell ref="Q5:X5"/>
    <mergeCell ref="Q6:X6"/>
    <mergeCell ref="Q7:X7"/>
    <mergeCell ref="AR47:AT47"/>
    <mergeCell ref="AR26:AT26"/>
    <mergeCell ref="AR27:AT27"/>
    <mergeCell ref="AR28:AT28"/>
    <mergeCell ref="H37:J37"/>
    <mergeCell ref="H38:J38"/>
    <mergeCell ref="H39:J39"/>
    <mergeCell ref="AG30:AI30"/>
    <mergeCell ref="AJ30:AM30"/>
    <mergeCell ref="AG31:AI31"/>
    <mergeCell ref="L46:O46"/>
    <mergeCell ref="S46:U46"/>
    <mergeCell ref="L43:U43"/>
    <mergeCell ref="V44:W44"/>
    <mergeCell ref="AG47:AJ47"/>
    <mergeCell ref="AK47:AN47"/>
    <mergeCell ref="AO47:AQ47"/>
    <mergeCell ref="AP20:AS21"/>
    <mergeCell ref="AG17:AK17"/>
    <mergeCell ref="AL17:AO17"/>
    <mergeCell ref="AP17:AS17"/>
    <mergeCell ref="AG18:AK18"/>
    <mergeCell ref="AL18:AO18"/>
    <mergeCell ref="AG19:AK19"/>
    <mergeCell ref="AL19:AO19"/>
    <mergeCell ref="AP19:AS19"/>
    <mergeCell ref="AG20:AK21"/>
    <mergeCell ref="AP18:AS18"/>
    <mergeCell ref="S28:U28"/>
    <mergeCell ref="S25:U25"/>
    <mergeCell ref="S26:U26"/>
    <mergeCell ref="S27:U27"/>
    <mergeCell ref="Q19:T19"/>
    <mergeCell ref="U20:W21"/>
    <mergeCell ref="AG28:AM28"/>
    <mergeCell ref="AR25:AT25"/>
    <mergeCell ref="AT20:AV21"/>
    <mergeCell ref="AG25:AI25"/>
    <mergeCell ref="AG26:AM26"/>
    <mergeCell ref="AG27:AM27"/>
    <mergeCell ref="S75:U75"/>
    <mergeCell ref="H75:K75"/>
    <mergeCell ref="V75:W75"/>
    <mergeCell ref="H76:K76"/>
    <mergeCell ref="L76:O76"/>
    <mergeCell ref="AU44:AV44"/>
    <mergeCell ref="AG45:AJ45"/>
    <mergeCell ref="AK45:AN45"/>
    <mergeCell ref="AO45:AQ45"/>
    <mergeCell ref="AR45:AT45"/>
    <mergeCell ref="AG46:AJ46"/>
    <mergeCell ref="AK46:AN46"/>
    <mergeCell ref="AO46:AQ46"/>
    <mergeCell ref="AR46:AT46"/>
    <mergeCell ref="AG43:AJ44"/>
    <mergeCell ref="L52:O52"/>
    <mergeCell ref="P52:R52"/>
    <mergeCell ref="L55:O55"/>
    <mergeCell ref="P55:R55"/>
    <mergeCell ref="M14:P14"/>
    <mergeCell ref="Q14:T14"/>
    <mergeCell ref="H15:L15"/>
    <mergeCell ref="M15:P15"/>
    <mergeCell ref="P44:R44"/>
    <mergeCell ref="P45:R45"/>
    <mergeCell ref="P46:R46"/>
    <mergeCell ref="Q15:T15"/>
    <mergeCell ref="H16:L16"/>
    <mergeCell ref="M16:P16"/>
    <mergeCell ref="Q16:T16"/>
    <mergeCell ref="H18:L18"/>
    <mergeCell ref="M18:P18"/>
    <mergeCell ref="Q18:T18"/>
    <mergeCell ref="H19:L19"/>
    <mergeCell ref="Q17:T17"/>
    <mergeCell ref="M19:P19"/>
    <mergeCell ref="H17:L17"/>
    <mergeCell ref="M17:P17"/>
    <mergeCell ref="H26:N26"/>
    <mergeCell ref="H46:K46"/>
    <mergeCell ref="S44:U44"/>
    <mergeCell ref="L45:O45"/>
    <mergeCell ref="S45:U45"/>
    <mergeCell ref="H36:J36"/>
    <mergeCell ref="H20:L21"/>
    <mergeCell ref="M20:P21"/>
    <mergeCell ref="Q20:T21"/>
    <mergeCell ref="T36:U36"/>
    <mergeCell ref="T37:U37"/>
    <mergeCell ref="T38:U38"/>
    <mergeCell ref="T39:U39"/>
    <mergeCell ref="C2:J5"/>
    <mergeCell ref="C6:L7"/>
    <mergeCell ref="AK116:AN116"/>
    <mergeCell ref="AO116:AQ116"/>
    <mergeCell ref="AG116:AJ116"/>
    <mergeCell ref="AG36:AI36"/>
    <mergeCell ref="AG37:AI37"/>
    <mergeCell ref="AG38:AI38"/>
    <mergeCell ref="AG39:AI39"/>
    <mergeCell ref="AB2:AI5"/>
    <mergeCell ref="AB6:AK7"/>
    <mergeCell ref="L44:O44"/>
    <mergeCell ref="H43:K44"/>
    <mergeCell ref="H45:K45"/>
    <mergeCell ref="Q65:X65"/>
    <mergeCell ref="Q66:X66"/>
    <mergeCell ref="Q67:X67"/>
    <mergeCell ref="C63:J66"/>
    <mergeCell ref="Q68:X68"/>
    <mergeCell ref="L103:O103"/>
    <mergeCell ref="P103:R103"/>
    <mergeCell ref="S103:U103"/>
    <mergeCell ref="AG14:AK14"/>
    <mergeCell ref="AL14:AO14"/>
    <mergeCell ref="AP14:AS14"/>
    <mergeCell ref="AG15:AK15"/>
    <mergeCell ref="AL15:AO15"/>
    <mergeCell ref="AP15:AS15"/>
    <mergeCell ref="AG16:AK16"/>
    <mergeCell ref="AL16:AO16"/>
    <mergeCell ref="AP16:AS16"/>
    <mergeCell ref="H14:L14"/>
    <mergeCell ref="AR44:AT44"/>
    <mergeCell ref="L47:O47"/>
    <mergeCell ref="S47:U47"/>
    <mergeCell ref="H47:K47"/>
    <mergeCell ref="S52:U52"/>
    <mergeCell ref="H53:K53"/>
    <mergeCell ref="L53:O53"/>
    <mergeCell ref="P53:R53"/>
    <mergeCell ref="S53:U53"/>
    <mergeCell ref="H55:K55"/>
    <mergeCell ref="AG139:AJ139"/>
    <mergeCell ref="AK139:AN139"/>
    <mergeCell ref="AO139:AQ139"/>
    <mergeCell ref="AR139:AT139"/>
    <mergeCell ref="AG125:AJ125"/>
    <mergeCell ref="AO125:AQ125"/>
    <mergeCell ref="AR125:AT125"/>
    <mergeCell ref="AK125:AN125"/>
    <mergeCell ref="AK122:AN122"/>
    <mergeCell ref="AO122:AQ122"/>
    <mergeCell ref="AG128:AJ128"/>
    <mergeCell ref="AK128:AN128"/>
    <mergeCell ref="AO128:AQ128"/>
    <mergeCell ref="AR128:AT128"/>
    <mergeCell ref="AG129:AJ129"/>
    <mergeCell ref="AK129:AN129"/>
    <mergeCell ref="AO129:AQ129"/>
    <mergeCell ref="AR129:AT129"/>
    <mergeCell ref="S55:U55"/>
    <mergeCell ref="H78:K78"/>
    <mergeCell ref="L78:O78"/>
    <mergeCell ref="AK130:AN130"/>
    <mergeCell ref="AK124:AN124"/>
    <mergeCell ref="AO124:AQ124"/>
    <mergeCell ref="AR124:AT124"/>
    <mergeCell ref="AR122:AT122"/>
    <mergeCell ref="AK123:AN123"/>
    <mergeCell ref="AO123:AQ123"/>
    <mergeCell ref="AR123:AT123"/>
    <mergeCell ref="AG135:AJ135"/>
    <mergeCell ref="AK135:AN135"/>
    <mergeCell ref="AO135:AQ135"/>
    <mergeCell ref="AR135:AT135"/>
    <mergeCell ref="AG136:AJ136"/>
    <mergeCell ref="AK136:AN136"/>
    <mergeCell ref="AO136:AQ136"/>
    <mergeCell ref="AR136:AT136"/>
    <mergeCell ref="AG137:AJ137"/>
    <mergeCell ref="AK137:AN137"/>
    <mergeCell ref="AO137:AQ137"/>
    <mergeCell ref="AR137:AT137"/>
    <mergeCell ref="AG138:AJ138"/>
    <mergeCell ref="AK138:AN138"/>
    <mergeCell ref="AO138:AQ138"/>
    <mergeCell ref="AR138:AT138"/>
    <mergeCell ref="AG131:AJ131"/>
    <mergeCell ref="AK131:AN131"/>
    <mergeCell ref="AO131:AQ131"/>
    <mergeCell ref="AR131:AT131"/>
    <mergeCell ref="AG132:AJ132"/>
    <mergeCell ref="AK132:AN132"/>
    <mergeCell ref="AO132:AQ132"/>
    <mergeCell ref="AR132:AT132"/>
    <mergeCell ref="AG133:AJ133"/>
    <mergeCell ref="AK133:AN133"/>
    <mergeCell ref="AO133:AQ133"/>
    <mergeCell ref="AR133:AT133"/>
    <mergeCell ref="AO134:AQ134"/>
    <mergeCell ref="AR134:AT134"/>
    <mergeCell ref="AU128:AW128"/>
    <mergeCell ref="AG145:AJ145"/>
    <mergeCell ref="AK145:AN145"/>
    <mergeCell ref="AO145:AQ145"/>
    <mergeCell ref="AR145:AT145"/>
    <mergeCell ref="AG146:AJ146"/>
    <mergeCell ref="AK146:AN146"/>
    <mergeCell ref="AO146:AQ146"/>
    <mergeCell ref="AR146:AT146"/>
    <mergeCell ref="AG141:AJ141"/>
    <mergeCell ref="AK141:AN141"/>
    <mergeCell ref="AO141:AQ141"/>
    <mergeCell ref="AR141:AT141"/>
    <mergeCell ref="AU129:AW129"/>
    <mergeCell ref="AU130:AW130"/>
    <mergeCell ref="AU131:AW131"/>
    <mergeCell ref="AU132:AW132"/>
    <mergeCell ref="AU133:AW133"/>
    <mergeCell ref="AU134:AW134"/>
    <mergeCell ref="AU139:AW139"/>
    <mergeCell ref="AU140:AW140"/>
    <mergeCell ref="AU141:AW141"/>
    <mergeCell ref="AG134:AJ134"/>
    <mergeCell ref="AK134:AN134"/>
    <mergeCell ref="AU135:AW135"/>
    <mergeCell ref="AU136:AW136"/>
    <mergeCell ref="AU137:AW137"/>
    <mergeCell ref="AU138:AW138"/>
    <mergeCell ref="AG140:AJ140"/>
    <mergeCell ref="AK140:AN140"/>
    <mergeCell ref="AO140:AQ140"/>
    <mergeCell ref="AR140:AT140"/>
    <mergeCell ref="AG147:AJ147"/>
    <mergeCell ref="AK147:AN147"/>
    <mergeCell ref="AO147:AQ147"/>
    <mergeCell ref="AR147:AT147"/>
    <mergeCell ref="AG148:AJ148"/>
    <mergeCell ref="AK148:AN148"/>
    <mergeCell ref="AO148:AQ148"/>
    <mergeCell ref="AR148:AT148"/>
    <mergeCell ref="AG149:AJ149"/>
    <mergeCell ref="AK149:AN149"/>
    <mergeCell ref="AO149:AQ149"/>
    <mergeCell ref="AR149:AT149"/>
    <mergeCell ref="AG150:AJ150"/>
    <mergeCell ref="AK150:AN150"/>
    <mergeCell ref="AO150:AQ150"/>
    <mergeCell ref="AR150:AT150"/>
    <mergeCell ref="AG151:AJ151"/>
    <mergeCell ref="AK151:AN151"/>
    <mergeCell ref="AO151:AQ151"/>
    <mergeCell ref="AR151:AT151"/>
    <mergeCell ref="AG152:AJ152"/>
    <mergeCell ref="AK152:AN152"/>
    <mergeCell ref="AO152:AQ152"/>
    <mergeCell ref="AR152:AT152"/>
    <mergeCell ref="AU157:AW157"/>
    <mergeCell ref="AG158:AJ158"/>
    <mergeCell ref="AK158:AN158"/>
    <mergeCell ref="AO158:AQ158"/>
    <mergeCell ref="AR158:AT158"/>
    <mergeCell ref="AU158:AW158"/>
    <mergeCell ref="AG159:AJ159"/>
    <mergeCell ref="AK159:AN159"/>
    <mergeCell ref="AO159:AQ159"/>
    <mergeCell ref="AR159:AT159"/>
    <mergeCell ref="AU159:AW159"/>
    <mergeCell ref="AG157:AJ157"/>
    <mergeCell ref="AK157:AN157"/>
    <mergeCell ref="AO157:AQ157"/>
    <mergeCell ref="AR157:AT157"/>
    <mergeCell ref="AG153:AJ153"/>
    <mergeCell ref="AK153:AN153"/>
    <mergeCell ref="AO153:AQ153"/>
    <mergeCell ref="AR153:AT153"/>
    <mergeCell ref="AG154:AJ154"/>
    <mergeCell ref="AK154:AN154"/>
    <mergeCell ref="AO154:AQ154"/>
    <mergeCell ref="AR154:AT154"/>
    <mergeCell ref="AU165:AW165"/>
    <mergeCell ref="AU166:AW166"/>
    <mergeCell ref="AO163:AQ163"/>
    <mergeCell ref="AR163:AT163"/>
    <mergeCell ref="AG164:AJ164"/>
    <mergeCell ref="AK164:AN164"/>
    <mergeCell ref="AO164:AQ164"/>
    <mergeCell ref="AR164:AT164"/>
    <mergeCell ref="AG162:AJ162"/>
    <mergeCell ref="AK162:AN162"/>
    <mergeCell ref="AU160:AW160"/>
    <mergeCell ref="AG161:AJ161"/>
    <mergeCell ref="AK161:AN161"/>
    <mergeCell ref="AO161:AQ161"/>
    <mergeCell ref="AR161:AT161"/>
    <mergeCell ref="AU161:AW161"/>
    <mergeCell ref="AG168:AJ168"/>
    <mergeCell ref="AK168:AN168"/>
    <mergeCell ref="AO168:AQ168"/>
    <mergeCell ref="AR168:AT168"/>
    <mergeCell ref="AG160:AJ160"/>
    <mergeCell ref="AK160:AN160"/>
    <mergeCell ref="AO160:AQ160"/>
    <mergeCell ref="AR160:AT160"/>
    <mergeCell ref="AG176:AJ176"/>
    <mergeCell ref="AK176:AN176"/>
    <mergeCell ref="AO176:AQ176"/>
    <mergeCell ref="AR176:AT176"/>
    <mergeCell ref="AG177:AJ177"/>
    <mergeCell ref="AK177:AN177"/>
    <mergeCell ref="AO177:AQ177"/>
    <mergeCell ref="AR177:AT177"/>
    <mergeCell ref="AG178:AJ178"/>
    <mergeCell ref="AK178:AN178"/>
    <mergeCell ref="AG169:AJ169"/>
    <mergeCell ref="AK169:AN169"/>
    <mergeCell ref="AO169:AQ169"/>
    <mergeCell ref="AR169:AT169"/>
    <mergeCell ref="AU162:AW162"/>
    <mergeCell ref="AG167:AJ167"/>
    <mergeCell ref="AK167:AN167"/>
    <mergeCell ref="AO167:AQ167"/>
    <mergeCell ref="AR167:AT167"/>
    <mergeCell ref="AU167:AW167"/>
    <mergeCell ref="AG165:AJ165"/>
    <mergeCell ref="AK165:AN165"/>
    <mergeCell ref="AO165:AQ165"/>
    <mergeCell ref="AR165:AT165"/>
    <mergeCell ref="AG166:AJ166"/>
    <mergeCell ref="AK166:AN166"/>
    <mergeCell ref="AO166:AQ166"/>
    <mergeCell ref="AR166:AT166"/>
    <mergeCell ref="AG163:AJ163"/>
    <mergeCell ref="AK163:AN163"/>
    <mergeCell ref="AU163:AW163"/>
    <mergeCell ref="AU164:AW164"/>
    <mergeCell ref="AG170:AJ170"/>
    <mergeCell ref="AK170:AN170"/>
    <mergeCell ref="AO170:AQ170"/>
    <mergeCell ref="AR170:AT170"/>
    <mergeCell ref="AG174:AJ174"/>
    <mergeCell ref="AK174:AN174"/>
    <mergeCell ref="AO174:AQ174"/>
    <mergeCell ref="AR174:AT174"/>
    <mergeCell ref="AG171:AJ171"/>
    <mergeCell ref="AK171:AN171"/>
    <mergeCell ref="AO171:AQ171"/>
    <mergeCell ref="AR171:AT171"/>
    <mergeCell ref="AG172:AJ172"/>
    <mergeCell ref="AK172:AN172"/>
    <mergeCell ref="AO172:AQ172"/>
    <mergeCell ref="AR172:AT172"/>
    <mergeCell ref="AG175:AJ175"/>
    <mergeCell ref="AK175:AN175"/>
    <mergeCell ref="AO175:AQ175"/>
    <mergeCell ref="AR175:AT175"/>
    <mergeCell ref="AG199:AJ199"/>
    <mergeCell ref="AK199:AN199"/>
    <mergeCell ref="AO199:AQ199"/>
    <mergeCell ref="AR199:AT199"/>
    <mergeCell ref="AG196:AJ196"/>
    <mergeCell ref="AK196:AN196"/>
    <mergeCell ref="AO196:AQ196"/>
    <mergeCell ref="AR196:AT196"/>
    <mergeCell ref="AG197:AJ197"/>
    <mergeCell ref="AK197:AN197"/>
    <mergeCell ref="AO197:AQ197"/>
    <mergeCell ref="AR197:AT197"/>
    <mergeCell ref="AG195:AJ195"/>
    <mergeCell ref="AK195:AN195"/>
    <mergeCell ref="AO195:AQ195"/>
    <mergeCell ref="AR195:AT195"/>
    <mergeCell ref="AK181:AN181"/>
    <mergeCell ref="AO181:AQ181"/>
    <mergeCell ref="AR181:AT181"/>
    <mergeCell ref="AG182:AJ182"/>
    <mergeCell ref="AK182:AN182"/>
    <mergeCell ref="AO182:AQ182"/>
    <mergeCell ref="AO186:AQ186"/>
    <mergeCell ref="AR186:AT186"/>
    <mergeCell ref="AR193:AT193"/>
    <mergeCell ref="AU188:AW188"/>
    <mergeCell ref="AU193:AW193"/>
    <mergeCell ref="AK190:AN190"/>
    <mergeCell ref="AO190:AQ190"/>
    <mergeCell ref="AR190:AT190"/>
    <mergeCell ref="AU190:AW190"/>
    <mergeCell ref="AG191:AJ191"/>
    <mergeCell ref="AK191:AN191"/>
    <mergeCell ref="AO191:AQ191"/>
    <mergeCell ref="AR191:AT191"/>
    <mergeCell ref="AU191:AW191"/>
    <mergeCell ref="AU192:AW192"/>
    <mergeCell ref="AG192:AJ192"/>
    <mergeCell ref="AK192:AN192"/>
    <mergeCell ref="AR182:AT182"/>
    <mergeCell ref="AG183:AJ183"/>
    <mergeCell ref="AK183:AN183"/>
    <mergeCell ref="AO183:AQ183"/>
    <mergeCell ref="AR183:AT183"/>
    <mergeCell ref="AG188:AJ188"/>
    <mergeCell ref="AK188:AN188"/>
    <mergeCell ref="AO188:AQ188"/>
    <mergeCell ref="AR188:AT188"/>
    <mergeCell ref="AG190:AJ190"/>
    <mergeCell ref="AU186:AW186"/>
    <mergeCell ref="AG187:AJ187"/>
    <mergeCell ref="AK187:AN187"/>
    <mergeCell ref="AO187:AQ187"/>
    <mergeCell ref="AR187:AT187"/>
    <mergeCell ref="AU187:AW187"/>
    <mergeCell ref="AK193:AN193"/>
    <mergeCell ref="AO193:AQ193"/>
    <mergeCell ref="AG194:AJ194"/>
    <mergeCell ref="AK194:AN194"/>
    <mergeCell ref="AO194:AQ194"/>
    <mergeCell ref="AR194:AT194"/>
    <mergeCell ref="P98:R98"/>
    <mergeCell ref="S98:U98"/>
    <mergeCell ref="S96:U96"/>
    <mergeCell ref="P97:R97"/>
    <mergeCell ref="S97:U97"/>
    <mergeCell ref="P96:R96"/>
    <mergeCell ref="AG189:AJ189"/>
    <mergeCell ref="AK189:AN189"/>
    <mergeCell ref="AO189:AQ189"/>
    <mergeCell ref="AR189:AT189"/>
    <mergeCell ref="AG186:AJ186"/>
    <mergeCell ref="AK186:AN186"/>
    <mergeCell ref="AR162:AT162"/>
    <mergeCell ref="AO162:AQ162"/>
    <mergeCell ref="AO192:AQ192"/>
    <mergeCell ref="AR192:AT192"/>
    <mergeCell ref="AG193:AJ193"/>
    <mergeCell ref="AG181:AJ181"/>
    <mergeCell ref="AO178:AQ178"/>
    <mergeCell ref="AR178:AT178"/>
    <mergeCell ref="AG179:AJ179"/>
    <mergeCell ref="AK179:AN179"/>
    <mergeCell ref="AO179:AQ179"/>
    <mergeCell ref="AR179:AT179"/>
    <mergeCell ref="AG180:AJ180"/>
    <mergeCell ref="AK180:AN180"/>
    <mergeCell ref="AO180:AQ180"/>
    <mergeCell ref="AR180:AT180"/>
    <mergeCell ref="AS36:AT36"/>
    <mergeCell ref="AS37:AT37"/>
    <mergeCell ref="AS38:AT38"/>
    <mergeCell ref="AS39:AT39"/>
    <mergeCell ref="L102:O102"/>
    <mergeCell ref="P102:R102"/>
    <mergeCell ref="S102:U102"/>
    <mergeCell ref="L101:O101"/>
    <mergeCell ref="H92:K92"/>
    <mergeCell ref="L92:O92"/>
    <mergeCell ref="P92:R92"/>
    <mergeCell ref="L99:O99"/>
    <mergeCell ref="P99:R99"/>
    <mergeCell ref="S99:U99"/>
    <mergeCell ref="L100:O100"/>
    <mergeCell ref="P100:R100"/>
    <mergeCell ref="S100:U100"/>
    <mergeCell ref="V92:W92"/>
    <mergeCell ref="H93:K93"/>
    <mergeCell ref="L93:O93"/>
    <mergeCell ref="P93:R93"/>
    <mergeCell ref="S93:U93"/>
    <mergeCell ref="H97:K97"/>
    <mergeCell ref="H95:K95"/>
    <mergeCell ref="L95:O95"/>
    <mergeCell ref="L96:O96"/>
    <mergeCell ref="L97:O97"/>
    <mergeCell ref="L98:O98"/>
    <mergeCell ref="V83:W83"/>
    <mergeCell ref="P47:R47"/>
    <mergeCell ref="AK43:AT43"/>
    <mergeCell ref="AK44:AN44"/>
    <mergeCell ref="F83:G83"/>
    <mergeCell ref="H83:K83"/>
    <mergeCell ref="L83:O83"/>
    <mergeCell ref="P83:R83"/>
    <mergeCell ref="H84:K84"/>
    <mergeCell ref="H85:K85"/>
    <mergeCell ref="H86:K86"/>
    <mergeCell ref="H87:K87"/>
    <mergeCell ref="L84:O84"/>
    <mergeCell ref="P84:R84"/>
    <mergeCell ref="S84:U84"/>
    <mergeCell ref="L85:O85"/>
    <mergeCell ref="P85:R85"/>
    <mergeCell ref="S85:U85"/>
    <mergeCell ref="L86:O86"/>
    <mergeCell ref="P86:R86"/>
    <mergeCell ref="S86:U86"/>
    <mergeCell ref="L87:O87"/>
    <mergeCell ref="P87:R87"/>
    <mergeCell ref="S87:U87"/>
    <mergeCell ref="S83:U83"/>
    <mergeCell ref="P94:R94"/>
    <mergeCell ref="S94:U94"/>
    <mergeCell ref="AG94:AJ94"/>
    <mergeCell ref="AK94:AN94"/>
    <mergeCell ref="AO94:AQ94"/>
    <mergeCell ref="AR94:AT94"/>
    <mergeCell ref="AK83:AN83"/>
    <mergeCell ref="AO83:AQ83"/>
    <mergeCell ref="AR83:AT83"/>
    <mergeCell ref="AU83:AV83"/>
    <mergeCell ref="AG84:AJ84"/>
    <mergeCell ref="AG85:AJ85"/>
    <mergeCell ref="AG86:AJ86"/>
    <mergeCell ref="AG87:AJ87"/>
    <mergeCell ref="AK84:AN84"/>
    <mergeCell ref="AK85:AN85"/>
    <mergeCell ref="AK86:AN86"/>
    <mergeCell ref="AK87:AN87"/>
    <mergeCell ref="AO84:AQ84"/>
    <mergeCell ref="AO85:AQ85"/>
    <mergeCell ref="AO86:AQ86"/>
    <mergeCell ref="AO87:AQ87"/>
    <mergeCell ref="AU92:AV92"/>
    <mergeCell ref="AO93:AQ93"/>
    <mergeCell ref="AR93:AT93"/>
    <mergeCell ref="AK92:AN92"/>
    <mergeCell ref="AO92:AQ92"/>
    <mergeCell ref="AR92:AT92"/>
    <mergeCell ref="AK93:AN93"/>
    <mergeCell ref="AG346:AJ346"/>
    <mergeCell ref="AK346:AN346"/>
    <mergeCell ref="AO346:AQ346"/>
    <mergeCell ref="AR346:AT346"/>
    <mergeCell ref="AU346:AW346"/>
    <mergeCell ref="AG348:AJ348"/>
    <mergeCell ref="AK348:AN348"/>
    <mergeCell ref="AO348:AQ348"/>
    <mergeCell ref="AR348:AT348"/>
    <mergeCell ref="AG349:AJ349"/>
    <mergeCell ref="AK349:AN349"/>
    <mergeCell ref="AO349:AQ349"/>
    <mergeCell ref="AR349:AT349"/>
    <mergeCell ref="AR84:AT84"/>
    <mergeCell ref="AR85:AT85"/>
    <mergeCell ref="AR86:AT86"/>
    <mergeCell ref="AR87:AT87"/>
    <mergeCell ref="AU199:AW199"/>
    <mergeCell ref="AU198:AW198"/>
    <mergeCell ref="AU197:AW197"/>
    <mergeCell ref="AU196:AW196"/>
    <mergeCell ref="AU172:AW172"/>
    <mergeCell ref="AU170:AW170"/>
    <mergeCell ref="AU169:AW169"/>
    <mergeCell ref="AU168:AW168"/>
    <mergeCell ref="AU189:AW189"/>
    <mergeCell ref="AG198:AJ198"/>
    <mergeCell ref="AK198:AN198"/>
    <mergeCell ref="AO198:AQ198"/>
    <mergeCell ref="AR198:AT198"/>
    <mergeCell ref="AU194:AW194"/>
    <mergeCell ref="AU195:AW195"/>
    <mergeCell ref="AG350:AJ350"/>
    <mergeCell ref="AK350:AN350"/>
    <mergeCell ref="AO350:AQ350"/>
    <mergeCell ref="AR350:AT350"/>
    <mergeCell ref="AG351:AJ351"/>
    <mergeCell ref="AK351:AN351"/>
    <mergeCell ref="AO351:AQ351"/>
    <mergeCell ref="AR351:AT351"/>
    <mergeCell ref="AG352:AJ352"/>
    <mergeCell ref="AK352:AN352"/>
    <mergeCell ref="AO352:AQ352"/>
    <mergeCell ref="AR352:AT352"/>
    <mergeCell ref="AG353:AJ353"/>
    <mergeCell ref="AK353:AN353"/>
    <mergeCell ref="AO353:AQ353"/>
    <mergeCell ref="AR353:AT353"/>
    <mergeCell ref="AG354:AJ354"/>
    <mergeCell ref="AK354:AN354"/>
    <mergeCell ref="AO354:AQ354"/>
    <mergeCell ref="AR354:AT354"/>
    <mergeCell ref="AG355:AJ355"/>
    <mergeCell ref="AK355:AN355"/>
    <mergeCell ref="AO355:AQ355"/>
    <mergeCell ref="AR355:AT355"/>
    <mergeCell ref="AG356:AJ356"/>
    <mergeCell ref="AK356:AN356"/>
    <mergeCell ref="AO356:AQ356"/>
    <mergeCell ref="AR356:AT356"/>
    <mergeCell ref="AG357:AJ357"/>
    <mergeCell ref="AK357:AN357"/>
    <mergeCell ref="AO357:AQ357"/>
    <mergeCell ref="AR357:AT357"/>
    <mergeCell ref="AG360:AJ360"/>
    <mergeCell ref="AK360:AN360"/>
    <mergeCell ref="AO360:AQ360"/>
    <mergeCell ref="AR360:AT360"/>
    <mergeCell ref="AU360:AW360"/>
    <mergeCell ref="AR368:AT368"/>
    <mergeCell ref="AU368:AW368"/>
    <mergeCell ref="AG361:AJ361"/>
    <mergeCell ref="AK361:AN361"/>
    <mergeCell ref="AO361:AQ361"/>
    <mergeCell ref="AR361:AT361"/>
    <mergeCell ref="AU361:AW361"/>
    <mergeCell ref="AG362:AJ362"/>
    <mergeCell ref="AK362:AN362"/>
    <mergeCell ref="AO362:AQ362"/>
    <mergeCell ref="AR362:AT362"/>
    <mergeCell ref="AU362:AW362"/>
    <mergeCell ref="AG363:AJ363"/>
    <mergeCell ref="AK363:AN363"/>
    <mergeCell ref="AO363:AQ363"/>
    <mergeCell ref="AR363:AT363"/>
    <mergeCell ref="AU363:AW363"/>
    <mergeCell ref="AG364:AJ364"/>
    <mergeCell ref="AK364:AN364"/>
    <mergeCell ref="AO364:AQ364"/>
    <mergeCell ref="AR364:AT364"/>
    <mergeCell ref="AU364:AW364"/>
    <mergeCell ref="AK370:AN370"/>
    <mergeCell ref="AO370:AQ370"/>
    <mergeCell ref="AR370:AT370"/>
    <mergeCell ref="AU370:AW370"/>
    <mergeCell ref="AG371:AJ371"/>
    <mergeCell ref="AK371:AN371"/>
    <mergeCell ref="AO371:AQ371"/>
    <mergeCell ref="AR371:AT371"/>
    <mergeCell ref="AU371:AW371"/>
    <mergeCell ref="AG372:AJ372"/>
    <mergeCell ref="AK372:AN372"/>
    <mergeCell ref="AO372:AQ372"/>
    <mergeCell ref="AR372:AT372"/>
    <mergeCell ref="AU372:AW372"/>
    <mergeCell ref="AG365:AJ365"/>
    <mergeCell ref="AK365:AN365"/>
    <mergeCell ref="AO365:AQ365"/>
    <mergeCell ref="AR365:AT365"/>
    <mergeCell ref="AU365:AW365"/>
    <mergeCell ref="AG366:AJ366"/>
    <mergeCell ref="AK366:AN366"/>
    <mergeCell ref="AO366:AQ366"/>
    <mergeCell ref="AR366:AT366"/>
    <mergeCell ref="AU366:AW366"/>
    <mergeCell ref="AG367:AJ367"/>
    <mergeCell ref="AK367:AN367"/>
    <mergeCell ref="AO367:AQ367"/>
    <mergeCell ref="AR367:AT367"/>
    <mergeCell ref="AU367:AW367"/>
    <mergeCell ref="AG368:AJ368"/>
    <mergeCell ref="AK368:AN368"/>
    <mergeCell ref="AO368:AQ368"/>
    <mergeCell ref="AG375:AJ375"/>
    <mergeCell ref="AK375:AN375"/>
    <mergeCell ref="AO375:AQ375"/>
    <mergeCell ref="AR375:AT375"/>
    <mergeCell ref="AU375:AW375"/>
    <mergeCell ref="AG377:AJ377"/>
    <mergeCell ref="AK377:AN377"/>
    <mergeCell ref="AO377:AQ377"/>
    <mergeCell ref="AR377:AT377"/>
    <mergeCell ref="AG373:AJ373"/>
    <mergeCell ref="AK373:AN373"/>
    <mergeCell ref="AO373:AQ373"/>
    <mergeCell ref="AR373:AT373"/>
    <mergeCell ref="AU373:AW373"/>
    <mergeCell ref="H58:K58"/>
    <mergeCell ref="L58:O58"/>
    <mergeCell ref="P58:R58"/>
    <mergeCell ref="S58:U58"/>
    <mergeCell ref="H59:K59"/>
    <mergeCell ref="L59:O59"/>
    <mergeCell ref="P59:R59"/>
    <mergeCell ref="S59:U59"/>
    <mergeCell ref="AG200:AJ200"/>
    <mergeCell ref="AK200:AN200"/>
    <mergeCell ref="AO200:AQ200"/>
    <mergeCell ref="AR200:AT200"/>
    <mergeCell ref="AG369:AJ369"/>
    <mergeCell ref="AK369:AN369"/>
    <mergeCell ref="AO369:AQ369"/>
    <mergeCell ref="AR369:AT369"/>
    <mergeCell ref="AU369:AW369"/>
    <mergeCell ref="AG370:AJ370"/>
    <mergeCell ref="AG378:AJ378"/>
    <mergeCell ref="AK378:AN378"/>
    <mergeCell ref="AO378:AQ378"/>
    <mergeCell ref="AR378:AT378"/>
    <mergeCell ref="AG379:AJ379"/>
    <mergeCell ref="AK379:AN379"/>
    <mergeCell ref="AO379:AQ379"/>
    <mergeCell ref="AR379:AT379"/>
    <mergeCell ref="AG380:AJ380"/>
    <mergeCell ref="AK380:AN380"/>
    <mergeCell ref="AO380:AQ380"/>
    <mergeCell ref="AR380:AT380"/>
    <mergeCell ref="AG381:AJ381"/>
    <mergeCell ref="AK381:AN381"/>
    <mergeCell ref="AO381:AQ381"/>
    <mergeCell ref="AR381:AT381"/>
    <mergeCell ref="AG382:AJ382"/>
    <mergeCell ref="AK382:AN382"/>
    <mergeCell ref="AO382:AQ382"/>
    <mergeCell ref="AR382:AT382"/>
    <mergeCell ref="AG383:AJ383"/>
    <mergeCell ref="AK383:AN383"/>
    <mergeCell ref="AO383:AQ383"/>
    <mergeCell ref="AR383:AT383"/>
    <mergeCell ref="AG384:AJ384"/>
    <mergeCell ref="AK384:AN384"/>
    <mergeCell ref="AO384:AQ384"/>
    <mergeCell ref="AR384:AT384"/>
    <mergeCell ref="AG385:AJ385"/>
    <mergeCell ref="AK385:AN385"/>
    <mergeCell ref="AO385:AQ385"/>
    <mergeCell ref="AR385:AT385"/>
    <mergeCell ref="AG386:AJ386"/>
    <mergeCell ref="AK386:AN386"/>
    <mergeCell ref="AO386:AQ386"/>
    <mergeCell ref="AR386:AT386"/>
    <mergeCell ref="AG389:AJ389"/>
    <mergeCell ref="AK389:AN389"/>
    <mergeCell ref="AO389:AQ389"/>
    <mergeCell ref="AR389:AT389"/>
    <mergeCell ref="AU389:AW389"/>
    <mergeCell ref="AG390:AJ390"/>
    <mergeCell ref="AK390:AN390"/>
    <mergeCell ref="AO390:AQ390"/>
    <mergeCell ref="AR390:AT390"/>
    <mergeCell ref="AU390:AW390"/>
    <mergeCell ref="AG391:AJ391"/>
    <mergeCell ref="AK391:AN391"/>
    <mergeCell ref="AO391:AQ391"/>
    <mergeCell ref="AR391:AT391"/>
    <mergeCell ref="AU391:AW391"/>
    <mergeCell ref="AG392:AJ392"/>
    <mergeCell ref="AK392:AN392"/>
    <mergeCell ref="AO392:AQ392"/>
    <mergeCell ref="AR392:AT392"/>
    <mergeCell ref="AU392:AW392"/>
    <mergeCell ref="AG393:AJ393"/>
    <mergeCell ref="AK393:AN393"/>
    <mergeCell ref="AO393:AQ393"/>
    <mergeCell ref="AR393:AT393"/>
    <mergeCell ref="AU393:AW393"/>
    <mergeCell ref="AG394:AJ394"/>
    <mergeCell ref="AK394:AN394"/>
    <mergeCell ref="AO394:AQ394"/>
    <mergeCell ref="AR394:AT394"/>
    <mergeCell ref="AU394:AW394"/>
    <mergeCell ref="AG395:AJ395"/>
    <mergeCell ref="AK395:AN395"/>
    <mergeCell ref="AO395:AQ395"/>
    <mergeCell ref="AR395:AT395"/>
    <mergeCell ref="AU395:AW395"/>
    <mergeCell ref="AG396:AJ396"/>
    <mergeCell ref="AK396:AN396"/>
    <mergeCell ref="AO396:AQ396"/>
    <mergeCell ref="AR396:AT396"/>
    <mergeCell ref="AU396:AW396"/>
    <mergeCell ref="AG397:AJ397"/>
    <mergeCell ref="AK397:AN397"/>
    <mergeCell ref="AO397:AQ397"/>
    <mergeCell ref="AR397:AT397"/>
    <mergeCell ref="AU397:AW397"/>
    <mergeCell ref="AG402:AJ402"/>
    <mergeCell ref="AK402:AN402"/>
    <mergeCell ref="AO402:AQ402"/>
    <mergeCell ref="AR402:AT402"/>
    <mergeCell ref="AU402:AW402"/>
    <mergeCell ref="AG398:AJ398"/>
    <mergeCell ref="AK398:AN398"/>
    <mergeCell ref="AO398:AQ398"/>
    <mergeCell ref="AR398:AT398"/>
    <mergeCell ref="AU398:AW398"/>
    <mergeCell ref="AG399:AJ399"/>
    <mergeCell ref="AK399:AN399"/>
    <mergeCell ref="AO399:AQ399"/>
    <mergeCell ref="AR399:AT399"/>
    <mergeCell ref="AU399:AW399"/>
    <mergeCell ref="AG400:AJ400"/>
    <mergeCell ref="AK400:AN400"/>
    <mergeCell ref="AO400:AQ400"/>
    <mergeCell ref="AR400:AT400"/>
    <mergeCell ref="AU400:AW400"/>
    <mergeCell ref="AG401:AJ401"/>
    <mergeCell ref="AK401:AN401"/>
    <mergeCell ref="AO401:AQ401"/>
    <mergeCell ref="AR401:AT401"/>
    <mergeCell ref="AU401:AW401"/>
  </mergeCells>
  <phoneticPr fontId="2" type="noConversion"/>
  <conditionalFormatting sqref="H30:H31 S28:U28 S56:U56 S75:U78 S53:U54 S88:U88 S81:U83">
    <cfRule type="expression" dxfId="16" priority="28">
      <formula>$H$39="Yes"</formula>
    </cfRule>
  </conditionalFormatting>
  <conditionalFormatting sqref="S27:U27 P56:R56 P81:R82 P75:R78 P53:R54 P88:R88">
    <cfRule type="expression" dxfId="15" priority="27">
      <formula>$H$38&lt;&gt;"ROOF"</formula>
    </cfRule>
  </conditionalFormatting>
  <conditionalFormatting sqref="P55:R55">
    <cfRule type="expression" dxfId="14" priority="19">
      <formula>$H$38&lt;&gt;"ROOF"</formula>
    </cfRule>
  </conditionalFormatting>
  <conditionalFormatting sqref="S55:U55">
    <cfRule type="expression" dxfId="13" priority="16">
      <formula>$H$38&lt;&gt;"ROOF"</formula>
    </cfRule>
  </conditionalFormatting>
  <conditionalFormatting sqref="P83:R83">
    <cfRule type="expression" dxfId="12" priority="15">
      <formula>$H$38&lt;&gt;"ROOF"</formula>
    </cfRule>
  </conditionalFormatting>
  <conditionalFormatting sqref="S84:U84">
    <cfRule type="expression" dxfId="11" priority="14">
      <formula>$H$39="Yes"</formula>
    </cfRule>
  </conditionalFormatting>
  <conditionalFormatting sqref="P84:R84">
    <cfRule type="expression" dxfId="10" priority="13">
      <formula>$H$38&lt;&gt;"ROOF"</formula>
    </cfRule>
  </conditionalFormatting>
  <conditionalFormatting sqref="P85:R87">
    <cfRule type="expression" dxfId="9" priority="11">
      <formula>$H$38&lt;&gt;"ROOF"</formula>
    </cfRule>
  </conditionalFormatting>
  <conditionalFormatting sqref="S85:U87">
    <cfRule type="expression" dxfId="8" priority="12">
      <formula>$H$39="Yes"</formula>
    </cfRule>
  </conditionalFormatting>
  <conditionalFormatting sqref="AR83:AT83">
    <cfRule type="expression" dxfId="7" priority="10">
      <formula>$H$39="Yes"</formula>
    </cfRule>
  </conditionalFormatting>
  <conditionalFormatting sqref="AO83:AQ83">
    <cfRule type="expression" dxfId="6" priority="9">
      <formula>$H$38&lt;&gt;"ROOF"</formula>
    </cfRule>
  </conditionalFormatting>
  <conditionalFormatting sqref="AR85:AT87">
    <cfRule type="expression" dxfId="5" priority="3">
      <formula>$H$38&lt;&gt;"ROOF"</formula>
    </cfRule>
  </conditionalFormatting>
  <conditionalFormatting sqref="AO84:AQ84">
    <cfRule type="expression" dxfId="4" priority="8">
      <formula>$H$38&lt;&gt;"ROOF"</formula>
    </cfRule>
  </conditionalFormatting>
  <conditionalFormatting sqref="AR84:AT84">
    <cfRule type="expression" dxfId="3" priority="6">
      <formula>$H$39="Yes"</formula>
    </cfRule>
  </conditionalFormatting>
  <conditionalFormatting sqref="AO85:AQ87">
    <cfRule type="expression" dxfId="2" priority="4">
      <formula>$H$38&lt;&gt;"ROOF"</formula>
    </cfRule>
  </conditionalFormatting>
  <conditionalFormatting sqref="S59:U59">
    <cfRule type="expression" dxfId="1" priority="2">
      <formula>$H$39="Yes"</formula>
    </cfRule>
  </conditionalFormatting>
  <conditionalFormatting sqref="P59:R59">
    <cfRule type="expression" dxfId="0" priority="1">
      <formula>$H$38&lt;&gt;"ROOF"</formula>
    </cfRule>
  </conditionalFormatting>
  <dataValidations disablePrompts="1" count="6">
    <dataValidation type="list" allowBlank="1" showInputMessage="1" showErrorMessage="1" sqref="H36:J36" xr:uid="{D4B977FF-B56D-46DC-A78E-E6684F1F5F94}">
      <formula1>"Vessel,Tank"</formula1>
    </dataValidation>
    <dataValidation type="list" allowBlank="1" showInputMessage="1" showErrorMessage="1" sqref="H38:J38" xr:uid="{18DEECDD-69ED-44A5-8C06-C924EEB0749B}">
      <formula1>Head</formula1>
    </dataValidation>
    <dataValidation type="list" allowBlank="1" showInputMessage="1" showErrorMessage="1" sqref="H39:J39" xr:uid="{73FFAECD-2CB9-4DED-85B4-408BCF40CCF8}">
      <formula1>Choice</formula1>
    </dataValidation>
    <dataValidation type="list" allowBlank="1" showInputMessage="1" showErrorMessage="1" sqref="H37:J37" xr:uid="{B2A19269-D841-4290-AEF2-E4747EAF8C8A}">
      <formula1>Body_0</formula1>
    </dataValidation>
    <dataValidation type="list" allowBlank="1" showInputMessage="1" showErrorMessage="1" sqref="H26" xr:uid="{07A6E6CB-E3F9-48AB-8AE7-59C6568DD063}">
      <formula1>Emissivity_0</formula1>
    </dataValidation>
    <dataValidation type="list" allowBlank="1" showInputMessage="1" showErrorMessage="1" sqref="H94:P94 S94" xr:uid="{42EE376E-50EC-421E-BAE0-B2E7AADF0A63}">
      <formula1>UTIL</formula1>
    </dataValidation>
  </dataValidations>
  <printOptions verticalCentered="1"/>
  <pageMargins left="0.39370078740157483" right="0.39370078740157483" top="0.39370078740157483" bottom="0.39370078740157483" header="0.31496062992125984" footer="0.31496062992125984"/>
  <pageSetup paperSize="9" scale="77" fitToHeight="0" orientation="portrait" horizontalDpi="200" verticalDpi="200" r:id="rId1"/>
  <rowBreaks count="1" manualBreakCount="1">
    <brk id="62" max="24" man="1"/>
  </rowBreaks>
  <ignoredErrors>
    <ignoredError sqref="AP16" formula="1"/>
  </ignoredErrors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linkedCell="U10" listFillRange="AA3:AA4" r:id="rId5">
            <anchor moveWithCells="1">
              <from>
                <xdr:col>19</xdr:col>
                <xdr:colOff>381000</xdr:colOff>
                <xdr:row>9</xdr:row>
                <xdr:rowOff>9525</xdr:rowOff>
              </from>
              <to>
                <xdr:col>22</xdr:col>
                <xdr:colOff>133350</xdr:colOff>
                <xdr:row>10</xdr:row>
                <xdr:rowOff>95250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D3E99-83B2-48B4-9A14-3117F72E58D0}">
  <sheetPr codeName="Sheet2"/>
  <dimension ref="B3:AU111"/>
  <sheetViews>
    <sheetView topLeftCell="F1" zoomScaleNormal="100" workbookViewId="0">
      <selection activeCell="N5" sqref="N5:Y5"/>
    </sheetView>
  </sheetViews>
  <sheetFormatPr defaultRowHeight="16.5" x14ac:dyDescent="0.3"/>
  <cols>
    <col min="2" max="3" width="10.625" customWidth="1"/>
    <col min="5" max="6" width="10.625" customWidth="1"/>
    <col min="8" max="9" width="10.625" customWidth="1"/>
    <col min="11" max="12" width="10.625" customWidth="1"/>
    <col min="14" max="14" width="12.375" customWidth="1"/>
    <col min="15" max="15" width="10.625" customWidth="1"/>
    <col min="28" max="28" width="11.125" customWidth="1"/>
    <col min="29" max="32" width="10.625" customWidth="1"/>
    <col min="33" max="33" width="9.625" customWidth="1"/>
    <col min="35" max="37" width="11.125" customWidth="1"/>
    <col min="39" max="40" width="11.125" customWidth="1"/>
    <col min="42" max="44" width="11.125" customWidth="1"/>
    <col min="46" max="47" width="11.125" customWidth="1"/>
  </cols>
  <sheetData>
    <row r="3" spans="2:24" x14ac:dyDescent="0.3">
      <c r="B3" t="s">
        <v>28</v>
      </c>
      <c r="I3" t="s">
        <v>58</v>
      </c>
    </row>
    <row r="4" spans="2:24" x14ac:dyDescent="0.3">
      <c r="B4" t="s">
        <v>29</v>
      </c>
      <c r="C4" t="s">
        <v>210</v>
      </c>
      <c r="F4" t="s">
        <v>217</v>
      </c>
      <c r="I4" t="s">
        <v>219</v>
      </c>
      <c r="L4" s="41">
        <v>0.9</v>
      </c>
      <c r="N4" t="s">
        <v>219</v>
      </c>
      <c r="O4" t="s">
        <v>59</v>
      </c>
      <c r="P4" t="s">
        <v>61</v>
      </c>
      <c r="Q4" t="s">
        <v>63</v>
      </c>
      <c r="R4" t="s">
        <v>65</v>
      </c>
      <c r="S4" t="s">
        <v>66</v>
      </c>
      <c r="T4" t="s">
        <v>68</v>
      </c>
      <c r="U4" t="s">
        <v>70</v>
      </c>
      <c r="V4" t="s">
        <v>72</v>
      </c>
      <c r="W4" t="s">
        <v>74</v>
      </c>
      <c r="X4" t="s">
        <v>76</v>
      </c>
    </row>
    <row r="5" spans="2:24" x14ac:dyDescent="0.3">
      <c r="B5" t="s">
        <v>30</v>
      </c>
      <c r="C5" t="s">
        <v>31</v>
      </c>
      <c r="E5">
        <v>1</v>
      </c>
      <c r="F5" t="s">
        <v>311</v>
      </c>
      <c r="G5">
        <v>0</v>
      </c>
      <c r="I5" t="s">
        <v>59</v>
      </c>
      <c r="L5" s="41" t="s">
        <v>60</v>
      </c>
      <c r="N5" t="str">
        <f>"''"&amp;N4&amp;"'',"</f>
        <v>''Commonly used '',</v>
      </c>
      <c r="O5" t="str">
        <f t="shared" ref="O5:W5" si="0">"''"&amp;O4&amp;"'',"</f>
        <v>''Aluminum'',</v>
      </c>
      <c r="P5" t="str">
        <f t="shared" si="0"/>
        <v>''Steel, Oxidized'',</v>
      </c>
      <c r="Q5" t="str">
        <f t="shared" si="0"/>
        <v>''Asbestos cloth or paper'',</v>
      </c>
      <c r="R5" t="str">
        <f t="shared" si="0"/>
        <v>''Porcelain enamel, white'',</v>
      </c>
      <c r="S5" t="str">
        <f t="shared" si="0"/>
        <v>''Wood'',</v>
      </c>
      <c r="T5" t="str">
        <f t="shared" si="0"/>
        <v>''Paints: Black, shiny'',</v>
      </c>
      <c r="U5" t="str">
        <f t="shared" si="0"/>
        <v>''Paints: Black, flat'',</v>
      </c>
      <c r="V5" t="str">
        <f t="shared" si="0"/>
        <v>''Paints: Oil paints, various colors'',</v>
      </c>
      <c r="W5" t="str">
        <f t="shared" si="0"/>
        <v>''Paints: Aluminum'',</v>
      </c>
      <c r="X5" t="str">
        <f>"''"&amp;X4&amp;"''"</f>
        <v>''Paints: Bronze''</v>
      </c>
    </row>
    <row r="6" spans="2:24" x14ac:dyDescent="0.3">
      <c r="B6" t="s">
        <v>32</v>
      </c>
      <c r="C6" t="s">
        <v>33</v>
      </c>
      <c r="E6">
        <v>2</v>
      </c>
      <c r="F6" t="s">
        <v>23</v>
      </c>
      <c r="G6">
        <v>1</v>
      </c>
      <c r="I6" t="s">
        <v>61</v>
      </c>
      <c r="L6" s="41" t="s">
        <v>62</v>
      </c>
    </row>
    <row r="7" spans="2:24" x14ac:dyDescent="0.3">
      <c r="C7" t="s">
        <v>35</v>
      </c>
      <c r="E7">
        <v>3</v>
      </c>
      <c r="F7" t="s">
        <v>34</v>
      </c>
      <c r="G7">
        <v>2</v>
      </c>
      <c r="I7" t="s">
        <v>63</v>
      </c>
      <c r="L7" s="41" t="s">
        <v>64</v>
      </c>
    </row>
    <row r="8" spans="2:24" x14ac:dyDescent="0.3">
      <c r="C8" t="s">
        <v>37</v>
      </c>
      <c r="E8">
        <v>4</v>
      </c>
      <c r="F8" t="s">
        <v>36</v>
      </c>
      <c r="G8">
        <v>3</v>
      </c>
      <c r="I8" t="s">
        <v>65</v>
      </c>
      <c r="L8" s="41">
        <v>0.92</v>
      </c>
    </row>
    <row r="9" spans="2:24" x14ac:dyDescent="0.3">
      <c r="I9" t="s">
        <v>66</v>
      </c>
      <c r="L9" s="41" t="s">
        <v>67</v>
      </c>
    </row>
    <row r="10" spans="2:24" x14ac:dyDescent="0.3">
      <c r="I10" t="s">
        <v>68</v>
      </c>
      <c r="L10" s="41" t="s">
        <v>69</v>
      </c>
    </row>
    <row r="11" spans="2:24" x14ac:dyDescent="0.3">
      <c r="I11" t="s">
        <v>70</v>
      </c>
      <c r="L11" s="41" t="s">
        <v>71</v>
      </c>
    </row>
    <row r="12" spans="2:24" x14ac:dyDescent="0.3">
      <c r="I12" t="s">
        <v>72</v>
      </c>
      <c r="L12" s="41" t="s">
        <v>73</v>
      </c>
    </row>
    <row r="13" spans="2:24" x14ac:dyDescent="0.3">
      <c r="I13" t="s">
        <v>74</v>
      </c>
      <c r="L13" s="41" t="s">
        <v>75</v>
      </c>
    </row>
    <row r="14" spans="2:24" x14ac:dyDescent="0.3">
      <c r="I14" t="s">
        <v>76</v>
      </c>
      <c r="L14" s="41">
        <v>0.51</v>
      </c>
    </row>
    <row r="15" spans="2:24" x14ac:dyDescent="0.3">
      <c r="I15" t="s">
        <v>77</v>
      </c>
      <c r="L15" s="41" t="s">
        <v>78</v>
      </c>
    </row>
    <row r="24" spans="2:47" x14ac:dyDescent="0.3">
      <c r="AB24" t="s">
        <v>38</v>
      </c>
    </row>
    <row r="25" spans="2:47" x14ac:dyDescent="0.3">
      <c r="B25" t="s">
        <v>39</v>
      </c>
      <c r="AB25" s="40" t="s">
        <v>40</v>
      </c>
      <c r="AC25" s="40"/>
      <c r="AE25" t="s">
        <v>41</v>
      </c>
    </row>
    <row r="26" spans="2:47" x14ac:dyDescent="0.3">
      <c r="B26" t="s">
        <v>42</v>
      </c>
      <c r="AB26" t="s">
        <v>43</v>
      </c>
      <c r="AE26" t="s">
        <v>44</v>
      </c>
    </row>
    <row r="27" spans="2:47" x14ac:dyDescent="0.3">
      <c r="B27" t="s">
        <v>45</v>
      </c>
      <c r="E27" t="s">
        <v>46</v>
      </c>
      <c r="H27" t="s">
        <v>47</v>
      </c>
      <c r="K27" t="s">
        <v>48</v>
      </c>
      <c r="N27" t="s">
        <v>49</v>
      </c>
      <c r="S27" s="41" t="s">
        <v>50</v>
      </c>
    </row>
    <row r="28" spans="2:47" x14ac:dyDescent="0.3">
      <c r="B28" t="s">
        <v>51</v>
      </c>
      <c r="C28" t="s">
        <v>52</v>
      </c>
      <c r="E28" t="s">
        <v>51</v>
      </c>
      <c r="F28" t="s">
        <v>52</v>
      </c>
      <c r="H28" t="s">
        <v>51</v>
      </c>
      <c r="I28" t="s">
        <v>52</v>
      </c>
      <c r="K28" t="s">
        <v>51</v>
      </c>
      <c r="L28" t="s">
        <v>52</v>
      </c>
      <c r="N28" t="s">
        <v>51</v>
      </c>
      <c r="O28" t="s">
        <v>52</v>
      </c>
      <c r="AB28" s="41" t="s">
        <v>53</v>
      </c>
      <c r="AC28">
        <f>AF28/1.8</f>
        <v>8.3333333333333339</v>
      </c>
      <c r="AF28">
        <v>15</v>
      </c>
      <c r="AI28" s="41" t="s">
        <v>53</v>
      </c>
      <c r="AJ28">
        <f>AM28/1.8</f>
        <v>13.888888888888889</v>
      </c>
      <c r="AM28">
        <v>25</v>
      </c>
      <c r="AP28" s="41" t="s">
        <v>53</v>
      </c>
      <c r="AQ28">
        <f>50/1.8</f>
        <v>27.777777777777779</v>
      </c>
      <c r="AT28">
        <v>50</v>
      </c>
    </row>
    <row r="29" spans="2:47" x14ac:dyDescent="0.3">
      <c r="B29">
        <v>0</v>
      </c>
      <c r="C29">
        <v>1</v>
      </c>
      <c r="E29">
        <v>0</v>
      </c>
      <c r="F29">
        <v>1</v>
      </c>
      <c r="H29">
        <v>0</v>
      </c>
      <c r="I29">
        <v>1</v>
      </c>
      <c r="K29">
        <v>0</v>
      </c>
      <c r="L29">
        <v>1</v>
      </c>
      <c r="N29">
        <v>0</v>
      </c>
      <c r="O29">
        <v>1</v>
      </c>
      <c r="R29">
        <v>15</v>
      </c>
      <c r="S29">
        <v>0.23</v>
      </c>
      <c r="AB29" t="s">
        <v>54</v>
      </c>
      <c r="AC29" t="s">
        <v>55</v>
      </c>
      <c r="AF29" t="s">
        <v>56</v>
      </c>
      <c r="AG29" t="s">
        <v>56</v>
      </c>
      <c r="AI29" t="s">
        <v>54</v>
      </c>
      <c r="AJ29" t="s">
        <v>55</v>
      </c>
      <c r="AM29" t="s">
        <v>56</v>
      </c>
      <c r="AN29" t="s">
        <v>56</v>
      </c>
      <c r="AP29" t="s">
        <v>54</v>
      </c>
      <c r="AQ29" t="s">
        <v>55</v>
      </c>
      <c r="AT29" t="s">
        <v>56</v>
      </c>
      <c r="AU29" t="s">
        <v>56</v>
      </c>
    </row>
    <row r="30" spans="2:47" x14ac:dyDescent="0.3">
      <c r="B30">
        <v>5</v>
      </c>
      <c r="C30">
        <v>2.15</v>
      </c>
      <c r="D30" s="42">
        <f>(C30-C$29)/B30</f>
        <v>0.22999999999999998</v>
      </c>
      <c r="E30">
        <v>5</v>
      </c>
      <c r="F30">
        <v>2</v>
      </c>
      <c r="G30">
        <f>(F30-F29)/E30</f>
        <v>0.2</v>
      </c>
      <c r="H30">
        <v>5</v>
      </c>
      <c r="I30">
        <v>1.85</v>
      </c>
      <c r="J30" s="42">
        <f>(I30-$I$29)/H30</f>
        <v>0.17</v>
      </c>
      <c r="K30">
        <v>5</v>
      </c>
      <c r="L30">
        <v>1.75</v>
      </c>
      <c r="M30">
        <f>(L30-$L$29)/K30</f>
        <v>0.15</v>
      </c>
      <c r="N30">
        <v>5</v>
      </c>
      <c r="O30">
        <v>1.6</v>
      </c>
      <c r="P30">
        <f>(O30-$O$29)/N30</f>
        <v>0.12000000000000002</v>
      </c>
      <c r="R30">
        <v>25</v>
      </c>
      <c r="S30">
        <v>0.2</v>
      </c>
      <c r="AB30">
        <f>AE30/2.236936</f>
        <v>2.2352002918277503</v>
      </c>
      <c r="AC30">
        <f>(0.871850624*AC$28^-0.245984807)*AB30+1</f>
        <v>2.1567808879911818</v>
      </c>
      <c r="AD30">
        <f>(0.868*AC$28^-0.246)*AB30+1</f>
        <v>2.1516347398020632</v>
      </c>
      <c r="AE30">
        <v>5</v>
      </c>
      <c r="AF30">
        <f>(-0.04*LOG(AF$28,2.69)+0.34)*AE30+1</f>
        <v>2.1526654941544039</v>
      </c>
      <c r="AG30">
        <f>(-0.04*LN(AF$28)+0.34)*AE30+1</f>
        <v>2.1583899597795577</v>
      </c>
      <c r="AI30">
        <f>AL30/2.236936</f>
        <v>2.2352002918277503</v>
      </c>
      <c r="AJ30">
        <f t="shared" ref="AJ30:AJ36" si="1">(0.871850624*AJ$28^-0.245984807)*AI30+1</f>
        <v>2.0201867597878844</v>
      </c>
      <c r="AK30">
        <f>(0.868*AJ$28^-0.246)*AI30+1</f>
        <v>2.0156403927982929</v>
      </c>
      <c r="AL30">
        <v>5</v>
      </c>
      <c r="AM30">
        <f t="shared" ref="AM30:AM36" si="2">(-0.04*LOG(AM$28,2.69)+0.34)*AL30+1</f>
        <v>2.049420550525431</v>
      </c>
      <c r="AN30">
        <f t="shared" ref="AN30:AN36" si="3">(-0.04*LN(AM$28)+0.34)*AL30+1</f>
        <v>2.0562248350263603</v>
      </c>
      <c r="AP30">
        <f>AB30</f>
        <v>2.2352002918277503</v>
      </c>
      <c r="AQ30">
        <f t="shared" ref="AQ30:AQ36" si="4">(0.871850624*AQ$28^-0.245984807)*AP30+1</f>
        <v>1.860262273479897</v>
      </c>
      <c r="AR30">
        <f>(0.868*AQ$28^-0.246)*AP30+1</f>
        <v>1.8564195760341651</v>
      </c>
      <c r="AS30">
        <f>AL30</f>
        <v>5</v>
      </c>
      <c r="AT30">
        <f>(-0.04*LOG(AT$28,2.69)+0.34)*AS30+1</f>
        <v>1.9093258914989355</v>
      </c>
      <c r="AU30">
        <f>(-0.04*LN(AT$28)+0.34)*AS30+1</f>
        <v>1.9175953989143708</v>
      </c>
    </row>
    <row r="31" spans="2:47" x14ac:dyDescent="0.3">
      <c r="B31">
        <v>10</v>
      </c>
      <c r="C31">
        <v>3.3</v>
      </c>
      <c r="D31" s="42">
        <f>(C31-$C$29)/B31</f>
        <v>0.22999999999999998</v>
      </c>
      <c r="E31">
        <v>10</v>
      </c>
      <c r="F31">
        <v>3</v>
      </c>
      <c r="G31">
        <f t="shared" ref="G31:G33" si="5">(F31-$F$29)/E31</f>
        <v>0.2</v>
      </c>
      <c r="H31">
        <v>10</v>
      </c>
      <c r="I31">
        <f>H31*J31+$I$29</f>
        <v>2.7</v>
      </c>
      <c r="J31" s="42">
        <v>0.17</v>
      </c>
      <c r="K31">
        <v>10</v>
      </c>
      <c r="L31">
        <f>K31*$M$30+$L$29</f>
        <v>2.5</v>
      </c>
      <c r="N31">
        <v>10</v>
      </c>
      <c r="O31">
        <f>N31*$P$30+$O$29</f>
        <v>2.2000000000000002</v>
      </c>
      <c r="R31">
        <v>50</v>
      </c>
      <c r="S31">
        <v>0.17</v>
      </c>
      <c r="AB31">
        <f t="shared" ref="AB31:AB36" si="6">AE31/2.236936</f>
        <v>4.4704005836555005</v>
      </c>
      <c r="AC31">
        <f t="shared" ref="AC31:AC36" si="7">(0.871850624*$AC$28^-0.245984807)*AB31+1</f>
        <v>3.3135617759823637</v>
      </c>
      <c r="AD31">
        <f t="shared" ref="AD31:AD36" si="8">(0.868*AC$28^-0.246)*AB31+1</f>
        <v>3.3032694796041264</v>
      </c>
      <c r="AE31">
        <v>10</v>
      </c>
      <c r="AF31">
        <f t="shared" ref="AF31:AF36" si="9">(-0.04*LOG($AF$28,2.69)+0.34)*AE31+1</f>
        <v>3.3053309883088078</v>
      </c>
      <c r="AG31">
        <f t="shared" ref="AG31:AG36" si="10">(-0.04*LN($AF$28)+0.34)*AE31+1</f>
        <v>3.3167799195591159</v>
      </c>
      <c r="AI31">
        <f t="shared" ref="AI31:AI36" si="11">AL31/2.236936</f>
        <v>4.4704005836555005</v>
      </c>
      <c r="AJ31">
        <f t="shared" si="1"/>
        <v>3.0403735195757688</v>
      </c>
      <c r="AK31">
        <f t="shared" ref="AK31:AK36" si="12">(0.868*AJ$28^-0.246)*AI31+1</f>
        <v>3.0312807855965858</v>
      </c>
      <c r="AL31">
        <v>10</v>
      </c>
      <c r="AM31">
        <f t="shared" si="2"/>
        <v>3.0988411010508616</v>
      </c>
      <c r="AN31">
        <f t="shared" si="3"/>
        <v>3.1124496700527202</v>
      </c>
      <c r="AP31">
        <f t="shared" ref="AP31:AP36" si="13">AB31</f>
        <v>4.4704005836555005</v>
      </c>
      <c r="AQ31">
        <f t="shared" si="4"/>
        <v>2.7205245469597941</v>
      </c>
      <c r="AR31">
        <f t="shared" ref="AR31:AR36" si="14">(0.868*AQ$28^-0.246)*AP31+1</f>
        <v>2.7128391520683302</v>
      </c>
      <c r="AS31">
        <f t="shared" ref="AS31:AS36" si="15">AL31</f>
        <v>10</v>
      </c>
      <c r="AT31">
        <f t="shared" ref="AT31:AT36" si="16">(-0.04*LOG($AF$28,2.69)+0.34)*AS31+1</f>
        <v>3.3053309883088078</v>
      </c>
      <c r="AU31">
        <f t="shared" ref="AU31:AU36" si="17">(-0.04*LN($AF$28)+0.34)*AS31+1</f>
        <v>3.3167799195591159</v>
      </c>
    </row>
    <row r="32" spans="2:47" x14ac:dyDescent="0.3">
      <c r="B32">
        <v>15</v>
      </c>
      <c r="C32">
        <v>4.5</v>
      </c>
      <c r="D32" s="42">
        <f>(C32-$C$29)/B32</f>
        <v>0.23333333333333334</v>
      </c>
      <c r="E32">
        <v>15</v>
      </c>
      <c r="F32">
        <v>4</v>
      </c>
      <c r="G32">
        <f t="shared" si="5"/>
        <v>0.2</v>
      </c>
      <c r="H32">
        <v>15</v>
      </c>
      <c r="I32">
        <v>3.55</v>
      </c>
      <c r="J32" s="42">
        <f>(I32-$I$29)/H32</f>
        <v>0.16999999999999998</v>
      </c>
      <c r="K32">
        <v>15</v>
      </c>
      <c r="L32">
        <f>K32*$M$30+$L$29</f>
        <v>3.25</v>
      </c>
      <c r="N32">
        <v>15</v>
      </c>
      <c r="O32">
        <f t="shared" ref="O32:O35" si="18">N32*$P$30+$O$29</f>
        <v>2.8000000000000003</v>
      </c>
      <c r="R32">
        <v>100</v>
      </c>
      <c r="S32">
        <v>0.15</v>
      </c>
      <c r="AB32">
        <f t="shared" si="6"/>
        <v>6.7056008754832499</v>
      </c>
      <c r="AC32">
        <f t="shared" si="7"/>
        <v>4.4703426639735451</v>
      </c>
      <c r="AD32">
        <f t="shared" si="8"/>
        <v>4.4549042194061883</v>
      </c>
      <c r="AE32">
        <v>15</v>
      </c>
      <c r="AF32">
        <f t="shared" si="9"/>
        <v>4.4579964824632121</v>
      </c>
      <c r="AG32">
        <f t="shared" si="10"/>
        <v>4.4751698793386741</v>
      </c>
      <c r="AI32">
        <f t="shared" si="11"/>
        <v>6.7056008754832499</v>
      </c>
      <c r="AJ32">
        <f t="shared" si="1"/>
        <v>4.0605602793636528</v>
      </c>
      <c r="AK32">
        <f t="shared" si="12"/>
        <v>4.0469211783948786</v>
      </c>
      <c r="AL32">
        <v>15</v>
      </c>
      <c r="AM32">
        <f t="shared" si="2"/>
        <v>4.1482616515762931</v>
      </c>
      <c r="AN32">
        <f t="shared" si="3"/>
        <v>4.1686745050790801</v>
      </c>
      <c r="AP32">
        <f t="shared" si="13"/>
        <v>6.7056008754832499</v>
      </c>
      <c r="AQ32">
        <f t="shared" si="4"/>
        <v>3.5807868204396907</v>
      </c>
      <c r="AR32">
        <f t="shared" si="14"/>
        <v>3.5692587281024948</v>
      </c>
      <c r="AS32">
        <f t="shared" si="15"/>
        <v>15</v>
      </c>
      <c r="AT32">
        <f t="shared" si="16"/>
        <v>4.4579964824632121</v>
      </c>
      <c r="AU32">
        <f t="shared" si="17"/>
        <v>4.4751698793386741</v>
      </c>
    </row>
    <row r="33" spans="2:47" x14ac:dyDescent="0.3">
      <c r="B33">
        <v>20</v>
      </c>
      <c r="C33">
        <v>5.6</v>
      </c>
      <c r="D33" s="42">
        <f>(C33-$C$29)/B33</f>
        <v>0.22999999999999998</v>
      </c>
      <c r="E33">
        <v>20</v>
      </c>
      <c r="F33">
        <v>5</v>
      </c>
      <c r="G33">
        <f t="shared" si="5"/>
        <v>0.2</v>
      </c>
      <c r="H33">
        <v>20</v>
      </c>
      <c r="I33">
        <v>4.4000000000000004</v>
      </c>
      <c r="J33" s="42">
        <f>(I33-$I$29)/H33</f>
        <v>0.17</v>
      </c>
      <c r="K33">
        <v>20</v>
      </c>
      <c r="L33">
        <v>4</v>
      </c>
      <c r="M33">
        <f>(L33-$L$29)/K33</f>
        <v>0.15</v>
      </c>
      <c r="N33">
        <v>20</v>
      </c>
      <c r="O33">
        <f t="shared" si="18"/>
        <v>3.4000000000000004</v>
      </c>
      <c r="R33">
        <v>200</v>
      </c>
      <c r="S33">
        <v>0.12</v>
      </c>
      <c r="AB33">
        <f t="shared" si="6"/>
        <v>8.9408011673110011</v>
      </c>
      <c r="AC33">
        <f t="shared" si="7"/>
        <v>5.6271235519647274</v>
      </c>
      <c r="AD33">
        <f t="shared" si="8"/>
        <v>5.6065389592082528</v>
      </c>
      <c r="AE33">
        <v>20</v>
      </c>
      <c r="AF33">
        <f t="shared" si="9"/>
        <v>5.6106619766176156</v>
      </c>
      <c r="AG33">
        <f t="shared" si="10"/>
        <v>5.6335598391182318</v>
      </c>
      <c r="AI33">
        <f t="shared" si="11"/>
        <v>8.9408011673110011</v>
      </c>
      <c r="AJ33">
        <f t="shared" si="1"/>
        <v>5.0807470391515377</v>
      </c>
      <c r="AK33">
        <f t="shared" si="12"/>
        <v>5.0625615711931715</v>
      </c>
      <c r="AL33">
        <v>20</v>
      </c>
      <c r="AM33">
        <f t="shared" si="2"/>
        <v>5.1976822021017233</v>
      </c>
      <c r="AN33">
        <f t="shared" si="3"/>
        <v>5.2248993401054404</v>
      </c>
      <c r="AP33">
        <f t="shared" si="13"/>
        <v>8.9408011673110011</v>
      </c>
      <c r="AQ33">
        <f t="shared" si="4"/>
        <v>4.4410490939195881</v>
      </c>
      <c r="AR33">
        <f t="shared" si="14"/>
        <v>4.4256783041366603</v>
      </c>
      <c r="AS33">
        <f t="shared" si="15"/>
        <v>20</v>
      </c>
      <c r="AT33">
        <f t="shared" si="16"/>
        <v>5.6106619766176156</v>
      </c>
      <c r="AU33">
        <f t="shared" si="17"/>
        <v>5.6335598391182318</v>
      </c>
    </row>
    <row r="34" spans="2:47" x14ac:dyDescent="0.3">
      <c r="B34">
        <f>(C34-C29)/D34</f>
        <v>21.739130434782609</v>
      </c>
      <c r="C34">
        <v>6</v>
      </c>
      <c r="D34">
        <v>0.23</v>
      </c>
      <c r="E34">
        <v>25</v>
      </c>
      <c r="F34">
        <v>6</v>
      </c>
      <c r="H34">
        <v>25</v>
      </c>
      <c r="I34">
        <f>H34*J34+$I$29</f>
        <v>5.25</v>
      </c>
      <c r="J34">
        <v>0.17</v>
      </c>
      <c r="K34">
        <v>25</v>
      </c>
      <c r="L34">
        <f>K34*$M$30+$L$29</f>
        <v>4.75</v>
      </c>
      <c r="N34">
        <v>25</v>
      </c>
      <c r="O34">
        <v>4</v>
      </c>
      <c r="P34">
        <f>(O34-$O$29)/N34</f>
        <v>0.12</v>
      </c>
      <c r="AB34">
        <f t="shared" si="6"/>
        <v>11.17600145913875</v>
      </c>
      <c r="AC34">
        <f t="shared" si="7"/>
        <v>6.7839044399559079</v>
      </c>
      <c r="AD34">
        <f t="shared" si="8"/>
        <v>6.7581736990103147</v>
      </c>
      <c r="AE34">
        <v>25</v>
      </c>
      <c r="AF34">
        <f t="shared" si="9"/>
        <v>6.7633274707720199</v>
      </c>
      <c r="AG34">
        <f t="shared" si="10"/>
        <v>6.7919497988977904</v>
      </c>
      <c r="AI34">
        <f t="shared" si="11"/>
        <v>11.17600145913875</v>
      </c>
      <c r="AJ34">
        <f t="shared" si="1"/>
        <v>6.1009337989394208</v>
      </c>
      <c r="AK34">
        <f t="shared" si="12"/>
        <v>6.0782019639914635</v>
      </c>
      <c r="AL34">
        <v>25</v>
      </c>
      <c r="AM34">
        <f t="shared" si="2"/>
        <v>6.2471027526271543</v>
      </c>
      <c r="AN34">
        <f t="shared" si="3"/>
        <v>6.2811241751317999</v>
      </c>
      <c r="AP34">
        <f t="shared" si="13"/>
        <v>11.17600145913875</v>
      </c>
      <c r="AQ34">
        <f t="shared" si="4"/>
        <v>5.3013113673994843</v>
      </c>
      <c r="AR34">
        <f t="shared" si="14"/>
        <v>5.2820978801708245</v>
      </c>
      <c r="AS34">
        <f t="shared" si="15"/>
        <v>25</v>
      </c>
      <c r="AT34">
        <f t="shared" si="16"/>
        <v>6.7633274707720199</v>
      </c>
      <c r="AU34">
        <f t="shared" si="17"/>
        <v>6.7919497988977904</v>
      </c>
    </row>
    <row r="35" spans="2:47" x14ac:dyDescent="0.3">
      <c r="H35">
        <v>30</v>
      </c>
      <c r="I35">
        <f>H35*J35+$I$29</f>
        <v>6.1000000000000005</v>
      </c>
      <c r="J35">
        <v>0.17</v>
      </c>
      <c r="K35">
        <v>30</v>
      </c>
      <c r="L35">
        <f>K35*$M$30+$L$29</f>
        <v>5.5</v>
      </c>
      <c r="N35">
        <v>30</v>
      </c>
      <c r="O35">
        <f t="shared" si="18"/>
        <v>4.6000000000000005</v>
      </c>
      <c r="AB35">
        <f t="shared" si="6"/>
        <v>13.4112017509665</v>
      </c>
      <c r="AC35">
        <f t="shared" si="7"/>
        <v>7.9406853279470901</v>
      </c>
      <c r="AD35">
        <f t="shared" si="8"/>
        <v>7.9098084388123775</v>
      </c>
      <c r="AE35">
        <v>30</v>
      </c>
      <c r="AF35">
        <f t="shared" si="9"/>
        <v>7.9159929649264242</v>
      </c>
      <c r="AG35">
        <f t="shared" si="10"/>
        <v>7.9503397586773481</v>
      </c>
      <c r="AI35">
        <f t="shared" si="11"/>
        <v>13.4112017509665</v>
      </c>
      <c r="AJ35">
        <f t="shared" si="1"/>
        <v>7.1211205587273056</v>
      </c>
      <c r="AK35">
        <f t="shared" si="12"/>
        <v>7.0938423567897564</v>
      </c>
      <c r="AL35">
        <v>30</v>
      </c>
      <c r="AM35">
        <f t="shared" si="2"/>
        <v>7.2965233031525853</v>
      </c>
      <c r="AN35">
        <f t="shared" si="3"/>
        <v>7.3373490101581602</v>
      </c>
      <c r="AP35">
        <f t="shared" si="13"/>
        <v>13.4112017509665</v>
      </c>
      <c r="AQ35">
        <f t="shared" si="4"/>
        <v>6.1615736408793813</v>
      </c>
      <c r="AR35">
        <f t="shared" si="14"/>
        <v>6.1385174562049896</v>
      </c>
      <c r="AS35">
        <f t="shared" si="15"/>
        <v>30</v>
      </c>
      <c r="AT35">
        <f t="shared" si="16"/>
        <v>7.9159929649264242</v>
      </c>
      <c r="AU35">
        <f t="shared" si="17"/>
        <v>7.9503397586773481</v>
      </c>
    </row>
    <row r="36" spans="2:47" x14ac:dyDescent="0.3">
      <c r="AB36">
        <f t="shared" si="6"/>
        <v>15.64640204279425</v>
      </c>
      <c r="AC36">
        <f t="shared" si="7"/>
        <v>9.0974662159382707</v>
      </c>
      <c r="AD36">
        <f t="shared" si="8"/>
        <v>9.0614431786144412</v>
      </c>
      <c r="AE36">
        <v>35</v>
      </c>
      <c r="AF36">
        <f t="shared" si="9"/>
        <v>9.0686584590808277</v>
      </c>
      <c r="AG36">
        <f t="shared" si="10"/>
        <v>9.1087297184569067</v>
      </c>
      <c r="AI36">
        <f t="shared" si="11"/>
        <v>15.64640204279425</v>
      </c>
      <c r="AJ36">
        <f t="shared" si="1"/>
        <v>8.1413073185151887</v>
      </c>
      <c r="AK36">
        <f t="shared" si="12"/>
        <v>8.1094827495880484</v>
      </c>
      <c r="AL36">
        <v>35</v>
      </c>
      <c r="AM36">
        <f t="shared" si="2"/>
        <v>8.3459438536780155</v>
      </c>
      <c r="AN36">
        <f t="shared" si="3"/>
        <v>8.3935738451845197</v>
      </c>
      <c r="AP36">
        <f t="shared" si="13"/>
        <v>15.64640204279425</v>
      </c>
      <c r="AQ36">
        <f t="shared" si="4"/>
        <v>7.0218359143592783</v>
      </c>
      <c r="AR36">
        <f t="shared" si="14"/>
        <v>6.9949370322391546</v>
      </c>
      <c r="AS36">
        <f t="shared" si="15"/>
        <v>35</v>
      </c>
      <c r="AT36">
        <f t="shared" si="16"/>
        <v>9.0686584590808277</v>
      </c>
      <c r="AU36">
        <f t="shared" si="17"/>
        <v>9.1087297184569067</v>
      </c>
    </row>
    <row r="37" spans="2:47" x14ac:dyDescent="0.3">
      <c r="B37" t="s">
        <v>57</v>
      </c>
      <c r="C37">
        <v>0.23</v>
      </c>
      <c r="E37" t="s">
        <v>57</v>
      </c>
      <c r="H37" t="s">
        <v>57</v>
      </c>
      <c r="K37" t="s">
        <v>57</v>
      </c>
      <c r="N37" t="s">
        <v>57</v>
      </c>
      <c r="O37">
        <v>0.12</v>
      </c>
    </row>
    <row r="39" spans="2:47" x14ac:dyDescent="0.3">
      <c r="U39">
        <f>-0.04*LOG(R29,2.69)+0.336</f>
        <v>0.2265330988308808</v>
      </c>
      <c r="W39" t="s">
        <v>44</v>
      </c>
    </row>
    <row r="40" spans="2:47" x14ac:dyDescent="0.3">
      <c r="U40">
        <f t="shared" ref="U40:U41" si="19">-0.04*LOG(R30,2.69)+0.336</f>
        <v>0.20588411010508617</v>
      </c>
    </row>
    <row r="41" spans="2:47" x14ac:dyDescent="0.3">
      <c r="U41">
        <f t="shared" si="19"/>
        <v>0.17786517829978712</v>
      </c>
      <c r="W41">
        <f>(-0.04*LOG($R$29,2.69)+0.336)*B30+1</f>
        <v>2.1326654941544039</v>
      </c>
    </row>
    <row r="42" spans="2:47" x14ac:dyDescent="0.3">
      <c r="U42">
        <f>-0.04*LOG(R32,2.69)+0.336</f>
        <v>0.14984624649448805</v>
      </c>
      <c r="W42">
        <f>(-0.04*LOG($R$29,2.69)+0.336)*B31+1</f>
        <v>3.2653309883088077</v>
      </c>
    </row>
    <row r="43" spans="2:47" x14ac:dyDescent="0.3">
      <c r="U43">
        <f>-0.04*LOG(R33,2.69)+0.336</f>
        <v>0.12182731468918906</v>
      </c>
      <c r="W43">
        <f>(-0.04*LOG($R$29,2.69)+0.336)*B32+1</f>
        <v>4.3979964824632116</v>
      </c>
    </row>
    <row r="44" spans="2:47" x14ac:dyDescent="0.3">
      <c r="W44">
        <f>(-0.04*LOG($R$29,2.69)+0.336)*B33+1</f>
        <v>5.5306619766176155</v>
      </c>
    </row>
    <row r="59" spans="2:17" x14ac:dyDescent="0.3">
      <c r="Q59" t="s">
        <v>79</v>
      </c>
    </row>
    <row r="60" spans="2:17" x14ac:dyDescent="0.3">
      <c r="B60" t="s">
        <v>80</v>
      </c>
      <c r="E60" s="43" t="s">
        <v>81</v>
      </c>
      <c r="F60" s="43" t="s">
        <v>82</v>
      </c>
      <c r="G60" s="43" t="s">
        <v>83</v>
      </c>
      <c r="H60" s="43" t="s">
        <v>84</v>
      </c>
      <c r="Q60" t="s">
        <v>85</v>
      </c>
    </row>
    <row r="61" spans="2:17" x14ac:dyDescent="0.3">
      <c r="B61" t="s">
        <v>32</v>
      </c>
      <c r="Q61" t="s">
        <v>86</v>
      </c>
    </row>
    <row r="62" spans="2:17" x14ac:dyDescent="0.3">
      <c r="B62" t="s">
        <v>87</v>
      </c>
      <c r="Q62" t="s">
        <v>88</v>
      </c>
    </row>
    <row r="63" spans="2:17" x14ac:dyDescent="0.3">
      <c r="B63" t="s">
        <v>89</v>
      </c>
    </row>
    <row r="64" spans="2:17" x14ac:dyDescent="0.3">
      <c r="B64" t="s">
        <v>90</v>
      </c>
    </row>
    <row r="69" spans="2:9" x14ac:dyDescent="0.3">
      <c r="B69" s="44" t="s">
        <v>91</v>
      </c>
      <c r="C69" s="45"/>
      <c r="D69" s="45"/>
      <c r="E69" s="45"/>
      <c r="F69" s="45"/>
      <c r="G69" s="46"/>
      <c r="H69" s="47"/>
    </row>
    <row r="70" spans="2:9" x14ac:dyDescent="0.3">
      <c r="B70" s="48" t="s">
        <v>92</v>
      </c>
      <c r="C70" s="47"/>
      <c r="D70" s="47"/>
      <c r="E70" s="49"/>
      <c r="F70" s="50" t="s">
        <v>93</v>
      </c>
      <c r="G70" s="51" t="s">
        <v>94</v>
      </c>
      <c r="H70" s="47" t="s">
        <v>95</v>
      </c>
    </row>
    <row r="71" spans="2:9" x14ac:dyDescent="0.3">
      <c r="B71" s="52" t="s">
        <v>96</v>
      </c>
      <c r="C71" s="53"/>
      <c r="D71" s="53"/>
      <c r="E71" s="54"/>
      <c r="F71" s="55"/>
      <c r="G71" s="55"/>
      <c r="H71" s="47"/>
    </row>
    <row r="72" spans="2:9" x14ac:dyDescent="0.3">
      <c r="B72" s="56" t="s">
        <v>97</v>
      </c>
      <c r="C72" s="47"/>
      <c r="D72" s="47"/>
      <c r="E72" s="47"/>
      <c r="F72" s="57">
        <v>4.1699999999999997E-5</v>
      </c>
      <c r="G72" s="54">
        <v>2.2499999999999999E-2</v>
      </c>
      <c r="H72" s="47"/>
    </row>
    <row r="73" spans="2:9" x14ac:dyDescent="0.3">
      <c r="B73" s="56" t="s">
        <v>98</v>
      </c>
      <c r="C73" s="47"/>
      <c r="D73" s="47"/>
      <c r="E73" s="47"/>
      <c r="F73" s="57">
        <v>2.5010000000000001E-2</v>
      </c>
      <c r="G73" s="54">
        <v>2.0899999999999998E-3</v>
      </c>
      <c r="H73" s="47" t="s">
        <v>99</v>
      </c>
    </row>
    <row r="74" spans="2:9" x14ac:dyDescent="0.3">
      <c r="B74" s="56" t="s">
        <v>100</v>
      </c>
      <c r="C74" s="47"/>
      <c r="D74" s="47"/>
      <c r="E74" s="47"/>
      <c r="F74" s="57">
        <v>3.3300000000000003E-5</v>
      </c>
      <c r="G74" s="54">
        <v>1.83E-2</v>
      </c>
      <c r="H74" s="47"/>
    </row>
    <row r="75" spans="2:9" x14ac:dyDescent="0.3">
      <c r="B75" s="56" t="s">
        <v>101</v>
      </c>
      <c r="C75" s="47"/>
      <c r="D75" s="47"/>
      <c r="E75" s="47"/>
      <c r="F75" s="57">
        <v>3.3300000000000003E-5</v>
      </c>
      <c r="G75" s="54">
        <v>1.9199999999999998E-2</v>
      </c>
      <c r="H75" s="47"/>
      <c r="I75" t="e">
        <f ca="1">THCI(I104,B72)</f>
        <v>#NAME?</v>
      </c>
    </row>
    <row r="76" spans="2:9" x14ac:dyDescent="0.3">
      <c r="B76" s="56" t="s">
        <v>102</v>
      </c>
      <c r="C76" s="47"/>
      <c r="D76" s="47"/>
      <c r="E76" s="47"/>
      <c r="F76" s="57">
        <v>6.0000000000000002E-5</v>
      </c>
      <c r="G76" s="54">
        <v>1.7170000000000001E-2</v>
      </c>
      <c r="H76" s="47"/>
    </row>
    <row r="77" spans="2:9" x14ac:dyDescent="0.3">
      <c r="B77" s="56" t="s">
        <v>103</v>
      </c>
      <c r="C77" s="47"/>
      <c r="D77" s="47"/>
      <c r="E77" s="47"/>
      <c r="F77" s="57">
        <v>5.0000000000000002E-5</v>
      </c>
      <c r="G77" s="54">
        <v>0.02</v>
      </c>
      <c r="H77" s="47"/>
    </row>
    <row r="78" spans="2:9" x14ac:dyDescent="0.3">
      <c r="B78" s="56" t="s">
        <v>104</v>
      </c>
      <c r="C78" s="47"/>
      <c r="D78" s="47"/>
      <c r="E78" s="47"/>
      <c r="F78" s="57">
        <v>5.0000000000000002E-5</v>
      </c>
      <c r="G78" s="57">
        <v>2.5000000000000001E-2</v>
      </c>
      <c r="H78" s="47"/>
    </row>
    <row r="79" spans="2:9" x14ac:dyDescent="0.3">
      <c r="B79" s="56" t="s">
        <v>105</v>
      </c>
      <c r="C79" s="47"/>
      <c r="D79" s="47"/>
      <c r="E79" s="47"/>
      <c r="F79" s="57">
        <v>6.6699999999999995E-5</v>
      </c>
      <c r="G79" s="57">
        <v>2.1700000000000001E-2</v>
      </c>
      <c r="H79" s="47"/>
    </row>
    <row r="80" spans="2:9" x14ac:dyDescent="0.3">
      <c r="B80" s="56" t="s">
        <v>106</v>
      </c>
      <c r="C80" s="47"/>
      <c r="D80" s="47"/>
      <c r="E80" s="47"/>
      <c r="F80" s="57">
        <v>5.8300000000000001E-5</v>
      </c>
      <c r="G80" s="57">
        <v>2.4199999999999999E-2</v>
      </c>
      <c r="H80" s="47"/>
    </row>
    <row r="81" spans="2:8" x14ac:dyDescent="0.3">
      <c r="B81" s="56" t="s">
        <v>107</v>
      </c>
      <c r="C81" s="47"/>
      <c r="D81" s="47"/>
      <c r="E81" s="47"/>
      <c r="F81" s="57">
        <v>4.5800000000000002E-5</v>
      </c>
      <c r="G81" s="57">
        <v>2.46E-2</v>
      </c>
      <c r="H81" s="47"/>
    </row>
    <row r="82" spans="2:8" x14ac:dyDescent="0.3">
      <c r="B82" s="56" t="s">
        <v>108</v>
      </c>
      <c r="C82" s="47"/>
      <c r="D82" s="47"/>
      <c r="E82" s="47"/>
      <c r="F82" s="57">
        <v>5.8300000000000001E-5</v>
      </c>
      <c r="G82" s="57">
        <v>1.5800000000000002E-2</v>
      </c>
      <c r="H82" s="47"/>
    </row>
    <row r="83" spans="2:8" x14ac:dyDescent="0.3">
      <c r="B83" s="56" t="s">
        <v>109</v>
      </c>
      <c r="C83" s="47"/>
      <c r="D83" s="47"/>
      <c r="E83" s="47"/>
      <c r="F83" s="57">
        <v>3.3300000000000003E-5</v>
      </c>
      <c r="G83" s="54">
        <v>2.3300000000000001E-2</v>
      </c>
      <c r="H83" s="47"/>
    </row>
    <row r="84" spans="2:8" x14ac:dyDescent="0.3">
      <c r="B84" s="56" t="s">
        <v>110</v>
      </c>
      <c r="C84" s="47"/>
      <c r="D84" s="47"/>
      <c r="E84" s="47"/>
      <c r="F84" s="57">
        <v>4.5800000000000002E-5</v>
      </c>
      <c r="G84" s="54">
        <v>1.9599999999999999E-2</v>
      </c>
      <c r="H84" s="47"/>
    </row>
    <row r="85" spans="2:8" x14ac:dyDescent="0.3">
      <c r="B85" s="56" t="s">
        <v>111</v>
      </c>
      <c r="C85" s="47"/>
      <c r="D85" s="47"/>
      <c r="E85" s="47"/>
      <c r="F85" s="57">
        <v>6.2500000000000001E-5</v>
      </c>
      <c r="G85" s="54">
        <v>1.1299999999999999E-2</v>
      </c>
      <c r="H85" s="47"/>
    </row>
    <row r="86" spans="2:8" x14ac:dyDescent="0.3">
      <c r="B86" s="56" t="s">
        <v>112</v>
      </c>
      <c r="C86" s="47"/>
      <c r="D86" s="47"/>
      <c r="E86" s="47"/>
      <c r="F86" s="57">
        <f>0.00005</f>
        <v>5.0000000000000002E-5</v>
      </c>
      <c r="G86" s="54">
        <v>2.5999999999999999E-2</v>
      </c>
      <c r="H86" s="47"/>
    </row>
    <row r="87" spans="2:8" x14ac:dyDescent="0.3">
      <c r="B87" s="56" t="s">
        <v>113</v>
      </c>
      <c r="C87" s="47"/>
      <c r="D87" s="47"/>
      <c r="E87" s="47"/>
      <c r="F87" s="57">
        <f>0.0000475</f>
        <v>4.7500000000000003E-5</v>
      </c>
      <c r="G87" s="54">
        <v>2.5999999999999999E-2</v>
      </c>
      <c r="H87" s="47"/>
    </row>
    <row r="88" spans="2:8" x14ac:dyDescent="0.3">
      <c r="B88" s="56" t="s">
        <v>114</v>
      </c>
      <c r="C88" s="47"/>
      <c r="D88" s="47"/>
      <c r="E88" s="47"/>
      <c r="F88" s="57">
        <v>5.0000000000000002E-5</v>
      </c>
      <c r="G88" s="57">
        <v>0.02</v>
      </c>
      <c r="H88" s="47"/>
    </row>
    <row r="89" spans="2:8" x14ac:dyDescent="0.3">
      <c r="B89" s="56" t="s">
        <v>115</v>
      </c>
      <c r="C89" s="47"/>
      <c r="D89" s="47"/>
      <c r="E89" s="47"/>
      <c r="F89" s="57">
        <v>5.4200000000000003E-5</v>
      </c>
      <c r="G89" s="57">
        <v>0.02</v>
      </c>
      <c r="H89" s="47"/>
    </row>
    <row r="90" spans="2:8" x14ac:dyDescent="0.3">
      <c r="B90" s="56" t="s">
        <v>116</v>
      </c>
      <c r="C90" s="47"/>
      <c r="D90" s="47"/>
      <c r="E90" s="47"/>
      <c r="F90" s="57">
        <v>3.9100000000000002E-5</v>
      </c>
      <c r="G90" s="57">
        <v>2.1600000000000001E-2</v>
      </c>
      <c r="H90" s="47"/>
    </row>
    <row r="91" spans="2:8" x14ac:dyDescent="0.3">
      <c r="B91" s="56" t="s">
        <v>117</v>
      </c>
      <c r="C91" s="47"/>
      <c r="D91" s="47"/>
      <c r="E91" s="54"/>
      <c r="F91" s="57">
        <v>4.0132999999999997E-5</v>
      </c>
      <c r="G91" s="57">
        <v>2.1600000000000001E-2</v>
      </c>
      <c r="H91" s="47"/>
    </row>
    <row r="92" spans="2:8" x14ac:dyDescent="0.3">
      <c r="B92" s="56" t="s">
        <v>118</v>
      </c>
      <c r="C92" s="47"/>
      <c r="D92" s="47"/>
      <c r="E92" s="54"/>
      <c r="F92" s="57">
        <v>4.057E-5</v>
      </c>
      <c r="G92" s="57">
        <v>2.1600000000000001E-2</v>
      </c>
      <c r="H92" s="47"/>
    </row>
    <row r="93" spans="2:8" x14ac:dyDescent="0.3">
      <c r="B93" s="56" t="s">
        <v>119</v>
      </c>
      <c r="C93" s="47"/>
      <c r="D93" s="47"/>
      <c r="E93" s="54"/>
      <c r="F93" s="54">
        <v>3.2230000000000001E-5</v>
      </c>
      <c r="G93" s="57">
        <v>3.6999999999999998E-2</v>
      </c>
      <c r="H93" s="47"/>
    </row>
    <row r="94" spans="2:8" x14ac:dyDescent="0.3">
      <c r="B94" s="56" t="s">
        <v>120</v>
      </c>
      <c r="C94" s="47"/>
      <c r="D94" s="47"/>
      <c r="E94" s="54"/>
      <c r="F94" s="54">
        <v>3.1000000000000001E-5</v>
      </c>
      <c r="G94" s="57">
        <v>3.6999999999999998E-2</v>
      </c>
      <c r="H94" s="47"/>
    </row>
    <row r="95" spans="2:8" x14ac:dyDescent="0.3">
      <c r="B95" s="56" t="s">
        <v>121</v>
      </c>
      <c r="C95" s="47"/>
      <c r="D95" s="47"/>
      <c r="E95" s="54"/>
      <c r="F95" s="54">
        <v>3.048E-5</v>
      </c>
      <c r="G95" s="57">
        <v>3.6999999999999998E-2</v>
      </c>
      <c r="H95" s="47"/>
    </row>
    <row r="96" spans="2:8" x14ac:dyDescent="0.3">
      <c r="B96" s="56" t="s">
        <v>122</v>
      </c>
      <c r="C96" s="47"/>
      <c r="D96" s="47"/>
      <c r="E96" s="47"/>
      <c r="F96" s="57">
        <v>2.0000000000000002E-5</v>
      </c>
      <c r="G96" s="57">
        <v>4.8000000000000001E-2</v>
      </c>
      <c r="H96" s="47"/>
    </row>
    <row r="97" spans="2:10" x14ac:dyDescent="0.3">
      <c r="B97" s="56" t="s">
        <v>123</v>
      </c>
      <c r="C97" s="47"/>
      <c r="D97" s="47"/>
      <c r="E97" s="47"/>
      <c r="F97" s="57">
        <v>1.6699999999999999E-5</v>
      </c>
      <c r="G97" s="57">
        <v>5.0799999999999998E-2</v>
      </c>
      <c r="H97" s="47"/>
    </row>
    <row r="98" spans="2:10" x14ac:dyDescent="0.3">
      <c r="B98" s="58" t="s">
        <v>124</v>
      </c>
      <c r="C98" s="49"/>
      <c r="D98" s="49"/>
      <c r="E98" s="49"/>
      <c r="F98" s="59">
        <v>2.0000000000000002E-5</v>
      </c>
      <c r="G98" s="59">
        <v>5.5E-2</v>
      </c>
      <c r="H98" s="47"/>
    </row>
    <row r="99" spans="2:10" x14ac:dyDescent="0.3">
      <c r="B99" s="47"/>
      <c r="C99" s="47"/>
      <c r="D99" s="47"/>
      <c r="E99" s="47"/>
      <c r="F99" s="47"/>
      <c r="G99" s="47"/>
      <c r="H99" s="47"/>
    </row>
    <row r="100" spans="2:10" x14ac:dyDescent="0.3">
      <c r="B100" s="47"/>
      <c r="C100" s="47"/>
      <c r="D100" s="47"/>
      <c r="E100" s="47"/>
      <c r="F100" s="47"/>
      <c r="G100" s="47"/>
      <c r="H100" s="47"/>
    </row>
    <row r="101" spans="2:10" x14ac:dyDescent="0.3">
      <c r="D101" t="s">
        <v>125</v>
      </c>
    </row>
    <row r="102" spans="2:10" x14ac:dyDescent="0.3">
      <c r="B102" s="52" t="s">
        <v>126</v>
      </c>
      <c r="C102" s="53"/>
      <c r="D102" s="45"/>
      <c r="E102" s="45"/>
      <c r="F102" s="45"/>
      <c r="G102" s="46" t="s">
        <v>127</v>
      </c>
    </row>
    <row r="103" spans="2:10" x14ac:dyDescent="0.3">
      <c r="B103" s="60" t="s">
        <v>92</v>
      </c>
      <c r="C103" s="46"/>
      <c r="D103" s="50" t="s">
        <v>128</v>
      </c>
      <c r="E103" s="50" t="s">
        <v>129</v>
      </c>
      <c r="F103" s="50" t="s">
        <v>130</v>
      </c>
      <c r="G103" s="50" t="s">
        <v>131</v>
      </c>
    </row>
    <row r="104" spans="2:10" x14ac:dyDescent="0.3">
      <c r="B104" s="56" t="s">
        <v>132</v>
      </c>
      <c r="C104" s="47"/>
      <c r="D104" s="57">
        <v>8.9999999999999999E-11</v>
      </c>
      <c r="E104" s="55">
        <v>-3.0000000000000001E-6</v>
      </c>
      <c r="F104" s="55">
        <v>-6.1999999999999998E-3</v>
      </c>
      <c r="G104" s="55">
        <v>30.56</v>
      </c>
      <c r="I104" t="e">
        <v>#REF!</v>
      </c>
      <c r="J104" t="s">
        <v>133</v>
      </c>
    </row>
    <row r="105" spans="2:10" x14ac:dyDescent="0.3">
      <c r="B105" s="56" t="s">
        <v>134</v>
      </c>
      <c r="C105" s="47"/>
      <c r="D105" s="57">
        <v>3E-10</v>
      </c>
      <c r="E105" s="57">
        <v>-1.0499999999999999E-6</v>
      </c>
      <c r="F105" s="57">
        <v>5.7499999999999999E-3</v>
      </c>
      <c r="G105" s="57">
        <v>8.1639999999999997</v>
      </c>
      <c r="I105" t="e">
        <f>D104*I104^3+E104*I104^2+F104*I104+G104</f>
        <v>#REF!</v>
      </c>
    </row>
    <row r="106" spans="2:10" x14ac:dyDescent="0.3">
      <c r="B106" s="56" t="s">
        <v>135</v>
      </c>
      <c r="C106" s="47"/>
      <c r="D106" s="57">
        <v>0</v>
      </c>
      <c r="E106" s="61">
        <v>6.9999999999999999E-6</v>
      </c>
      <c r="F106" s="57">
        <v>4.1000000000000002E-2</v>
      </c>
      <c r="G106" s="57">
        <v>61.6</v>
      </c>
      <c r="I106" t="e">
        <f ca="1">THCM(I104,B104)</f>
        <v>#NAME?</v>
      </c>
    </row>
    <row r="107" spans="2:10" x14ac:dyDescent="0.3">
      <c r="B107" s="56" t="s">
        <v>136</v>
      </c>
      <c r="C107" s="47"/>
      <c r="D107" s="57">
        <v>0</v>
      </c>
      <c r="E107" s="57">
        <v>0</v>
      </c>
      <c r="F107" s="57">
        <v>0.03</v>
      </c>
      <c r="G107" s="57">
        <v>65</v>
      </c>
    </row>
    <row r="108" spans="2:10" x14ac:dyDescent="0.3">
      <c r="B108" s="56"/>
      <c r="C108" s="47"/>
      <c r="D108" s="57"/>
      <c r="E108" s="57"/>
      <c r="F108" s="57"/>
      <c r="G108" s="57"/>
    </row>
    <row r="109" spans="2:10" x14ac:dyDescent="0.3">
      <c r="B109" s="56"/>
      <c r="C109" s="47"/>
      <c r="D109" s="57"/>
      <c r="E109" s="57"/>
      <c r="F109" s="57"/>
      <c r="G109" s="57"/>
    </row>
    <row r="110" spans="2:10" x14ac:dyDescent="0.3">
      <c r="B110" s="56"/>
      <c r="C110" s="47"/>
      <c r="D110" s="57"/>
      <c r="E110" s="57"/>
      <c r="F110" s="57"/>
      <c r="G110" s="57"/>
    </row>
    <row r="111" spans="2:10" x14ac:dyDescent="0.3">
      <c r="B111" s="58"/>
      <c r="C111" s="49"/>
      <c r="D111" s="59"/>
      <c r="E111" s="59"/>
      <c r="F111" s="59"/>
      <c r="G111" s="59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F691B-8EA3-4CAF-A00C-E030AFAA5CC2}">
  <sheetPr codeName="Sheet3"/>
  <dimension ref="B4:AE112"/>
  <sheetViews>
    <sheetView topLeftCell="A35" zoomScale="40" zoomScaleNormal="40" workbookViewId="0">
      <selection activeCell="AN45" sqref="AN45"/>
    </sheetView>
  </sheetViews>
  <sheetFormatPr defaultRowHeight="16.5" x14ac:dyDescent="0.3"/>
  <cols>
    <col min="2" max="2" width="2.625" customWidth="1"/>
    <col min="3" max="3" width="4.125" customWidth="1"/>
    <col min="4" max="4" width="6.625" customWidth="1"/>
    <col min="6" max="6" width="4.625" customWidth="1"/>
    <col min="14" max="14" width="6.625" customWidth="1"/>
    <col min="15" max="15" width="4.625" customWidth="1"/>
    <col min="19" max="19" width="4.625" customWidth="1"/>
    <col min="25" max="25" width="2.625" customWidth="1"/>
    <col min="26" max="26" width="3.625" customWidth="1"/>
    <col min="27" max="27" width="2.625" customWidth="1"/>
    <col min="29" max="29" width="2.625" customWidth="1"/>
    <col min="30" max="30" width="3.625" customWidth="1"/>
  </cols>
  <sheetData>
    <row r="4" spans="2:3" ht="37.5" x14ac:dyDescent="0.5">
      <c r="B4" s="62" t="s">
        <v>137</v>
      </c>
      <c r="C4" s="63"/>
    </row>
    <row r="5" spans="2:3" ht="37.5" x14ac:dyDescent="0.5">
      <c r="B5" s="62"/>
      <c r="C5" s="63"/>
    </row>
    <row r="6" spans="2:3" ht="37.5" x14ac:dyDescent="0.5">
      <c r="B6" s="64" t="s">
        <v>138</v>
      </c>
      <c r="C6" s="63"/>
    </row>
    <row r="7" spans="2:3" ht="23.25" x14ac:dyDescent="0.35">
      <c r="B7" s="65"/>
      <c r="C7" s="66" t="s">
        <v>139</v>
      </c>
    </row>
    <row r="8" spans="2:3" ht="23.25" x14ac:dyDescent="0.35">
      <c r="B8" s="65"/>
      <c r="C8" s="66"/>
    </row>
    <row r="9" spans="2:3" ht="25.5" x14ac:dyDescent="0.35">
      <c r="B9" s="64" t="s">
        <v>140</v>
      </c>
      <c r="C9" s="65"/>
    </row>
    <row r="10" spans="2:3" ht="24" x14ac:dyDescent="0.35">
      <c r="B10" s="65"/>
      <c r="C10" s="66" t="s">
        <v>141</v>
      </c>
    </row>
    <row r="11" spans="2:3" ht="23.25" x14ac:dyDescent="0.35">
      <c r="B11" s="65"/>
      <c r="C11" s="66"/>
    </row>
    <row r="12" spans="2:3" ht="25.5" x14ac:dyDescent="0.35">
      <c r="B12" s="64" t="s">
        <v>142</v>
      </c>
      <c r="C12" s="65"/>
    </row>
    <row r="13" spans="2:3" ht="24" x14ac:dyDescent="0.35">
      <c r="B13" s="65"/>
      <c r="C13" s="66" t="s">
        <v>143</v>
      </c>
    </row>
    <row r="14" spans="2:3" ht="23.25" x14ac:dyDescent="0.35">
      <c r="B14" s="65"/>
      <c r="C14" s="66"/>
    </row>
    <row r="15" spans="2:3" ht="25.5" x14ac:dyDescent="0.35">
      <c r="B15" s="64" t="s">
        <v>144</v>
      </c>
      <c r="C15" s="65"/>
    </row>
    <row r="16" spans="2:3" ht="24" x14ac:dyDescent="0.35">
      <c r="B16" s="65"/>
      <c r="C16" s="66" t="s">
        <v>145</v>
      </c>
    </row>
    <row r="18" spans="2:29" ht="37.5" x14ac:dyDescent="0.5">
      <c r="B18" s="62" t="s">
        <v>146</v>
      </c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</row>
    <row r="19" spans="2:29" ht="20.100000000000001" customHeight="1" x14ac:dyDescent="0.5">
      <c r="B19" s="62"/>
      <c r="C19" s="63"/>
      <c r="D19" s="63"/>
      <c r="E19" s="63"/>
      <c r="F19" s="63"/>
      <c r="G19" s="63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</row>
    <row r="20" spans="2:29" ht="25.5" customHeight="1" x14ac:dyDescent="0.5">
      <c r="B20" s="66" t="s">
        <v>147</v>
      </c>
      <c r="C20" s="63"/>
      <c r="D20" s="63"/>
      <c r="E20" s="63"/>
      <c r="F20" s="63"/>
      <c r="G20" s="63"/>
      <c r="H20" s="63"/>
      <c r="I20" s="64"/>
      <c r="J20" s="64"/>
      <c r="K20" s="64"/>
      <c r="L20" s="64"/>
      <c r="M20" s="64"/>
      <c r="N20" s="64"/>
      <c r="O20" s="64"/>
      <c r="Y20" s="65"/>
      <c r="Z20" s="65"/>
      <c r="AA20" s="65"/>
      <c r="AB20" s="65"/>
      <c r="AC20" s="65"/>
    </row>
    <row r="21" spans="2:29" ht="12.6" customHeight="1" x14ac:dyDescent="0.5">
      <c r="B21" s="63"/>
      <c r="C21" s="66"/>
      <c r="D21" s="63"/>
      <c r="E21" s="63"/>
      <c r="F21" s="63"/>
      <c r="G21" s="63"/>
      <c r="H21" s="63"/>
      <c r="I21" s="64"/>
      <c r="J21" s="64"/>
      <c r="K21" s="64"/>
      <c r="L21" s="64"/>
      <c r="M21" s="64"/>
      <c r="N21" s="64"/>
      <c r="O21" s="64"/>
      <c r="Y21" s="65"/>
      <c r="Z21" s="65"/>
      <c r="AA21" s="65"/>
      <c r="AB21" s="65"/>
      <c r="AC21" s="65"/>
    </row>
    <row r="22" spans="2:29" ht="25.5" customHeight="1" x14ac:dyDescent="0.5">
      <c r="B22" s="63"/>
      <c r="D22" s="395" t="s">
        <v>148</v>
      </c>
      <c r="E22" s="68" t="s">
        <v>149</v>
      </c>
      <c r="G22" s="395" t="s">
        <v>150</v>
      </c>
      <c r="H22" s="396" t="s">
        <v>151</v>
      </c>
      <c r="I22" s="396"/>
      <c r="J22" s="396"/>
      <c r="K22" s="68"/>
      <c r="L22" s="68"/>
      <c r="M22" s="68"/>
      <c r="N22" s="68"/>
      <c r="O22" s="64"/>
      <c r="Y22" s="65"/>
      <c r="Z22" s="65"/>
      <c r="AA22" s="65"/>
      <c r="AB22" s="65"/>
      <c r="AC22" s="65"/>
    </row>
    <row r="23" spans="2:29" ht="25.5" customHeight="1" x14ac:dyDescent="0.5">
      <c r="B23" s="63"/>
      <c r="C23" s="67"/>
      <c r="D23" s="395"/>
      <c r="E23" s="69" t="s">
        <v>152</v>
      </c>
      <c r="G23" s="395"/>
      <c r="H23" s="397" t="s">
        <v>153</v>
      </c>
      <c r="I23" s="397"/>
      <c r="J23" s="397"/>
      <c r="K23" s="70"/>
      <c r="L23" s="70"/>
      <c r="M23" s="70"/>
      <c r="N23" s="70"/>
      <c r="O23" s="64"/>
      <c r="Y23" s="65"/>
      <c r="Z23" s="65"/>
      <c r="AA23" s="65"/>
      <c r="AB23" s="65"/>
      <c r="AC23" s="65"/>
    </row>
    <row r="24" spans="2:29" ht="12.6" customHeight="1" x14ac:dyDescent="0.5">
      <c r="B24" s="63"/>
      <c r="C24" s="67"/>
      <c r="D24" s="67"/>
      <c r="E24" s="68"/>
      <c r="G24" s="67"/>
      <c r="H24" s="70"/>
      <c r="I24" s="70"/>
      <c r="J24" s="70"/>
      <c r="K24" s="70"/>
      <c r="L24" s="70"/>
      <c r="M24" s="70"/>
      <c r="N24" s="70"/>
      <c r="O24" s="64"/>
      <c r="Y24" s="65"/>
      <c r="Z24" s="65"/>
      <c r="AA24" s="65"/>
      <c r="AB24" s="65"/>
      <c r="AC24" s="65"/>
    </row>
    <row r="25" spans="2:29" ht="25.5" customHeight="1" x14ac:dyDescent="0.5">
      <c r="B25" s="66" t="s">
        <v>154</v>
      </c>
      <c r="C25" s="67"/>
      <c r="D25" s="68"/>
      <c r="E25" s="63"/>
      <c r="F25" s="67"/>
      <c r="G25" s="70"/>
      <c r="H25" s="70"/>
      <c r="I25" s="70"/>
      <c r="J25" s="64"/>
      <c r="K25" s="64"/>
      <c r="L25" s="64"/>
      <c r="M25" s="64"/>
      <c r="N25" s="64"/>
      <c r="O25" s="64"/>
      <c r="Y25" s="65"/>
      <c r="Z25" s="65"/>
      <c r="AA25" s="65"/>
      <c r="AB25" s="65"/>
      <c r="AC25" s="65"/>
    </row>
    <row r="26" spans="2:29" ht="12.6" customHeight="1" x14ac:dyDescent="0.3"/>
    <row r="27" spans="2:29" ht="23.25" customHeight="1" x14ac:dyDescent="0.35">
      <c r="C27" s="66" t="s">
        <v>155</v>
      </c>
    </row>
    <row r="28" spans="2:29" ht="12.6" customHeight="1" x14ac:dyDescent="0.3"/>
    <row r="29" spans="2:29" ht="23.25" customHeight="1" x14ac:dyDescent="0.35">
      <c r="D29" s="66" t="s">
        <v>156</v>
      </c>
      <c r="G29" s="395" t="s">
        <v>157</v>
      </c>
      <c r="H29" s="398" t="s">
        <v>158</v>
      </c>
      <c r="I29" s="398"/>
      <c r="O29" s="66" t="s">
        <v>159</v>
      </c>
      <c r="T29" s="71" t="s">
        <v>157</v>
      </c>
      <c r="U29" s="71" t="s">
        <v>160</v>
      </c>
      <c r="V29" s="71"/>
      <c r="X29" s="71" t="s">
        <v>161</v>
      </c>
    </row>
    <row r="30" spans="2:29" ht="23.25" customHeight="1" x14ac:dyDescent="0.35">
      <c r="D30" s="66"/>
      <c r="G30" s="395"/>
      <c r="H30" s="399">
        <v>2</v>
      </c>
      <c r="I30" s="399"/>
      <c r="T30" s="71" t="s">
        <v>157</v>
      </c>
      <c r="U30" s="71" t="s">
        <v>162</v>
      </c>
      <c r="V30" s="71"/>
      <c r="X30" s="71" t="s">
        <v>163</v>
      </c>
    </row>
    <row r="31" spans="2:29" ht="12.6" customHeight="1" x14ac:dyDescent="0.3">
      <c r="G31" s="71"/>
    </row>
    <row r="32" spans="2:29" ht="23.25" customHeight="1" x14ac:dyDescent="0.35">
      <c r="D32" s="71" t="s">
        <v>164</v>
      </c>
      <c r="G32" s="395" t="s">
        <v>157</v>
      </c>
      <c r="H32" s="398" t="s">
        <v>165</v>
      </c>
      <c r="I32" s="398"/>
      <c r="O32" s="66" t="s">
        <v>166</v>
      </c>
      <c r="T32" s="71" t="s">
        <v>157</v>
      </c>
      <c r="U32" s="71" t="s">
        <v>167</v>
      </c>
      <c r="V32" s="71"/>
      <c r="X32" s="71" t="s">
        <v>161</v>
      </c>
    </row>
    <row r="33" spans="2:24" ht="23.25" customHeight="1" x14ac:dyDescent="0.3">
      <c r="D33" s="71"/>
      <c r="G33" s="395"/>
      <c r="H33" s="399">
        <v>2</v>
      </c>
      <c r="I33" s="399"/>
      <c r="T33" s="71" t="s">
        <v>157</v>
      </c>
      <c r="U33" s="71" t="s">
        <v>168</v>
      </c>
      <c r="V33" s="71"/>
      <c r="X33" s="71" t="s">
        <v>163</v>
      </c>
    </row>
    <row r="34" spans="2:24" ht="12.6" customHeight="1" x14ac:dyDescent="0.3">
      <c r="D34" s="71"/>
      <c r="G34" s="67"/>
      <c r="H34" s="67"/>
      <c r="I34" s="67"/>
      <c r="O34" s="67"/>
      <c r="P34" s="67"/>
      <c r="Q34" s="67"/>
    </row>
    <row r="35" spans="2:24" ht="23.25" customHeight="1" x14ac:dyDescent="0.35">
      <c r="D35" s="66" t="s">
        <v>169</v>
      </c>
      <c r="G35" s="67" t="s">
        <v>157</v>
      </c>
      <c r="H35" s="398" t="s">
        <v>158</v>
      </c>
      <c r="I35" s="398"/>
      <c r="O35" s="66" t="s">
        <v>170</v>
      </c>
      <c r="P35" s="67"/>
      <c r="Q35" s="67"/>
      <c r="T35" s="71" t="s">
        <v>171</v>
      </c>
      <c r="U35" s="71" t="s">
        <v>172</v>
      </c>
      <c r="X35" s="71" t="s">
        <v>161</v>
      </c>
    </row>
    <row r="36" spans="2:24" ht="23.25" customHeight="1" x14ac:dyDescent="0.3">
      <c r="G36" s="67"/>
      <c r="H36" s="399">
        <v>2</v>
      </c>
      <c r="I36" s="399"/>
      <c r="O36" s="67"/>
      <c r="P36" s="67"/>
      <c r="Q36" s="67"/>
      <c r="T36" s="71" t="s">
        <v>171</v>
      </c>
      <c r="U36" s="71" t="s">
        <v>168</v>
      </c>
      <c r="X36" s="71" t="s">
        <v>163</v>
      </c>
    </row>
    <row r="37" spans="2:24" ht="12.6" customHeight="1" x14ac:dyDescent="0.3">
      <c r="O37" s="67"/>
      <c r="P37" s="67"/>
      <c r="Q37" s="67"/>
    </row>
    <row r="38" spans="2:24" ht="23.25" customHeight="1" x14ac:dyDescent="0.35">
      <c r="D38" s="66" t="s">
        <v>173</v>
      </c>
      <c r="G38" s="67" t="s">
        <v>157</v>
      </c>
      <c r="H38" s="398" t="s">
        <v>165</v>
      </c>
      <c r="I38" s="398"/>
      <c r="O38" s="67"/>
      <c r="P38" s="67"/>
      <c r="Q38" s="67"/>
    </row>
    <row r="39" spans="2:24" ht="23.25" customHeight="1" x14ac:dyDescent="0.3">
      <c r="G39" s="67"/>
      <c r="H39" s="399">
        <v>2</v>
      </c>
      <c r="I39" s="399"/>
      <c r="O39" s="67"/>
      <c r="P39" s="67"/>
      <c r="Q39" s="67"/>
    </row>
    <row r="40" spans="2:24" ht="12.6" customHeight="1" x14ac:dyDescent="0.3"/>
    <row r="41" spans="2:24" ht="23.25" customHeight="1" x14ac:dyDescent="0.35">
      <c r="C41" s="66" t="s">
        <v>174</v>
      </c>
    </row>
    <row r="42" spans="2:24" ht="12.6" customHeight="1" x14ac:dyDescent="0.3"/>
    <row r="43" spans="2:24" ht="23.25" x14ac:dyDescent="0.35">
      <c r="B43" s="66"/>
      <c r="C43" s="66" t="s">
        <v>156</v>
      </c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6" t="s">
        <v>159</v>
      </c>
    </row>
    <row r="44" spans="2:24" ht="12.6" customHeight="1" x14ac:dyDescent="0.35">
      <c r="B44" s="66"/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</row>
    <row r="45" spans="2:24" ht="27.75" x14ac:dyDescent="0.35">
      <c r="B45" s="66" t="s">
        <v>175</v>
      </c>
      <c r="D45" s="66" t="s">
        <v>176</v>
      </c>
      <c r="E45" s="65"/>
      <c r="F45" s="65"/>
      <c r="G45" s="65"/>
      <c r="H45" s="65"/>
      <c r="I45" s="65"/>
      <c r="J45" s="65"/>
      <c r="K45" s="65"/>
      <c r="L45" s="66" t="s">
        <v>177</v>
      </c>
      <c r="M45" s="66"/>
      <c r="N45" s="66"/>
      <c r="P45" s="71" t="s">
        <v>178</v>
      </c>
    </row>
    <row r="46" spans="2:24" ht="12.6" customHeight="1" x14ac:dyDescent="0.35">
      <c r="B46" s="66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6"/>
      <c r="P46" s="71"/>
      <c r="Q46" s="65"/>
      <c r="R46" s="65"/>
      <c r="S46" s="65"/>
      <c r="T46" s="65"/>
      <c r="U46" s="65"/>
      <c r="V46" s="65"/>
      <c r="W46" s="65"/>
    </row>
    <row r="47" spans="2:24" ht="28.5" x14ac:dyDescent="0.4">
      <c r="B47" s="66"/>
      <c r="D47" s="66" t="s">
        <v>179</v>
      </c>
      <c r="E47" s="65"/>
      <c r="F47" s="65"/>
      <c r="G47" s="65"/>
      <c r="H47" s="65"/>
      <c r="I47" s="65"/>
      <c r="J47" s="65"/>
      <c r="K47" s="65"/>
      <c r="L47" s="66" t="s">
        <v>180</v>
      </c>
      <c r="M47" s="65"/>
      <c r="N47" s="65"/>
      <c r="O47" s="66" t="s">
        <v>166</v>
      </c>
    </row>
    <row r="48" spans="2:24" ht="12.6" customHeight="1" x14ac:dyDescent="0.35">
      <c r="B48" s="66"/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</row>
    <row r="49" spans="2:31" ht="24.75" customHeight="1" x14ac:dyDescent="0.35">
      <c r="C49" s="71" t="s">
        <v>164</v>
      </c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P49" s="66" t="s">
        <v>181</v>
      </c>
    </row>
    <row r="50" spans="2:31" ht="12.6" customHeight="1" x14ac:dyDescent="0.35">
      <c r="B50" s="66"/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</row>
    <row r="51" spans="2:31" ht="27.2" customHeight="1" x14ac:dyDescent="0.4">
      <c r="B51" s="66" t="s">
        <v>175</v>
      </c>
      <c r="D51" s="66" t="s">
        <v>182</v>
      </c>
      <c r="E51" s="65"/>
      <c r="F51" s="65"/>
      <c r="G51" s="65"/>
      <c r="H51" s="65"/>
      <c r="I51" s="65"/>
      <c r="J51" s="65"/>
      <c r="K51" s="65"/>
      <c r="L51" s="66" t="s">
        <v>183</v>
      </c>
      <c r="M51" s="66"/>
      <c r="N51" s="65"/>
      <c r="O51" s="66" t="s">
        <v>184</v>
      </c>
      <c r="P51" s="65"/>
      <c r="Q51" s="65"/>
      <c r="R51" s="65"/>
      <c r="S51" s="65"/>
      <c r="T51" s="65"/>
      <c r="U51" s="65"/>
      <c r="V51" s="65"/>
      <c r="W51" s="65"/>
      <c r="AE51">
        <f>16-8</f>
        <v>8</v>
      </c>
    </row>
    <row r="52" spans="2:31" ht="12.6" customHeight="1" x14ac:dyDescent="0.35">
      <c r="B52" s="66"/>
      <c r="D52" s="65"/>
      <c r="E52" s="65"/>
      <c r="F52" s="65"/>
      <c r="G52" s="65"/>
      <c r="H52" s="65"/>
      <c r="I52" s="65"/>
      <c r="O52" s="66"/>
      <c r="P52" s="65"/>
      <c r="Q52" s="65"/>
    </row>
    <row r="53" spans="2:31" ht="27.2" customHeight="1" x14ac:dyDescent="0.5">
      <c r="B53" s="66"/>
      <c r="D53" s="66" t="s">
        <v>185</v>
      </c>
      <c r="E53" s="65"/>
      <c r="F53" s="65"/>
      <c r="G53" s="65"/>
      <c r="H53" s="65"/>
      <c r="I53" s="65"/>
      <c r="J53" s="64"/>
      <c r="K53" s="64"/>
      <c r="L53" s="64" t="s">
        <v>186</v>
      </c>
      <c r="M53" s="64"/>
      <c r="N53" s="64"/>
      <c r="P53" s="71" t="s">
        <v>187</v>
      </c>
      <c r="Q53" s="65"/>
      <c r="R53" s="65"/>
      <c r="S53" s="65"/>
      <c r="T53" s="65"/>
      <c r="U53" s="65"/>
      <c r="V53" s="65"/>
      <c r="W53" s="65"/>
      <c r="AD53" s="63"/>
    </row>
    <row r="54" spans="2:31" ht="12.6" customHeight="1" x14ac:dyDescent="0.2">
      <c r="R54" s="65"/>
      <c r="S54" s="65"/>
      <c r="T54" s="65"/>
      <c r="U54" s="65"/>
      <c r="V54" s="65"/>
      <c r="W54" s="65"/>
    </row>
    <row r="55" spans="2:31" ht="37.5" x14ac:dyDescent="0.5">
      <c r="C55" s="66" t="s">
        <v>169</v>
      </c>
      <c r="O55" s="66" t="s">
        <v>188</v>
      </c>
      <c r="T55" s="65"/>
      <c r="U55" s="65"/>
      <c r="V55" s="65"/>
      <c r="W55" s="65"/>
      <c r="AC55" s="63"/>
      <c r="AD55" s="65"/>
    </row>
    <row r="56" spans="2:31" ht="12.6" customHeight="1" x14ac:dyDescent="0.35">
      <c r="B56" s="66"/>
      <c r="C56" s="65"/>
      <c r="V56" s="65"/>
      <c r="W56" s="65"/>
      <c r="AD56" s="65"/>
    </row>
    <row r="57" spans="2:31" ht="27.2" customHeight="1" x14ac:dyDescent="0.5">
      <c r="B57" s="66"/>
      <c r="D57" s="71" t="s">
        <v>178</v>
      </c>
      <c r="L57" s="66" t="s">
        <v>177</v>
      </c>
      <c r="M57" s="66"/>
      <c r="P57" s="71" t="s">
        <v>189</v>
      </c>
      <c r="R57" s="71" t="s">
        <v>190</v>
      </c>
      <c r="S57" s="71"/>
      <c r="V57" s="65"/>
      <c r="W57" s="65"/>
      <c r="Y57" s="63"/>
      <c r="Z57" s="63"/>
      <c r="AA57" s="63"/>
      <c r="AB57" s="63"/>
      <c r="AC57" s="65"/>
      <c r="AD57" s="65"/>
    </row>
    <row r="58" spans="2:31" ht="27.2" customHeight="1" x14ac:dyDescent="0.5">
      <c r="B58" s="66"/>
      <c r="D58" s="71"/>
      <c r="L58" s="66" t="s">
        <v>191</v>
      </c>
      <c r="M58" s="66"/>
      <c r="P58" s="71"/>
      <c r="R58" s="71"/>
      <c r="S58" s="71"/>
      <c r="V58" s="65"/>
      <c r="W58" s="65"/>
      <c r="Y58" s="63"/>
      <c r="Z58" s="63"/>
      <c r="AA58" s="63"/>
      <c r="AB58" s="63"/>
      <c r="AC58" s="65"/>
      <c r="AD58" s="65"/>
    </row>
    <row r="59" spans="2:31" ht="12.6" customHeight="1" x14ac:dyDescent="0.35">
      <c r="O59" s="66"/>
      <c r="P59" s="65"/>
      <c r="Q59" s="65"/>
      <c r="R59" s="65"/>
      <c r="S59" s="65"/>
      <c r="V59" s="65"/>
      <c r="W59" s="65"/>
      <c r="AC59" s="65"/>
      <c r="AD59" s="65"/>
    </row>
    <row r="60" spans="2:31" ht="27.6" customHeight="1" x14ac:dyDescent="0.35">
      <c r="C60" s="66" t="s">
        <v>173</v>
      </c>
      <c r="D60" s="65"/>
      <c r="E60" s="65"/>
      <c r="F60" s="65"/>
      <c r="G60" s="66"/>
      <c r="H60" s="66"/>
      <c r="I60" s="65"/>
      <c r="J60" s="65"/>
      <c r="O60" s="66" t="s">
        <v>192</v>
      </c>
      <c r="Q60" s="65"/>
      <c r="R60" s="65"/>
      <c r="S60" s="65"/>
      <c r="V60" s="66"/>
      <c r="W60" s="66"/>
      <c r="Y60" s="65"/>
      <c r="Z60" s="65"/>
      <c r="AA60" s="65"/>
      <c r="AB60" s="65"/>
      <c r="AC60" s="72"/>
      <c r="AD60" s="65"/>
    </row>
    <row r="61" spans="2:31" ht="12.6" customHeight="1" x14ac:dyDescent="0.35">
      <c r="C61" s="66"/>
      <c r="D61" s="65"/>
      <c r="E61" s="65"/>
      <c r="F61" s="65"/>
      <c r="G61" s="66"/>
      <c r="H61" s="66"/>
      <c r="I61" s="65"/>
      <c r="J61" s="65"/>
      <c r="U61" s="65"/>
      <c r="V61" s="65"/>
      <c r="W61" s="65"/>
      <c r="X61" s="65"/>
      <c r="Y61" s="65"/>
      <c r="Z61" s="65"/>
      <c r="AA61" s="65"/>
      <c r="AB61" s="65"/>
      <c r="AC61" s="72"/>
      <c r="AD61" s="65"/>
    </row>
    <row r="62" spans="2:31" ht="27.6" customHeight="1" x14ac:dyDescent="0.35">
      <c r="C62" s="66"/>
      <c r="D62" s="71" t="s">
        <v>193</v>
      </c>
      <c r="E62" s="65"/>
      <c r="F62" s="65"/>
      <c r="G62" s="66"/>
      <c r="H62" s="66"/>
      <c r="I62" s="66"/>
      <c r="L62" s="66" t="s">
        <v>194</v>
      </c>
      <c r="P62" s="66"/>
      <c r="Q62" s="71"/>
      <c r="R62" s="71"/>
      <c r="S62" s="71"/>
      <c r="T62" s="71"/>
      <c r="U62" s="73"/>
      <c r="V62" s="73"/>
      <c r="W62" s="74"/>
      <c r="X62" s="73"/>
      <c r="Y62" s="72"/>
      <c r="Z62" s="73"/>
      <c r="AA62" s="74"/>
      <c r="AB62" s="73"/>
      <c r="AC62" s="72"/>
      <c r="AD62" s="65"/>
    </row>
    <row r="63" spans="2:31" ht="27.2" customHeight="1" x14ac:dyDescent="0.35">
      <c r="B63" s="66"/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Q63" s="71"/>
      <c r="R63" s="71"/>
      <c r="S63" s="71"/>
      <c r="T63" s="71"/>
      <c r="U63" s="73"/>
      <c r="V63" s="73"/>
      <c r="W63" s="75"/>
      <c r="X63" s="73"/>
      <c r="Y63" s="72"/>
      <c r="Z63" s="73"/>
      <c r="AA63" s="75"/>
      <c r="AB63" s="73"/>
      <c r="AC63" s="72"/>
      <c r="AD63" s="65"/>
    </row>
    <row r="64" spans="2:31" ht="27.2" customHeight="1" x14ac:dyDescent="0.35">
      <c r="B64" s="66"/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Q64" s="71"/>
      <c r="R64" s="71"/>
      <c r="S64" s="71"/>
      <c r="T64" s="71"/>
      <c r="U64" s="73"/>
      <c r="V64" s="73"/>
      <c r="W64" s="75"/>
      <c r="X64" s="73"/>
      <c r="Y64" s="72"/>
      <c r="Z64" s="73"/>
      <c r="AA64" s="75"/>
      <c r="AB64" s="73"/>
      <c r="AC64" s="72"/>
      <c r="AD64" s="65"/>
    </row>
    <row r="65" spans="2:30" ht="23.25" customHeight="1" x14ac:dyDescent="0.35">
      <c r="B65" s="66"/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Q65" s="71"/>
      <c r="R65" s="71"/>
      <c r="S65" s="71"/>
      <c r="T65" s="71"/>
      <c r="U65" s="73"/>
      <c r="V65" s="73"/>
      <c r="W65" s="75"/>
      <c r="X65" s="73"/>
      <c r="Y65" s="72"/>
      <c r="Z65" s="73"/>
      <c r="AA65" s="75"/>
      <c r="AB65" s="73"/>
      <c r="AC65" s="72"/>
      <c r="AD65" s="65"/>
    </row>
    <row r="66" spans="2:30" ht="23.25" x14ac:dyDescent="0.35">
      <c r="B66" s="66"/>
      <c r="C66" s="66" t="s">
        <v>195</v>
      </c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Q66" s="71"/>
      <c r="R66" s="71"/>
      <c r="S66" s="71"/>
      <c r="T66" s="71"/>
      <c r="U66" s="73"/>
      <c r="V66" s="73"/>
      <c r="W66" s="75"/>
      <c r="X66" s="73"/>
      <c r="Y66" s="72"/>
      <c r="Z66" s="73"/>
      <c r="AA66" s="75"/>
      <c r="AB66" s="73"/>
      <c r="AC66" s="65"/>
      <c r="AD66" s="65"/>
    </row>
    <row r="67" spans="2:30" ht="23.25" x14ac:dyDescent="0.35">
      <c r="B67" s="66"/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Q67" s="71"/>
      <c r="R67" s="71"/>
      <c r="S67" s="71"/>
      <c r="T67" s="71"/>
      <c r="U67" s="73"/>
      <c r="V67" s="73"/>
      <c r="W67" s="75"/>
      <c r="X67" s="73"/>
      <c r="Y67" s="72"/>
      <c r="Z67" s="73"/>
      <c r="AA67" s="75"/>
      <c r="AB67" s="73"/>
      <c r="AC67" s="65"/>
      <c r="AD67" s="66"/>
    </row>
    <row r="68" spans="2:30" ht="23.25" x14ac:dyDescent="0.35">
      <c r="B68" s="66"/>
      <c r="C68" s="66" t="s">
        <v>156</v>
      </c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6" t="s">
        <v>173</v>
      </c>
      <c r="P68" s="65"/>
      <c r="Q68" s="66"/>
      <c r="R68" s="66"/>
      <c r="S68" s="66"/>
      <c r="T68" s="65"/>
      <c r="U68" s="65"/>
      <c r="V68" s="65"/>
      <c r="W68" s="65"/>
      <c r="X68" s="65"/>
      <c r="Y68" s="65"/>
      <c r="AC68" s="65"/>
      <c r="AD68" s="65"/>
    </row>
    <row r="69" spans="2:30" ht="23.25" x14ac:dyDescent="0.35">
      <c r="B69" s="65"/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6"/>
      <c r="R69" s="66"/>
      <c r="S69" s="66"/>
      <c r="T69" s="65"/>
      <c r="U69" s="65"/>
      <c r="V69" s="65"/>
      <c r="W69" s="65"/>
      <c r="X69" s="65"/>
      <c r="Y69" s="65"/>
      <c r="AC69" s="65"/>
      <c r="AD69" s="65"/>
    </row>
    <row r="70" spans="2:30" x14ac:dyDescent="0.2">
      <c r="B70" s="65"/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AC70" s="65"/>
      <c r="AD70" s="65"/>
    </row>
    <row r="71" spans="2:30" x14ac:dyDescent="0.2">
      <c r="B71" s="65"/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AC71" s="65"/>
      <c r="AD71" s="65"/>
    </row>
    <row r="72" spans="2:30" x14ac:dyDescent="0.2">
      <c r="B72" s="65"/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AC72" s="65"/>
      <c r="AD72" s="65"/>
    </row>
    <row r="73" spans="2:30" x14ac:dyDescent="0.2">
      <c r="B73" s="65"/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AC73" s="65"/>
      <c r="AD73" s="65"/>
    </row>
    <row r="74" spans="2:30" ht="23.25" customHeight="1" x14ac:dyDescent="0.2">
      <c r="B74" s="65"/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AC74" s="65"/>
      <c r="AD74" s="65"/>
    </row>
    <row r="75" spans="2:30" ht="23.25" x14ac:dyDescent="0.35">
      <c r="B75" s="65"/>
      <c r="C75" s="71" t="s">
        <v>164</v>
      </c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6" t="s">
        <v>169</v>
      </c>
      <c r="P75" s="65"/>
      <c r="Q75" s="65"/>
      <c r="R75" s="65"/>
      <c r="S75" s="65"/>
      <c r="T75" s="65"/>
      <c r="U75" s="65"/>
      <c r="V75" s="65"/>
      <c r="W75" s="65"/>
      <c r="X75" s="65"/>
      <c r="Y75" s="65"/>
      <c r="AC75" s="65"/>
      <c r="AD75" s="65"/>
    </row>
    <row r="76" spans="2:30" ht="23.25" customHeight="1" x14ac:dyDescent="0.3"/>
    <row r="77" spans="2:30" ht="23.25" customHeight="1" x14ac:dyDescent="0.3"/>
    <row r="78" spans="2:30" ht="23.25" customHeight="1" x14ac:dyDescent="0.2">
      <c r="B78" s="65"/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</row>
    <row r="79" spans="2:30" ht="23.25" customHeight="1" x14ac:dyDescent="0.3"/>
    <row r="80" spans="2:30" ht="23.25" customHeight="1" x14ac:dyDescent="0.35">
      <c r="B80" s="66"/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6"/>
      <c r="R80" s="66"/>
      <c r="S80" s="66"/>
    </row>
    <row r="81" spans="2:22" ht="23.25" x14ac:dyDescent="0.35">
      <c r="B81" s="66"/>
      <c r="C81" s="71" t="s">
        <v>196</v>
      </c>
      <c r="D81" s="65"/>
      <c r="E81" s="76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6"/>
      <c r="Q81" s="65"/>
      <c r="R81" s="65"/>
      <c r="S81" s="65"/>
      <c r="T81" s="65"/>
      <c r="U81" s="66"/>
      <c r="V81" s="66"/>
    </row>
    <row r="83" spans="2:22" ht="23.25" x14ac:dyDescent="0.35">
      <c r="B83" s="66"/>
      <c r="C83" s="65"/>
      <c r="D83" s="71" t="s">
        <v>197</v>
      </c>
      <c r="E83" s="76"/>
      <c r="F83" s="65"/>
      <c r="G83" s="65"/>
      <c r="H83" s="65"/>
      <c r="I83" s="65"/>
      <c r="J83" s="65"/>
      <c r="K83" s="65"/>
      <c r="L83" s="71" t="s">
        <v>198</v>
      </c>
      <c r="M83" s="65"/>
      <c r="N83" s="65"/>
      <c r="O83" s="65"/>
      <c r="P83" s="66"/>
      <c r="Q83" s="65"/>
      <c r="R83" s="65"/>
      <c r="S83" s="65"/>
      <c r="T83" s="65"/>
      <c r="U83" s="66"/>
      <c r="V83" s="66"/>
    </row>
    <row r="84" spans="2:22" ht="23.25" x14ac:dyDescent="0.3">
      <c r="D84" s="77" t="s">
        <v>199</v>
      </c>
      <c r="L84" s="71" t="s">
        <v>200</v>
      </c>
    </row>
    <row r="86" spans="2:22" ht="23.25" x14ac:dyDescent="0.35">
      <c r="B86" s="66"/>
      <c r="C86" s="66" t="s">
        <v>201</v>
      </c>
    </row>
    <row r="87" spans="2:22" ht="23.25" x14ac:dyDescent="0.35">
      <c r="B87" s="66"/>
      <c r="C87" s="66"/>
    </row>
    <row r="88" spans="2:22" ht="23.25" x14ac:dyDescent="0.35">
      <c r="B88" s="66"/>
      <c r="C88" s="66"/>
      <c r="V88" s="71" t="s">
        <v>202</v>
      </c>
    </row>
    <row r="89" spans="2:22" ht="23.25" x14ac:dyDescent="0.35">
      <c r="B89" s="66"/>
      <c r="C89" s="66"/>
      <c r="V89" s="71" t="s">
        <v>203</v>
      </c>
    </row>
    <row r="90" spans="2:22" ht="23.25" x14ac:dyDescent="0.35">
      <c r="B90" s="66"/>
      <c r="C90" s="66"/>
      <c r="V90" s="71"/>
    </row>
    <row r="91" spans="2:22" ht="23.25" x14ac:dyDescent="0.35">
      <c r="B91" s="66"/>
      <c r="C91" s="66"/>
    </row>
    <row r="92" spans="2:22" ht="23.25" customHeight="1" x14ac:dyDescent="0.35">
      <c r="B92" s="66"/>
      <c r="C92" s="66"/>
    </row>
    <row r="93" spans="2:22" ht="23.25" customHeight="1" x14ac:dyDescent="0.3"/>
    <row r="94" spans="2:22" ht="23.25" customHeight="1" x14ac:dyDescent="0.3"/>
    <row r="95" spans="2:22" ht="23.25" customHeight="1" x14ac:dyDescent="0.3"/>
    <row r="96" spans="2:22" ht="23.25" customHeight="1" x14ac:dyDescent="0.3"/>
    <row r="97" spans="2:3" ht="24" x14ac:dyDescent="0.35">
      <c r="B97" s="66" t="s">
        <v>204</v>
      </c>
    </row>
    <row r="98" spans="2:3" ht="12.6" customHeight="1" x14ac:dyDescent="0.3"/>
    <row r="99" spans="2:3" ht="23.25" x14ac:dyDescent="0.35">
      <c r="C99" s="66" t="s">
        <v>205</v>
      </c>
    </row>
    <row r="112" spans="2:3" ht="24" x14ac:dyDescent="0.35">
      <c r="C112" s="66" t="s">
        <v>206</v>
      </c>
    </row>
  </sheetData>
  <mergeCells count="14">
    <mergeCell ref="H39:I39"/>
    <mergeCell ref="G32:G33"/>
    <mergeCell ref="H32:I32"/>
    <mergeCell ref="H33:I33"/>
    <mergeCell ref="H35:I35"/>
    <mergeCell ref="H36:I36"/>
    <mergeCell ref="H38:I38"/>
    <mergeCell ref="D22:D23"/>
    <mergeCell ref="G22:G23"/>
    <mergeCell ref="H22:J22"/>
    <mergeCell ref="H23:J23"/>
    <mergeCell ref="G29:G30"/>
    <mergeCell ref="H29:I29"/>
    <mergeCell ref="H30:I30"/>
  </mergeCells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9</vt:i4>
      </vt:variant>
    </vt:vector>
  </HeadingPairs>
  <TitlesOfParts>
    <vt:vector size="12" baseType="lpstr">
      <vt:lpstr>Tank Heat Trans</vt:lpstr>
      <vt:lpstr>Data</vt:lpstr>
      <vt:lpstr>참고</vt:lpstr>
      <vt:lpstr>Body_0</vt:lpstr>
      <vt:lpstr>Body_1</vt:lpstr>
      <vt:lpstr>Choice</vt:lpstr>
      <vt:lpstr>Emissivity_0</vt:lpstr>
      <vt:lpstr>Emissivity_1</vt:lpstr>
      <vt:lpstr>Head</vt:lpstr>
      <vt:lpstr>Head_1</vt:lpstr>
      <vt:lpstr>'Tank Heat Trans'!Print_Area</vt:lpstr>
      <vt:lpstr>UTIL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정우철</dc:creator>
  <cp:lastModifiedBy>정우철</cp:lastModifiedBy>
  <cp:lastPrinted>2019-05-31T00:37:31Z</cp:lastPrinted>
  <dcterms:created xsi:type="dcterms:W3CDTF">2019-04-05T00:52:40Z</dcterms:created>
  <dcterms:modified xsi:type="dcterms:W3CDTF">2019-06-03T07:02:06Z</dcterms:modified>
</cp:coreProperties>
</file>