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1.업무\글로텍엔지니어링\0.프로그래밍\1. BALANCE\18.02.12_Bare + Buried pipe Heat trans\"/>
    </mc:Choice>
  </mc:AlternateContent>
  <bookViews>
    <workbookView xWindow="2070" yWindow="-90" windowWidth="23685" windowHeight="9120" activeTab="1"/>
  </bookViews>
  <sheets>
    <sheet name="Sketch" sheetId="3" r:id="rId1"/>
    <sheet name="CASE1" sheetId="8" r:id="rId2"/>
    <sheet name="CASE2" sheetId="9" r:id="rId3"/>
    <sheet name="Piping" sheetId="1" state="hidden" r:id="rId4"/>
    <sheet name="개발기준" sheetId="7" state="hidden" r:id="rId5"/>
  </sheets>
  <functionGroups builtInGroupCount="18"/>
  <definedNames>
    <definedName name="EM">Piping!$Y$4:$Y$10</definedName>
    <definedName name="EM_1">Piping!$Y$4:$AA$10</definedName>
    <definedName name="INS">Piping!$J$67:$J$80</definedName>
    <definedName name="PIPE">Piping!$A$4:$A$48</definedName>
    <definedName name="PIPE_M">Piping!$A$56:$A$59</definedName>
    <definedName name="PIPE_O">Piping!$W$4:$W$48</definedName>
    <definedName name="PIPE_T">Piping!$A$4:$V$48</definedName>
    <definedName name="_xlnm.Print_Area" localSheetId="1">CASE1!$A$1:$BX$69</definedName>
    <definedName name="_xlnm.Print_Area" localSheetId="2">CASE2!$A$1:$BX$69</definedName>
    <definedName name="_xlnm.Print_Area" localSheetId="0">Sketch!$A$1:$U$60</definedName>
    <definedName name="SCH">Piping!$A$4:$V$4</definedName>
  </definedNames>
  <calcPr calcId="152511"/>
</workbook>
</file>

<file path=xl/calcChain.xml><?xml version="1.0" encoding="utf-8"?>
<calcChain xmlns="http://schemas.openxmlformats.org/spreadsheetml/2006/main">
  <c r="BP61" i="9" l="1"/>
  <c r="BH61" i="9"/>
  <c r="AZ61" i="9"/>
  <c r="AD61" i="9"/>
  <c r="V61" i="9"/>
  <c r="N61" i="9"/>
  <c r="BT59" i="9"/>
  <c r="BP59" i="9"/>
  <c r="BL59" i="9"/>
  <c r="BH59" i="9"/>
  <c r="BH62" i="9" l="1"/>
  <c r="BP62" i="9"/>
  <c r="BT54" i="9"/>
  <c r="BP54" i="9"/>
  <c r="BL54" i="9"/>
  <c r="BH54" i="9"/>
  <c r="BD54" i="9"/>
  <c r="AZ54" i="9"/>
  <c r="AH54" i="9"/>
  <c r="AD54" i="9"/>
  <c r="Z54" i="9"/>
  <c r="V54" i="9"/>
  <c r="R54" i="9"/>
  <c r="N54" i="9"/>
  <c r="BT53" i="9"/>
  <c r="BP53" i="9"/>
  <c r="BL53" i="9"/>
  <c r="BH53" i="9"/>
  <c r="BD53" i="9"/>
  <c r="AZ53" i="9"/>
  <c r="AH53" i="9"/>
  <c r="AD53" i="9"/>
  <c r="Z53" i="9"/>
  <c r="V53" i="9"/>
  <c r="R53" i="9"/>
  <c r="N53" i="9"/>
  <c r="BT51" i="9"/>
  <c r="BP51" i="9"/>
  <c r="BL51" i="9"/>
  <c r="BH51" i="9"/>
  <c r="BD51" i="9"/>
  <c r="AZ51" i="9"/>
  <c r="AH51" i="9"/>
  <c r="AD51" i="9"/>
  <c r="Z51" i="9"/>
  <c r="V51" i="9"/>
  <c r="R51" i="9"/>
  <c r="N51" i="9"/>
  <c r="BT49" i="9"/>
  <c r="BP49" i="9"/>
  <c r="BL49" i="9"/>
  <c r="BH49" i="9"/>
  <c r="BT48" i="9"/>
  <c r="BP48" i="9"/>
  <c r="BL48" i="9"/>
  <c r="BH48" i="9"/>
  <c r="BT47" i="9"/>
  <c r="BP47" i="9"/>
  <c r="BL47" i="9"/>
  <c r="BH47" i="9"/>
  <c r="BT45" i="9"/>
  <c r="BP45" i="9"/>
  <c r="BL45" i="9"/>
  <c r="BH45" i="9"/>
  <c r="BT44" i="9"/>
  <c r="BP44" i="9"/>
  <c r="BL44" i="9"/>
  <c r="BH44" i="9"/>
  <c r="AZ44" i="9"/>
  <c r="AD44" i="9"/>
  <c r="V44" i="9"/>
  <c r="N44" i="9"/>
  <c r="BT43" i="9"/>
  <c r="BP43" i="9"/>
  <c r="BL43" i="9"/>
  <c r="BH43" i="9"/>
  <c r="BT42" i="9"/>
  <c r="BP42" i="9"/>
  <c r="BL42" i="9"/>
  <c r="BH42" i="9"/>
  <c r="BT41" i="9"/>
  <c r="BP41" i="9"/>
  <c r="BL41" i="9"/>
  <c r="BH41" i="9"/>
  <c r="BD41" i="9"/>
  <c r="BD42" i="9" s="1"/>
  <c r="AZ41" i="9"/>
  <c r="AZ42" i="9" s="1"/>
  <c r="AH41" i="9"/>
  <c r="AH42" i="9" s="1"/>
  <c r="AD41" i="9"/>
  <c r="AD42" i="9" s="1"/>
  <c r="Z41" i="9"/>
  <c r="Z42" i="9" s="1"/>
  <c r="V41" i="9"/>
  <c r="V42" i="9" s="1"/>
  <c r="R41" i="9"/>
  <c r="R42" i="9" s="1"/>
  <c r="N41" i="9"/>
  <c r="N42" i="9" s="1"/>
  <c r="BT38" i="9"/>
  <c r="BP38" i="9"/>
  <c r="BL38" i="9"/>
  <c r="BH38" i="9"/>
  <c r="AZ38" i="9"/>
  <c r="AD38" i="9"/>
  <c r="V38" i="9"/>
  <c r="N38" i="9"/>
  <c r="BT31" i="9"/>
  <c r="BP31" i="9"/>
  <c r="BL31" i="9"/>
  <c r="BH31" i="9"/>
  <c r="BD31" i="9"/>
  <c r="AZ31" i="9"/>
  <c r="AH31" i="9"/>
  <c r="AD31" i="9"/>
  <c r="Z31" i="9"/>
  <c r="V31" i="9"/>
  <c r="R31" i="9"/>
  <c r="N31" i="9"/>
  <c r="BT30" i="9"/>
  <c r="BP30" i="9"/>
  <c r="BL30" i="9"/>
  <c r="BH30" i="9"/>
  <c r="BD30" i="9"/>
  <c r="AZ30" i="9"/>
  <c r="AH30" i="9"/>
  <c r="AD30" i="9"/>
  <c r="Z30" i="9"/>
  <c r="V30" i="9"/>
  <c r="R30" i="9"/>
  <c r="N30" i="9"/>
  <c r="BT18" i="9"/>
  <c r="BP18" i="9"/>
  <c r="BL18" i="9"/>
  <c r="BH18" i="9"/>
  <c r="BT17" i="9"/>
  <c r="BP17" i="9"/>
  <c r="BL17" i="9"/>
  <c r="BH17" i="9"/>
  <c r="AD43" i="9"/>
  <c r="AD17" i="9"/>
  <c r="Z45" i="9"/>
  <c r="BD45" i="9"/>
  <c r="AZ45" i="9"/>
  <c r="R45" i="9"/>
  <c r="AH45" i="9"/>
  <c r="V45" i="9"/>
  <c r="AZ17" i="9"/>
  <c r="N43" i="9"/>
  <c r="BL58" i="9"/>
  <c r="AD45" i="9"/>
  <c r="N45" i="9"/>
  <c r="V43" i="9"/>
  <c r="BT58" i="9"/>
  <c r="AZ43" i="9"/>
  <c r="BH58" i="9"/>
  <c r="BP58" i="9"/>
  <c r="Z38" i="9" l="1"/>
  <c r="BD38" i="9"/>
  <c r="R38" i="9"/>
  <c r="AH38" i="9"/>
  <c r="BP61" i="8"/>
  <c r="BH61" i="8"/>
  <c r="AZ61" i="8"/>
  <c r="BT54" i="8"/>
  <c r="BP54" i="8"/>
  <c r="BL54" i="8"/>
  <c r="BH54" i="8"/>
  <c r="BD54" i="8"/>
  <c r="AZ54" i="8"/>
  <c r="BT53" i="8"/>
  <c r="BP53" i="8"/>
  <c r="BL53" i="8"/>
  <c r="BH53" i="8"/>
  <c r="BD53" i="8"/>
  <c r="AZ53" i="8"/>
  <c r="BT51" i="8"/>
  <c r="BP51" i="8"/>
  <c r="BL51" i="8"/>
  <c r="BH51" i="8"/>
  <c r="BD51" i="8"/>
  <c r="AZ51" i="8"/>
  <c r="BP44" i="8"/>
  <c r="BH44" i="8"/>
  <c r="AZ44" i="8"/>
  <c r="BL42" i="8"/>
  <c r="BT41" i="8"/>
  <c r="BT42" i="8" s="1"/>
  <c r="BP41" i="8"/>
  <c r="BP42" i="8" s="1"/>
  <c r="BL41" i="8"/>
  <c r="BH41" i="8"/>
  <c r="BH42" i="8" s="1"/>
  <c r="BD41" i="8"/>
  <c r="BD42" i="8" s="1"/>
  <c r="AZ41" i="8"/>
  <c r="AZ42" i="8" s="1"/>
  <c r="BP38" i="8"/>
  <c r="BL38" i="8"/>
  <c r="BH38" i="8"/>
  <c r="AZ38" i="8"/>
  <c r="BT31" i="8"/>
  <c r="BT38" i="8" s="1"/>
  <c r="BP31" i="8"/>
  <c r="BL31" i="8"/>
  <c r="BH31" i="8"/>
  <c r="BD31" i="8"/>
  <c r="BD38" i="8" s="1"/>
  <c r="AZ31" i="8"/>
  <c r="BT30" i="8"/>
  <c r="BP30" i="8"/>
  <c r="BL30" i="8"/>
  <c r="BH30" i="8"/>
  <c r="BD30" i="8"/>
  <c r="AZ30" i="8"/>
  <c r="BT45" i="8"/>
  <c r="BH43" i="8"/>
  <c r="BH45" i="8"/>
  <c r="BL45" i="8"/>
  <c r="BP43" i="8"/>
  <c r="BP45" i="8"/>
  <c r="BP17" i="8"/>
  <c r="BP48" i="8"/>
  <c r="BP49" i="8"/>
  <c r="AZ48" i="9"/>
  <c r="BD45" i="8"/>
  <c r="AD49" i="9"/>
  <c r="V17" i="9"/>
  <c r="N17" i="9"/>
  <c r="AZ45" i="8"/>
  <c r="AD48" i="9"/>
  <c r="AZ49" i="9"/>
  <c r="AZ43" i="8"/>
  <c r="AD47" i="9" l="1"/>
  <c r="AZ47" i="9"/>
  <c r="BP47" i="8"/>
  <c r="BH17" i="8"/>
  <c r="V49" i="9"/>
  <c r="AZ17" i="8"/>
  <c r="AD58" i="9"/>
  <c r="AZ58" i="9"/>
  <c r="N49" i="9"/>
  <c r="V48" i="9"/>
  <c r="N48" i="9"/>
  <c r="BP58" i="8"/>
  <c r="BP59" i="8" l="1"/>
  <c r="N47" i="9"/>
  <c r="V47" i="9"/>
  <c r="BP18" i="8"/>
  <c r="AD61" i="8"/>
  <c r="V44" i="8"/>
  <c r="V42" i="8"/>
  <c r="Z41" i="8"/>
  <c r="Z42" i="8" s="1"/>
  <c r="V41" i="8"/>
  <c r="V61" i="8"/>
  <c r="N61" i="8"/>
  <c r="R41" i="8"/>
  <c r="R42" i="8" s="1"/>
  <c r="AD41" i="8"/>
  <c r="AD42" i="8" s="1"/>
  <c r="AH41" i="8"/>
  <c r="AH42" i="8" s="1"/>
  <c r="N42" i="8"/>
  <c r="N41" i="8"/>
  <c r="N44" i="8"/>
  <c r="AD38" i="8"/>
  <c r="R51" i="8"/>
  <c r="Z51" i="8"/>
  <c r="AD51" i="8"/>
  <c r="AH51" i="8"/>
  <c r="R53" i="8"/>
  <c r="Z53" i="8"/>
  <c r="AD53" i="8"/>
  <c r="AH53" i="8"/>
  <c r="R54" i="8"/>
  <c r="Z54" i="8"/>
  <c r="AD54" i="8"/>
  <c r="AH54" i="8"/>
  <c r="N38" i="8"/>
  <c r="N54" i="8"/>
  <c r="N53" i="8"/>
  <c r="N51" i="8"/>
  <c r="R31" i="8"/>
  <c r="R38" i="8" s="1"/>
  <c r="V31" i="8"/>
  <c r="V51" i="8" s="1"/>
  <c r="Z31" i="8"/>
  <c r="Z38" i="8" s="1"/>
  <c r="AD31" i="8"/>
  <c r="AH31" i="8"/>
  <c r="AH38" i="8" s="1"/>
  <c r="N31" i="8"/>
  <c r="R30" i="8"/>
  <c r="V30" i="8"/>
  <c r="Z30" i="8"/>
  <c r="AD30" i="8"/>
  <c r="AH30" i="8"/>
  <c r="N30" i="8"/>
  <c r="AD44" i="8"/>
  <c r="V53" i="8"/>
  <c r="BT17" i="8"/>
  <c r="BT43" i="8"/>
  <c r="BT44" i="8"/>
  <c r="BH48" i="8"/>
  <c r="BH49" i="8"/>
  <c r="BT48" i="8"/>
  <c r="BT49" i="8"/>
  <c r="V17" i="8"/>
  <c r="AD17" i="8"/>
  <c r="N43" i="8"/>
  <c r="AD43" i="8"/>
  <c r="AD45" i="8"/>
  <c r="N58" i="9"/>
  <c r="N17" i="8"/>
  <c r="Z45" i="8"/>
  <c r="AH45" i="8"/>
  <c r="AD59" i="9"/>
  <c r="N45" i="8"/>
  <c r="R45" i="8"/>
  <c r="V45" i="8"/>
  <c r="AZ59" i="9"/>
  <c r="V43" i="8"/>
  <c r="V58" i="9"/>
  <c r="AZ48" i="8"/>
  <c r="AZ49" i="8"/>
  <c r="AD18" i="9" l="1"/>
  <c r="AH16" i="9" s="1"/>
  <c r="AZ18" i="9"/>
  <c r="BD16" i="9" s="1"/>
  <c r="N71" i="9"/>
  <c r="V71" i="9"/>
  <c r="BT47" i="8"/>
  <c r="BH47" i="8"/>
  <c r="AZ47" i="8"/>
  <c r="V38" i="8"/>
  <c r="S2" i="3"/>
  <c r="E83" i="1"/>
  <c r="E82" i="1"/>
  <c r="N48" i="8"/>
  <c r="V49" i="8"/>
  <c r="V59" i="9"/>
  <c r="N59" i="9"/>
  <c r="AZ58" i="8"/>
  <c r="N49" i="8"/>
  <c r="V48" i="8"/>
  <c r="AD48" i="8"/>
  <c r="AD49" i="8"/>
  <c r="BT58" i="8"/>
  <c r="BH58" i="8"/>
  <c r="BT59" i="8" l="1"/>
  <c r="BP62" i="8" s="1"/>
  <c r="N18" i="9"/>
  <c r="R16" i="9" s="1"/>
  <c r="V18" i="9"/>
  <c r="Z16" i="9" s="1"/>
  <c r="BT18" i="8"/>
  <c r="AD47" i="8"/>
  <c r="V47" i="8"/>
  <c r="N47" i="8"/>
  <c r="B45" i="1"/>
  <c r="V44" i="1"/>
  <c r="T41" i="1"/>
  <c r="S41" i="1"/>
  <c r="L35" i="1"/>
  <c r="K35" i="1"/>
  <c r="J35" i="1"/>
  <c r="I35" i="1"/>
  <c r="F32" i="1"/>
  <c r="E32" i="1"/>
  <c r="L31" i="1"/>
  <c r="L30" i="1"/>
  <c r="F30" i="1"/>
  <c r="E30" i="1"/>
  <c r="R29" i="1"/>
  <c r="Q29" i="1"/>
  <c r="P29" i="1"/>
  <c r="O29" i="1"/>
  <c r="N29" i="1"/>
  <c r="M29" i="1"/>
  <c r="L29" i="1"/>
  <c r="K29" i="1"/>
  <c r="F29" i="1"/>
  <c r="E29" i="1"/>
  <c r="L27" i="1"/>
  <c r="D27" i="1"/>
  <c r="C27" i="1"/>
  <c r="U23" i="1"/>
  <c r="H23" i="1"/>
  <c r="G23" i="1"/>
  <c r="I22" i="1"/>
  <c r="M21" i="1"/>
  <c r="O19" i="1"/>
  <c r="M19" i="1"/>
  <c r="K19" i="1"/>
  <c r="J19" i="1"/>
  <c r="U18" i="1"/>
  <c r="T18" i="1"/>
  <c r="S18" i="1"/>
  <c r="P18" i="1"/>
  <c r="N18" i="1"/>
  <c r="L18" i="1"/>
  <c r="H18" i="1"/>
  <c r="G18" i="1"/>
  <c r="F18" i="1"/>
  <c r="U16" i="1"/>
  <c r="T16" i="1"/>
  <c r="S16" i="1"/>
  <c r="P16" i="1"/>
  <c r="N16" i="1"/>
  <c r="L16" i="1"/>
  <c r="H16" i="1"/>
  <c r="G16" i="1"/>
  <c r="F16" i="1"/>
  <c r="E16" i="1"/>
  <c r="U11" i="1"/>
  <c r="T11" i="1"/>
  <c r="S11" i="1"/>
  <c r="R11" i="1"/>
  <c r="N11" i="1"/>
  <c r="L11" i="1"/>
  <c r="H11" i="1"/>
  <c r="G11" i="1"/>
  <c r="F11" i="1"/>
  <c r="E11" i="1"/>
  <c r="V7" i="1"/>
  <c r="U7" i="1"/>
  <c r="R7" i="1"/>
  <c r="BH59" i="8"/>
  <c r="AH17" i="9"/>
  <c r="BD17" i="9"/>
  <c r="BD44" i="9"/>
  <c r="AH43" i="9"/>
  <c r="N58" i="8"/>
  <c r="AZ59" i="8"/>
  <c r="AD58" i="8"/>
  <c r="AH44" i="9"/>
  <c r="BD43" i="9"/>
  <c r="BH18" i="8" l="1"/>
  <c r="AZ18" i="8"/>
  <c r="BD16" i="8" s="1"/>
  <c r="N71" i="8"/>
  <c r="R17" i="9"/>
  <c r="Z17" i="9"/>
  <c r="N59" i="8"/>
  <c r="AH49" i="9"/>
  <c r="BD49" i="9"/>
  <c r="AD59" i="8"/>
  <c r="R44" i="9"/>
  <c r="Z44" i="9"/>
  <c r="R43" i="9"/>
  <c r="Z43" i="9"/>
  <c r="BD48" i="9"/>
  <c r="AH48" i="9"/>
  <c r="AH47" i="9" l="1"/>
  <c r="BD47" i="9"/>
  <c r="AD18" i="8"/>
  <c r="AH16" i="8" s="1"/>
  <c r="N18" i="8"/>
  <c r="R16" i="8" s="1"/>
  <c r="BL17" i="8"/>
  <c r="BL43" i="8"/>
  <c r="BL44" i="8"/>
  <c r="BD17" i="8"/>
  <c r="BD58" i="9"/>
  <c r="BD43" i="8"/>
  <c r="R43" i="8"/>
  <c r="R48" i="9"/>
  <c r="BD44" i="8"/>
  <c r="AH58" i="9"/>
  <c r="Z49" i="9"/>
  <c r="R49" i="9"/>
  <c r="Z48" i="9"/>
  <c r="R44" i="8"/>
  <c r="Z47" i="9" l="1"/>
  <c r="R47" i="9"/>
  <c r="BL48" i="8"/>
  <c r="BL49" i="8"/>
  <c r="R17" i="8"/>
  <c r="AH17" i="8"/>
  <c r="BD48" i="8"/>
  <c r="Z58" i="9"/>
  <c r="AH59" i="9"/>
  <c r="AH43" i="8"/>
  <c r="BD49" i="8"/>
  <c r="R58" i="9"/>
  <c r="BD59" i="9"/>
  <c r="AH44" i="8"/>
  <c r="AZ62" i="9" l="1"/>
  <c r="BD18" i="9"/>
  <c r="AZ63" i="9" s="1"/>
  <c r="AD62" i="9"/>
  <c r="AH18" i="9"/>
  <c r="AD63" i="9" s="1"/>
  <c r="R71" i="9"/>
  <c r="BL47" i="8"/>
  <c r="BD47" i="8"/>
  <c r="Z59" i="9"/>
  <c r="R59" i="9"/>
  <c r="AH48" i="8"/>
  <c r="BD58" i="8"/>
  <c r="R48" i="8"/>
  <c r="BL58" i="8"/>
  <c r="R49" i="8"/>
  <c r="AH49" i="8"/>
  <c r="V62" i="9" l="1"/>
  <c r="Z18" i="9"/>
  <c r="V63" i="9" s="1"/>
  <c r="N62" i="9"/>
  <c r="R18" i="9"/>
  <c r="N63" i="9" s="1"/>
  <c r="R47" i="8"/>
  <c r="AH47" i="8"/>
  <c r="V54" i="8"/>
  <c r="BL59" i="8"/>
  <c r="V58" i="8"/>
  <c r="R58" i="8"/>
  <c r="BD59" i="8"/>
  <c r="AH58" i="8"/>
  <c r="R71" i="8" l="1"/>
  <c r="BH62" i="8"/>
  <c r="BL18" i="8"/>
  <c r="AZ62" i="8"/>
  <c r="BD18" i="8"/>
  <c r="AZ63" i="8" s="1"/>
  <c r="V71" i="8"/>
  <c r="R59" i="8"/>
  <c r="V59" i="8"/>
  <c r="N62" i="8" l="1"/>
  <c r="R18" i="8"/>
  <c r="N63" i="8" s="1"/>
  <c r="V18" i="8"/>
  <c r="Z16" i="8" s="1"/>
  <c r="Z17" i="8"/>
  <c r="AH59" i="8"/>
  <c r="AD62" i="8" l="1"/>
  <c r="AH18" i="8"/>
  <c r="Z44" i="8"/>
  <c r="Z48" i="8"/>
  <c r="Z43" i="8"/>
  <c r="Z49" i="8"/>
  <c r="Z47" i="8" l="1"/>
  <c r="Z58" i="8"/>
  <c r="Z59" i="8"/>
  <c r="V62" i="8" l="1"/>
  <c r="Z18" i="8"/>
</calcChain>
</file>

<file path=xl/sharedStrings.xml><?xml version="1.0" encoding="utf-8"?>
<sst xmlns="http://schemas.openxmlformats.org/spreadsheetml/2006/main" count="974" uniqueCount="320">
  <si>
    <t>5S</t>
  </si>
  <si>
    <t>10S</t>
  </si>
  <si>
    <t>40S</t>
  </si>
  <si>
    <t>80S</t>
  </si>
  <si>
    <t>STD</t>
  </si>
  <si>
    <t>XS</t>
  </si>
  <si>
    <t>XXS</t>
  </si>
  <si>
    <t>ANSI</t>
  </si>
  <si>
    <t>NA</t>
  </si>
  <si>
    <t xml:space="preserve">         </t>
  </si>
  <si>
    <t>JOB NO.</t>
  </si>
  <si>
    <t>DATE:</t>
  </si>
  <si>
    <t>SERVICE</t>
  </si>
  <si>
    <t>APPROVED BY:</t>
  </si>
  <si>
    <t>ROOFING</t>
    <phoneticPr fontId="2" type="noConversion"/>
  </si>
  <si>
    <t>ALUMINUM</t>
    <phoneticPr fontId="2" type="noConversion"/>
  </si>
  <si>
    <t>ALUMINUM PAINT</t>
    <phoneticPr fontId="2" type="noConversion"/>
  </si>
  <si>
    <t xml:space="preserve">WHITE PAINTED CANVAS </t>
    <phoneticPr fontId="2" type="noConversion"/>
  </si>
  <si>
    <t>OXIDIZED (1)</t>
    <phoneticPr fontId="2" type="noConversion"/>
  </si>
  <si>
    <t>OXIDIZED (2)</t>
    <phoneticPr fontId="2" type="noConversion"/>
  </si>
  <si>
    <t>PIPING  SPEC. (Inside)</t>
    <phoneticPr fontId="2" type="noConversion"/>
  </si>
  <si>
    <r>
      <t>1.</t>
    </r>
    <r>
      <rPr>
        <i/>
        <sz val="10"/>
        <rFont val="돋움"/>
        <family val="3"/>
        <charset val="129"/>
      </rPr>
      <t>최대</t>
    </r>
    <r>
      <rPr>
        <i/>
        <sz val="10"/>
        <rFont val="Arial"/>
        <family val="2"/>
      </rPr>
      <t xml:space="preserve"> 20</t>
    </r>
    <r>
      <rPr>
        <i/>
        <sz val="10"/>
        <rFont val="돋움"/>
        <family val="3"/>
        <charset val="129"/>
      </rPr>
      <t>개의</t>
    </r>
    <r>
      <rPr>
        <i/>
        <sz val="10"/>
        <rFont val="Arial"/>
        <family val="2"/>
      </rPr>
      <t xml:space="preserve"> STREAM</t>
    </r>
    <r>
      <rPr>
        <i/>
        <sz val="10"/>
        <rFont val="돋움"/>
        <family val="3"/>
        <charset val="129"/>
      </rPr>
      <t>을</t>
    </r>
    <r>
      <rPr>
        <i/>
        <sz val="10"/>
        <rFont val="Arial"/>
        <family val="2"/>
      </rPr>
      <t xml:space="preserve"> </t>
    </r>
    <r>
      <rPr>
        <i/>
        <sz val="10"/>
        <rFont val="돋움"/>
        <family val="3"/>
        <charset val="129"/>
      </rPr>
      <t>기입</t>
    </r>
    <r>
      <rPr>
        <i/>
        <sz val="10"/>
        <rFont val="Arial"/>
        <family val="2"/>
      </rPr>
      <t xml:space="preserve"> </t>
    </r>
    <r>
      <rPr>
        <i/>
        <sz val="10"/>
        <rFont val="돋움"/>
        <family val="3"/>
        <charset val="129"/>
      </rPr>
      <t>할</t>
    </r>
    <r>
      <rPr>
        <i/>
        <sz val="10"/>
        <rFont val="Arial"/>
        <family val="2"/>
      </rPr>
      <t xml:space="preserve"> </t>
    </r>
    <r>
      <rPr>
        <i/>
        <sz val="10"/>
        <rFont val="돋움"/>
        <family val="3"/>
        <charset val="129"/>
      </rPr>
      <t>수</t>
    </r>
    <r>
      <rPr>
        <i/>
        <sz val="10"/>
        <rFont val="Arial"/>
        <family val="2"/>
      </rPr>
      <t xml:space="preserve"> </t>
    </r>
    <r>
      <rPr>
        <i/>
        <sz val="10"/>
        <rFont val="돋움"/>
        <family val="3"/>
        <charset val="129"/>
      </rPr>
      <t>있다</t>
    </r>
    <r>
      <rPr>
        <i/>
        <sz val="10"/>
        <rFont val="Arial"/>
        <family val="2"/>
      </rPr>
      <t xml:space="preserve">. </t>
    </r>
    <phoneticPr fontId="2" type="noConversion"/>
  </si>
  <si>
    <r>
      <t>2.Flow.cal</t>
    </r>
    <r>
      <rPr>
        <i/>
        <sz val="10"/>
        <rFont val="돋움"/>
        <family val="3"/>
        <charset val="129"/>
      </rPr>
      <t>에</t>
    </r>
    <r>
      <rPr>
        <i/>
        <sz val="10"/>
        <rFont val="Arial"/>
        <family val="2"/>
      </rPr>
      <t xml:space="preserve"> </t>
    </r>
    <r>
      <rPr>
        <i/>
        <sz val="10"/>
        <rFont val="돋움"/>
        <family val="3"/>
        <charset val="129"/>
      </rPr>
      <t>성분의</t>
    </r>
    <r>
      <rPr>
        <i/>
        <sz val="10"/>
        <rFont val="Arial"/>
        <family val="2"/>
      </rPr>
      <t xml:space="preserve"> </t>
    </r>
    <r>
      <rPr>
        <i/>
        <sz val="10"/>
        <rFont val="돋움"/>
        <family val="3"/>
        <charset val="129"/>
      </rPr>
      <t>질량</t>
    </r>
    <r>
      <rPr>
        <i/>
        <sz val="10"/>
        <rFont val="Arial"/>
        <family val="2"/>
      </rPr>
      <t xml:space="preserve"> </t>
    </r>
    <r>
      <rPr>
        <i/>
        <sz val="10"/>
        <rFont val="돋움"/>
        <family val="3"/>
        <charset val="129"/>
      </rPr>
      <t>및</t>
    </r>
    <r>
      <rPr>
        <i/>
        <sz val="10"/>
        <rFont val="Arial"/>
        <family val="2"/>
      </rPr>
      <t xml:space="preserve"> </t>
    </r>
    <r>
      <rPr>
        <i/>
        <sz val="10"/>
        <rFont val="돋움"/>
        <family val="3"/>
        <charset val="129"/>
      </rPr>
      <t>몰</t>
    </r>
    <r>
      <rPr>
        <i/>
        <sz val="10"/>
        <rFont val="Arial"/>
        <family val="2"/>
      </rPr>
      <t xml:space="preserve"> </t>
    </r>
    <r>
      <rPr>
        <i/>
        <sz val="10"/>
        <rFont val="돋움"/>
        <family val="3"/>
        <charset val="129"/>
      </rPr>
      <t>수</t>
    </r>
    <r>
      <rPr>
        <i/>
        <sz val="10"/>
        <rFont val="Arial"/>
        <family val="2"/>
      </rPr>
      <t xml:space="preserve"> </t>
    </r>
    <r>
      <rPr>
        <i/>
        <sz val="10"/>
        <rFont val="돋움"/>
        <family val="3"/>
        <charset val="129"/>
      </rPr>
      <t>입력</t>
    </r>
    <phoneticPr fontId="2" type="noConversion"/>
  </si>
  <si>
    <t>참고문헌</t>
    <phoneticPr fontId="2" type="noConversion"/>
  </si>
  <si>
    <t xml:space="preserve">Standard practice for Determination of Heat Gain or Loss and the Surface Tempertures </t>
    <phoneticPr fontId="2" type="noConversion"/>
  </si>
  <si>
    <t>of Insulated Pipe and Equipment Systems by the Use of a Computer Program.</t>
    <phoneticPr fontId="2" type="noConversion"/>
  </si>
  <si>
    <t>2. ASTM Designation: C 680 - 89 (Reapproved 1995)</t>
    <phoneticPr fontId="2" type="noConversion"/>
  </si>
  <si>
    <t>1. SC Engineering</t>
    <phoneticPr fontId="2" type="noConversion"/>
  </si>
  <si>
    <r>
      <t xml:space="preserve">System Engineering guide Bare pipe </t>
    </r>
    <r>
      <rPr>
        <sz val="18"/>
        <rFont val="돋움"/>
        <family val="3"/>
        <charset val="129"/>
      </rPr>
      <t>열손실</t>
    </r>
    <r>
      <rPr>
        <sz val="18"/>
        <rFont val="Arial"/>
        <family val="2"/>
      </rPr>
      <t xml:space="preserve"> </t>
    </r>
    <r>
      <rPr>
        <sz val="18"/>
        <rFont val="돋움"/>
        <family val="3"/>
        <charset val="129"/>
      </rPr>
      <t>및</t>
    </r>
    <r>
      <rPr>
        <sz val="18"/>
        <rFont val="Arial"/>
        <family val="2"/>
      </rPr>
      <t xml:space="preserve"> </t>
    </r>
    <r>
      <rPr>
        <sz val="18"/>
        <rFont val="돋움"/>
        <family val="3"/>
        <charset val="129"/>
      </rPr>
      <t>유체온도</t>
    </r>
    <r>
      <rPr>
        <sz val="18"/>
        <rFont val="Arial"/>
        <family val="2"/>
      </rPr>
      <t xml:space="preserve"> </t>
    </r>
    <r>
      <rPr>
        <sz val="18"/>
        <rFont val="돋움"/>
        <family val="3"/>
        <charset val="129"/>
      </rPr>
      <t>하강</t>
    </r>
    <r>
      <rPr>
        <sz val="18"/>
        <rFont val="Arial"/>
        <family val="2"/>
      </rPr>
      <t xml:space="preserve"> </t>
    </r>
    <phoneticPr fontId="2" type="noConversion"/>
  </si>
  <si>
    <r>
      <t>3. Cheric (</t>
    </r>
    <r>
      <rPr>
        <sz val="20"/>
        <rFont val="돋움"/>
        <family val="3"/>
        <charset val="129"/>
      </rPr>
      <t>화학공학연구정보센터</t>
    </r>
    <r>
      <rPr>
        <sz val="20"/>
        <rFont val="Arial"/>
        <family val="2"/>
      </rPr>
      <t>)</t>
    </r>
    <phoneticPr fontId="2" type="noConversion"/>
  </si>
  <si>
    <r>
      <t xml:space="preserve">Viscoity, Heat capacity </t>
    </r>
    <r>
      <rPr>
        <sz val="18"/>
        <rFont val="돋움"/>
        <family val="3"/>
        <charset val="129"/>
      </rPr>
      <t>등</t>
    </r>
    <r>
      <rPr>
        <sz val="18"/>
        <rFont val="Arial"/>
        <family val="2"/>
      </rPr>
      <t xml:space="preserve"> </t>
    </r>
    <r>
      <rPr>
        <sz val="18"/>
        <rFont val="돋움"/>
        <family val="3"/>
        <charset val="129"/>
      </rPr>
      <t>온도에</t>
    </r>
    <r>
      <rPr>
        <sz val="18"/>
        <rFont val="Arial"/>
        <family val="2"/>
      </rPr>
      <t xml:space="preserve"> </t>
    </r>
    <r>
      <rPr>
        <sz val="18"/>
        <rFont val="돋움"/>
        <family val="3"/>
        <charset val="129"/>
      </rPr>
      <t>따른</t>
    </r>
    <r>
      <rPr>
        <sz val="18"/>
        <rFont val="Arial"/>
        <family val="2"/>
      </rPr>
      <t xml:space="preserve"> </t>
    </r>
    <r>
      <rPr>
        <sz val="18"/>
        <rFont val="돋움"/>
        <family val="3"/>
        <charset val="129"/>
      </rPr>
      <t>물성치에</t>
    </r>
    <r>
      <rPr>
        <sz val="18"/>
        <rFont val="Arial"/>
        <family val="2"/>
      </rPr>
      <t xml:space="preserve"> </t>
    </r>
    <r>
      <rPr>
        <sz val="18"/>
        <rFont val="돋움"/>
        <family val="3"/>
        <charset val="129"/>
      </rPr>
      <t>관한</t>
    </r>
    <r>
      <rPr>
        <sz val="18"/>
        <rFont val="Arial"/>
        <family val="2"/>
      </rPr>
      <t xml:space="preserve"> </t>
    </r>
    <r>
      <rPr>
        <sz val="18"/>
        <rFont val="돋움"/>
        <family val="3"/>
        <charset val="129"/>
      </rPr>
      <t>식</t>
    </r>
    <phoneticPr fontId="2" type="noConversion"/>
  </si>
  <si>
    <t>설계 기준 및 공식(Equation)</t>
    <phoneticPr fontId="2" type="noConversion"/>
  </si>
  <si>
    <r>
      <t>hi = 0.027 x (K/Di) Re</t>
    </r>
    <r>
      <rPr>
        <vertAlign val="superscript"/>
        <sz val="18"/>
        <rFont val="Arial"/>
        <family val="2"/>
      </rPr>
      <t>0.8</t>
    </r>
    <r>
      <rPr>
        <sz val="18"/>
        <rFont val="맑은 고딕"/>
        <family val="3"/>
        <charset val="129"/>
      </rPr>
      <t>·</t>
    </r>
    <r>
      <rPr>
        <sz val="18"/>
        <rFont val="Arial"/>
        <family val="2"/>
      </rPr>
      <t>Pr</t>
    </r>
    <r>
      <rPr>
        <vertAlign val="superscript"/>
        <sz val="18"/>
        <rFont val="Arial"/>
        <family val="2"/>
      </rPr>
      <t>1/3</t>
    </r>
    <r>
      <rPr>
        <sz val="18"/>
        <rFont val="Arial"/>
        <family val="2"/>
      </rPr>
      <t xml:space="preserve">(di/do)  </t>
    </r>
    <phoneticPr fontId="2" type="noConversion"/>
  </si>
  <si>
    <t xml:space="preserve"> </t>
    <phoneticPr fontId="2" type="noConversion"/>
  </si>
  <si>
    <r>
      <t xml:space="preserve">Ao = </t>
    </r>
    <r>
      <rPr>
        <sz val="18"/>
        <rFont val="맑은 고딕"/>
        <family val="3"/>
        <charset val="129"/>
      </rPr>
      <t>π</t>
    </r>
    <r>
      <rPr>
        <sz val="18"/>
        <rFont val="Arial"/>
        <family val="2"/>
      </rPr>
      <t xml:space="preserve"> x do/12 x L</t>
    </r>
    <phoneticPr fontId="2" type="noConversion"/>
  </si>
  <si>
    <t xml:space="preserve">Qi = hi x Ao x (Tf in - Ts) </t>
    <phoneticPr fontId="2" type="noConversion"/>
  </si>
  <si>
    <r>
      <t xml:space="preserve">do: Pipe </t>
    </r>
    <r>
      <rPr>
        <sz val="18"/>
        <rFont val="돋움"/>
        <family val="3"/>
        <charset val="129"/>
      </rPr>
      <t>외경</t>
    </r>
    <r>
      <rPr>
        <sz val="18"/>
        <rFont val="Arial"/>
        <family val="2"/>
      </rPr>
      <t xml:space="preserve"> (inch)</t>
    </r>
    <phoneticPr fontId="2" type="noConversion"/>
  </si>
  <si>
    <r>
      <t xml:space="preserve">di: Pipe </t>
    </r>
    <r>
      <rPr>
        <sz val="18"/>
        <rFont val="돋움"/>
        <family val="3"/>
        <charset val="129"/>
      </rPr>
      <t>내경</t>
    </r>
    <r>
      <rPr>
        <sz val="18"/>
        <rFont val="Arial"/>
        <family val="2"/>
      </rPr>
      <t xml:space="preserve"> (inch)</t>
    </r>
    <phoneticPr fontId="2" type="noConversion"/>
  </si>
  <si>
    <t>Di: di/12 (ft)</t>
    <phoneticPr fontId="2" type="noConversion"/>
  </si>
  <si>
    <t>W: Flow rate (lb/hr)</t>
    <phoneticPr fontId="2" type="noConversion"/>
  </si>
  <si>
    <t xml:space="preserve">μ': Viscocity (cp) </t>
    <phoneticPr fontId="2" type="noConversion"/>
  </si>
  <si>
    <r>
      <t>Re=6.32 W/</t>
    </r>
    <r>
      <rPr>
        <sz val="18"/>
        <rFont val="맑은 고딕"/>
        <family val="3"/>
        <charset val="129"/>
      </rPr>
      <t>μ</t>
    </r>
    <r>
      <rPr>
        <sz val="18"/>
        <rFont val="Arial"/>
        <family val="2"/>
      </rPr>
      <t>'/di</t>
    </r>
    <phoneticPr fontId="2" type="noConversion"/>
  </si>
  <si>
    <r>
      <t xml:space="preserve">Cp: Specific Heat (Btu/lb </t>
    </r>
    <r>
      <rPr>
        <sz val="18"/>
        <rFont val="돋움"/>
        <family val="3"/>
        <charset val="129"/>
      </rPr>
      <t>˚</t>
    </r>
    <r>
      <rPr>
        <sz val="18"/>
        <rFont val="Arial"/>
        <family val="2"/>
      </rPr>
      <t>F)</t>
    </r>
    <phoneticPr fontId="2" type="noConversion"/>
  </si>
  <si>
    <t>μ=μ'x2.42</t>
    <phoneticPr fontId="2" type="noConversion"/>
  </si>
  <si>
    <t>Pr= Cpxμ/k</t>
    <phoneticPr fontId="2" type="noConversion"/>
  </si>
  <si>
    <r>
      <t>1. Qi (</t>
    </r>
    <r>
      <rPr>
        <sz val="20"/>
        <rFont val="돋움"/>
        <family val="3"/>
        <charset val="129"/>
      </rPr>
      <t>내벽막에서의</t>
    </r>
    <r>
      <rPr>
        <sz val="20"/>
        <rFont val="Arial"/>
        <family val="2"/>
      </rPr>
      <t xml:space="preserve"> </t>
    </r>
    <r>
      <rPr>
        <sz val="20"/>
        <rFont val="돋움"/>
        <family val="3"/>
        <charset val="129"/>
      </rPr>
      <t>열전달</t>
    </r>
    <r>
      <rPr>
        <sz val="20"/>
        <rFont val="Arial"/>
        <family val="2"/>
      </rPr>
      <t xml:space="preserve"> </t>
    </r>
    <r>
      <rPr>
        <sz val="20"/>
        <rFont val="돋움"/>
        <family val="3"/>
        <charset val="129"/>
      </rPr>
      <t>속도</t>
    </r>
    <r>
      <rPr>
        <sz val="20"/>
        <rFont val="Arial"/>
        <family val="2"/>
      </rPr>
      <t xml:space="preserve"> / </t>
    </r>
    <r>
      <rPr>
        <sz val="20"/>
        <rFont val="돋움"/>
        <family val="3"/>
        <charset val="129"/>
      </rPr>
      <t>참고문헌</t>
    </r>
    <r>
      <rPr>
        <sz val="20"/>
        <rFont val="Arial"/>
        <family val="2"/>
      </rPr>
      <t xml:space="preserve"> 1</t>
    </r>
    <r>
      <rPr>
        <sz val="20"/>
        <rFont val="돋움"/>
        <family val="3"/>
        <charset val="129"/>
      </rPr>
      <t>번</t>
    </r>
    <r>
      <rPr>
        <sz val="20"/>
        <rFont val="Arial"/>
        <family val="2"/>
      </rPr>
      <t>)</t>
    </r>
    <phoneticPr fontId="2" type="noConversion"/>
  </si>
  <si>
    <r>
      <t>2. Qo (</t>
    </r>
    <r>
      <rPr>
        <sz val="20"/>
        <rFont val="돋움"/>
        <family val="3"/>
        <charset val="129"/>
      </rPr>
      <t>외벽막에서의</t>
    </r>
    <r>
      <rPr>
        <sz val="20"/>
        <rFont val="Arial"/>
        <family val="2"/>
      </rPr>
      <t xml:space="preserve"> </t>
    </r>
    <r>
      <rPr>
        <sz val="20"/>
        <rFont val="돋움"/>
        <family val="3"/>
        <charset val="129"/>
      </rPr>
      <t>열전달</t>
    </r>
    <r>
      <rPr>
        <sz val="20"/>
        <rFont val="Arial"/>
        <family val="2"/>
      </rPr>
      <t xml:space="preserve"> </t>
    </r>
    <r>
      <rPr>
        <sz val="20"/>
        <rFont val="돋움"/>
        <family val="3"/>
        <charset val="129"/>
      </rPr>
      <t>속도</t>
    </r>
    <r>
      <rPr>
        <sz val="20"/>
        <rFont val="Arial"/>
        <family val="2"/>
      </rPr>
      <t xml:space="preserve"> / </t>
    </r>
    <r>
      <rPr>
        <sz val="20"/>
        <rFont val="돋움"/>
        <family val="3"/>
        <charset val="129"/>
      </rPr>
      <t>참고문헌</t>
    </r>
    <r>
      <rPr>
        <sz val="20"/>
        <rFont val="Arial"/>
        <family val="2"/>
      </rPr>
      <t xml:space="preserve"> 1</t>
    </r>
    <r>
      <rPr>
        <sz val="20"/>
        <rFont val="돋움"/>
        <family val="3"/>
        <charset val="129"/>
      </rPr>
      <t>번</t>
    </r>
    <r>
      <rPr>
        <sz val="20"/>
        <rFont val="Arial"/>
        <family val="2"/>
      </rPr>
      <t>, 2</t>
    </r>
    <r>
      <rPr>
        <sz val="20"/>
        <rFont val="돋움"/>
        <family val="3"/>
        <charset val="129"/>
      </rPr>
      <t>번</t>
    </r>
    <r>
      <rPr>
        <sz val="20"/>
        <rFont val="Arial"/>
        <family val="2"/>
      </rPr>
      <t>)</t>
    </r>
    <phoneticPr fontId="2" type="noConversion"/>
  </si>
  <si>
    <t>COMMONLY USED</t>
    <phoneticPr fontId="2" type="noConversion"/>
  </si>
  <si>
    <t xml:space="preserve">Qo = ho x Ao x (Ts - Ta) </t>
    <phoneticPr fontId="2" type="noConversion"/>
  </si>
  <si>
    <r>
      <t xml:space="preserve">Ta: </t>
    </r>
    <r>
      <rPr>
        <sz val="18"/>
        <rFont val="돋움"/>
        <family val="3"/>
        <charset val="129"/>
      </rPr>
      <t>대기의</t>
    </r>
    <r>
      <rPr>
        <sz val="18"/>
        <rFont val="Arial"/>
        <family val="2"/>
      </rPr>
      <t xml:space="preserve"> </t>
    </r>
    <r>
      <rPr>
        <sz val="18"/>
        <rFont val="돋움"/>
        <family val="3"/>
        <charset val="129"/>
      </rPr>
      <t>온도</t>
    </r>
    <r>
      <rPr>
        <sz val="18"/>
        <rFont val="Arial"/>
        <family val="2"/>
      </rPr>
      <t xml:space="preserve"> </t>
    </r>
    <phoneticPr fontId="2" type="noConversion"/>
  </si>
  <si>
    <r>
      <t xml:space="preserve">Ts: </t>
    </r>
    <r>
      <rPr>
        <sz val="18"/>
        <rFont val="돋움"/>
        <family val="3"/>
        <charset val="129"/>
      </rPr>
      <t>표면</t>
    </r>
    <r>
      <rPr>
        <sz val="18"/>
        <rFont val="Arial"/>
        <family val="2"/>
      </rPr>
      <t xml:space="preserve"> </t>
    </r>
    <r>
      <rPr>
        <sz val="18"/>
        <rFont val="돋움"/>
        <family val="3"/>
        <charset val="129"/>
      </rPr>
      <t>온도</t>
    </r>
    <r>
      <rPr>
        <sz val="18"/>
        <rFont val="Arial"/>
        <family val="2"/>
      </rPr>
      <t xml:space="preserve"> (</t>
    </r>
    <r>
      <rPr>
        <sz val="18"/>
        <rFont val="돋움"/>
        <family val="3"/>
        <charset val="129"/>
      </rPr>
      <t>˚</t>
    </r>
    <r>
      <rPr>
        <sz val="18"/>
        <rFont val="Arial"/>
        <family val="2"/>
      </rPr>
      <t>F)</t>
    </r>
    <phoneticPr fontId="2" type="noConversion"/>
  </si>
  <si>
    <r>
      <t xml:space="preserve">Tf in: </t>
    </r>
    <r>
      <rPr>
        <sz val="18"/>
        <rFont val="돋움"/>
        <family val="3"/>
        <charset val="129"/>
      </rPr>
      <t>유체의</t>
    </r>
    <r>
      <rPr>
        <sz val="18"/>
        <rFont val="Arial"/>
        <family val="2"/>
      </rPr>
      <t xml:space="preserve"> </t>
    </r>
    <r>
      <rPr>
        <sz val="18"/>
        <rFont val="돋움"/>
        <family val="3"/>
        <charset val="129"/>
      </rPr>
      <t>온도</t>
    </r>
    <r>
      <rPr>
        <sz val="18"/>
        <rFont val="Arial"/>
        <family val="2"/>
      </rPr>
      <t xml:space="preserve"> (</t>
    </r>
    <r>
      <rPr>
        <sz val="18"/>
        <rFont val="돋움"/>
        <family val="3"/>
        <charset val="129"/>
      </rPr>
      <t>˚</t>
    </r>
    <r>
      <rPr>
        <sz val="18"/>
        <rFont val="Arial"/>
        <family val="2"/>
      </rPr>
      <t>F)</t>
    </r>
    <phoneticPr fontId="2" type="noConversion"/>
  </si>
  <si>
    <r>
      <t xml:space="preserve">hi: </t>
    </r>
    <r>
      <rPr>
        <sz val="18"/>
        <rFont val="돋움"/>
        <family val="3"/>
        <charset val="129"/>
      </rPr>
      <t>내벽막계수</t>
    </r>
    <r>
      <rPr>
        <sz val="18"/>
        <rFont val="Arial"/>
        <family val="2"/>
      </rPr>
      <t xml:space="preserve">  (Btu/ft2 lb </t>
    </r>
    <r>
      <rPr>
        <sz val="18"/>
        <rFont val="돋움"/>
        <family val="3"/>
        <charset val="129"/>
      </rPr>
      <t>˚</t>
    </r>
    <r>
      <rPr>
        <sz val="18"/>
        <rFont val="Arial"/>
        <family val="2"/>
      </rPr>
      <t>F)</t>
    </r>
    <phoneticPr fontId="2" type="noConversion"/>
  </si>
  <si>
    <r>
      <t xml:space="preserve">k: Thermal Cond. (Btu/lb ft </t>
    </r>
    <r>
      <rPr>
        <sz val="18"/>
        <rFont val="돋움"/>
        <family val="3"/>
        <charset val="129"/>
      </rPr>
      <t>˚</t>
    </r>
    <r>
      <rPr>
        <sz val="18"/>
        <rFont val="Arial"/>
        <family val="2"/>
      </rPr>
      <t>F)</t>
    </r>
    <phoneticPr fontId="2" type="noConversion"/>
  </si>
  <si>
    <r>
      <t xml:space="preserve">Ao: </t>
    </r>
    <r>
      <rPr>
        <sz val="18"/>
        <rFont val="돋움"/>
        <family val="3"/>
        <charset val="129"/>
      </rPr>
      <t>단위길이</t>
    </r>
    <r>
      <rPr>
        <sz val="18"/>
        <rFont val="Arial"/>
        <family val="2"/>
      </rPr>
      <t xml:space="preserve"> </t>
    </r>
    <r>
      <rPr>
        <sz val="18"/>
        <rFont val="돋움"/>
        <family val="3"/>
        <charset val="129"/>
      </rPr>
      <t>당</t>
    </r>
    <r>
      <rPr>
        <sz val="18"/>
        <rFont val="Arial"/>
        <family val="2"/>
      </rPr>
      <t xml:space="preserve"> </t>
    </r>
    <r>
      <rPr>
        <sz val="18"/>
        <rFont val="돋움"/>
        <family val="3"/>
        <charset val="129"/>
      </rPr>
      <t>표면적</t>
    </r>
    <r>
      <rPr>
        <sz val="18"/>
        <rFont val="Arial"/>
        <family val="2"/>
      </rPr>
      <t xml:space="preserve"> (ft2/ft)</t>
    </r>
    <phoneticPr fontId="2" type="noConversion"/>
  </si>
  <si>
    <t>ho = hcv + hr</t>
    <phoneticPr fontId="2" type="noConversion"/>
  </si>
  <si>
    <t>Emissivity</t>
    <phoneticPr fontId="2" type="noConversion"/>
  </si>
  <si>
    <r>
      <t>(</t>
    </r>
    <r>
      <rPr>
        <sz val="15"/>
        <rFont val="돋움"/>
        <family val="3"/>
        <charset val="129"/>
      </rPr>
      <t>참고문헌</t>
    </r>
    <r>
      <rPr>
        <sz val="15"/>
        <rFont val="Arial"/>
        <family val="2"/>
      </rPr>
      <t xml:space="preserve"> 2</t>
    </r>
    <r>
      <rPr>
        <sz val="15"/>
        <rFont val="돋움"/>
        <family val="3"/>
        <charset val="129"/>
      </rPr>
      <t>번</t>
    </r>
    <r>
      <rPr>
        <sz val="15"/>
        <rFont val="Arial"/>
        <family val="2"/>
      </rPr>
      <t>)</t>
    </r>
    <phoneticPr fontId="2" type="noConversion"/>
  </si>
  <si>
    <r>
      <t xml:space="preserve">hcv: convective surface coefficient, Btu/h ft2 </t>
    </r>
    <r>
      <rPr>
        <sz val="18"/>
        <rFont val="돋움"/>
        <family val="3"/>
        <charset val="129"/>
      </rPr>
      <t>˚</t>
    </r>
    <r>
      <rPr>
        <sz val="18"/>
        <rFont val="Arial"/>
        <family val="2"/>
      </rPr>
      <t>F</t>
    </r>
    <phoneticPr fontId="2" type="noConversion"/>
  </si>
  <si>
    <t>d: diameter for cylinder in. For flat surface and large cylinders d&gt;24, use d=24</t>
    <phoneticPr fontId="2" type="noConversion"/>
  </si>
  <si>
    <t>Wind: wind velocity (ft/min, mile/hr)</t>
    <phoneticPr fontId="2" type="noConversion"/>
  </si>
  <si>
    <t xml:space="preserve">Tav: (Ts+Ta)/2 </t>
    <phoneticPr fontId="2" type="noConversion"/>
  </si>
  <si>
    <r>
      <rPr>
        <sz val="18"/>
        <rFont val="맑은 고딕"/>
        <family val="3"/>
        <charset val="129"/>
      </rPr>
      <t>Δ</t>
    </r>
    <r>
      <rPr>
        <sz val="18"/>
        <rFont val="Arial"/>
        <family val="2"/>
      </rPr>
      <t>T = abs(Ts - Ta)</t>
    </r>
    <phoneticPr fontId="2" type="noConversion"/>
  </si>
  <si>
    <r>
      <t>C: Shape Factor, Table</t>
    </r>
    <r>
      <rPr>
        <sz val="18"/>
        <rFont val="돋움"/>
        <family val="3"/>
        <charset val="129"/>
      </rPr>
      <t>은</t>
    </r>
    <r>
      <rPr>
        <sz val="18"/>
        <rFont val="Arial"/>
        <family val="2"/>
      </rPr>
      <t xml:space="preserve"> Cal.C</t>
    </r>
    <r>
      <rPr>
        <sz val="18"/>
        <rFont val="돋움"/>
        <family val="3"/>
        <charset val="129"/>
      </rPr>
      <t>에</t>
    </r>
    <r>
      <rPr>
        <sz val="18"/>
        <rFont val="Arial"/>
        <family val="2"/>
      </rPr>
      <t xml:space="preserve"> </t>
    </r>
    <r>
      <rPr>
        <sz val="18"/>
        <rFont val="돋움"/>
        <family val="3"/>
        <charset val="129"/>
      </rPr>
      <t>있음</t>
    </r>
    <r>
      <rPr>
        <sz val="18"/>
        <rFont val="Arial"/>
        <family val="2"/>
      </rPr>
      <t xml:space="preserve">. </t>
    </r>
    <phoneticPr fontId="2" type="noConversion"/>
  </si>
  <si>
    <t xml:space="preserve">hr: radiative coefficient </t>
    <phoneticPr fontId="2" type="noConversion"/>
  </si>
  <si>
    <r>
      <t>E: effective surface emittance, Table</t>
    </r>
    <r>
      <rPr>
        <sz val="18"/>
        <rFont val="돋움"/>
        <family val="3"/>
        <charset val="129"/>
      </rPr>
      <t>은</t>
    </r>
    <r>
      <rPr>
        <sz val="18"/>
        <rFont val="Arial"/>
        <family val="2"/>
      </rPr>
      <t xml:space="preserve"> Cal.C</t>
    </r>
    <r>
      <rPr>
        <sz val="18"/>
        <rFont val="돋움"/>
        <family val="3"/>
        <charset val="129"/>
      </rPr>
      <t>에</t>
    </r>
    <r>
      <rPr>
        <sz val="18"/>
        <rFont val="Arial"/>
        <family val="2"/>
      </rPr>
      <t xml:space="preserve"> </t>
    </r>
    <r>
      <rPr>
        <sz val="18"/>
        <rFont val="돋움"/>
        <family val="3"/>
        <charset val="129"/>
      </rPr>
      <t>있음</t>
    </r>
    <r>
      <rPr>
        <sz val="18"/>
        <rFont val="Arial"/>
        <family val="2"/>
      </rPr>
      <t xml:space="preserve">. </t>
    </r>
    <phoneticPr fontId="2" type="noConversion"/>
  </si>
  <si>
    <r>
      <t xml:space="preserve">3. </t>
    </r>
    <r>
      <rPr>
        <sz val="20"/>
        <rFont val="돋움"/>
        <family val="3"/>
        <charset val="129"/>
      </rPr>
      <t>계산절차</t>
    </r>
    <r>
      <rPr>
        <sz val="20"/>
        <rFont val="Arial"/>
        <family val="2"/>
      </rPr>
      <t xml:space="preserve"> (</t>
    </r>
    <r>
      <rPr>
        <sz val="20"/>
        <rFont val="돋움"/>
        <family val="3"/>
        <charset val="129"/>
      </rPr>
      <t>참고문헌</t>
    </r>
    <r>
      <rPr>
        <sz val="20"/>
        <rFont val="Arial"/>
        <family val="2"/>
      </rPr>
      <t xml:space="preserve"> 1</t>
    </r>
    <r>
      <rPr>
        <sz val="20"/>
        <rFont val="돋움"/>
        <family val="3"/>
        <charset val="129"/>
      </rPr>
      <t>번</t>
    </r>
    <r>
      <rPr>
        <sz val="20"/>
        <rFont val="Arial"/>
        <family val="2"/>
      </rPr>
      <t>)</t>
    </r>
    <phoneticPr fontId="2" type="noConversion"/>
  </si>
  <si>
    <r>
      <rPr>
        <sz val="18"/>
        <rFont val="돋움"/>
        <family val="3"/>
        <charset val="129"/>
      </rPr>
      <t>주어진</t>
    </r>
    <r>
      <rPr>
        <sz val="18"/>
        <rFont val="Arial"/>
        <family val="2"/>
      </rPr>
      <t xml:space="preserve"> </t>
    </r>
    <r>
      <rPr>
        <sz val="18"/>
        <rFont val="돋움"/>
        <family val="3"/>
        <charset val="129"/>
      </rPr>
      <t>조건으로</t>
    </r>
    <r>
      <rPr>
        <sz val="18"/>
        <rFont val="Arial"/>
        <family val="2"/>
      </rPr>
      <t xml:space="preserve"> Qi </t>
    </r>
    <r>
      <rPr>
        <sz val="18"/>
        <rFont val="돋움"/>
        <family val="3"/>
        <charset val="129"/>
      </rPr>
      <t>값과</t>
    </r>
    <r>
      <rPr>
        <sz val="18"/>
        <rFont val="Arial"/>
        <family val="2"/>
      </rPr>
      <t xml:space="preserve"> Qo </t>
    </r>
    <r>
      <rPr>
        <sz val="18"/>
        <rFont val="돋움"/>
        <family val="3"/>
        <charset val="129"/>
      </rPr>
      <t>값을</t>
    </r>
    <r>
      <rPr>
        <sz val="18"/>
        <rFont val="Arial"/>
        <family val="2"/>
      </rPr>
      <t xml:space="preserve"> </t>
    </r>
    <r>
      <rPr>
        <sz val="18"/>
        <rFont val="돋움"/>
        <family val="3"/>
        <charset val="129"/>
      </rPr>
      <t>계산하여</t>
    </r>
    <r>
      <rPr>
        <sz val="18"/>
        <rFont val="Arial"/>
        <family val="2"/>
      </rPr>
      <t xml:space="preserve"> </t>
    </r>
    <r>
      <rPr>
        <sz val="18"/>
        <rFont val="돋움"/>
        <family val="3"/>
        <charset val="129"/>
      </rPr>
      <t>비교하여</t>
    </r>
    <r>
      <rPr>
        <sz val="18"/>
        <rFont val="Arial"/>
        <family val="2"/>
      </rPr>
      <t xml:space="preserve"> |(Qi - Qo)/Qi|&lt;0.01 </t>
    </r>
    <r>
      <rPr>
        <sz val="18"/>
        <rFont val="돋움"/>
        <family val="3"/>
        <charset val="129"/>
      </rPr>
      <t>정도가</t>
    </r>
    <r>
      <rPr>
        <sz val="18"/>
        <rFont val="Arial"/>
        <family val="2"/>
      </rPr>
      <t xml:space="preserve"> </t>
    </r>
    <r>
      <rPr>
        <sz val="18"/>
        <rFont val="돋움"/>
        <family val="3"/>
        <charset val="129"/>
      </rPr>
      <t>때까지</t>
    </r>
    <r>
      <rPr>
        <sz val="18"/>
        <rFont val="Arial"/>
        <family val="2"/>
      </rPr>
      <t xml:space="preserve"> Ts </t>
    </r>
    <r>
      <rPr>
        <sz val="18"/>
        <rFont val="돋움"/>
        <family val="3"/>
        <charset val="129"/>
      </rPr>
      <t>값을</t>
    </r>
    <r>
      <rPr>
        <sz val="18"/>
        <rFont val="Arial"/>
        <family val="2"/>
      </rPr>
      <t xml:space="preserve"> </t>
    </r>
    <r>
      <rPr>
        <sz val="18"/>
        <rFont val="돋움"/>
        <family val="3"/>
        <charset val="129"/>
      </rPr>
      <t>변화시키면서</t>
    </r>
    <phoneticPr fontId="2" type="noConversion"/>
  </si>
  <si>
    <r>
      <rPr>
        <sz val="18"/>
        <rFont val="돋움"/>
        <family val="3"/>
        <charset val="129"/>
      </rPr>
      <t>반복계산을</t>
    </r>
    <r>
      <rPr>
        <sz val="18"/>
        <rFont val="Arial"/>
        <family val="2"/>
      </rPr>
      <t xml:space="preserve"> </t>
    </r>
    <r>
      <rPr>
        <sz val="18"/>
        <rFont val="돋움"/>
        <family val="3"/>
        <charset val="129"/>
      </rPr>
      <t>하여</t>
    </r>
    <r>
      <rPr>
        <sz val="18"/>
        <rFont val="Arial"/>
        <family val="2"/>
      </rPr>
      <t xml:space="preserve"> </t>
    </r>
    <r>
      <rPr>
        <sz val="18"/>
        <rFont val="돋움"/>
        <family val="3"/>
        <charset val="129"/>
      </rPr>
      <t>구한다</t>
    </r>
    <r>
      <rPr>
        <sz val="18"/>
        <rFont val="Arial"/>
        <family val="2"/>
      </rPr>
      <t xml:space="preserve">. </t>
    </r>
    <r>
      <rPr>
        <sz val="18"/>
        <rFont val="돋움"/>
        <family val="3"/>
        <charset val="129"/>
      </rPr>
      <t>그리고</t>
    </r>
    <r>
      <rPr>
        <sz val="18"/>
        <rFont val="Arial"/>
        <family val="2"/>
      </rPr>
      <t xml:space="preserve"> </t>
    </r>
    <r>
      <rPr>
        <sz val="18"/>
        <rFont val="돋움"/>
        <family val="3"/>
        <charset val="129"/>
      </rPr>
      <t>단위</t>
    </r>
    <r>
      <rPr>
        <sz val="18"/>
        <rFont val="Arial"/>
        <family val="2"/>
      </rPr>
      <t xml:space="preserve"> </t>
    </r>
    <r>
      <rPr>
        <sz val="18"/>
        <rFont val="돋움"/>
        <family val="3"/>
        <charset val="129"/>
      </rPr>
      <t>길이당</t>
    </r>
    <r>
      <rPr>
        <sz val="18"/>
        <rFont val="Arial"/>
        <family val="2"/>
      </rPr>
      <t xml:space="preserve"> </t>
    </r>
    <r>
      <rPr>
        <sz val="18"/>
        <rFont val="돋움"/>
        <family val="3"/>
        <charset val="129"/>
      </rPr>
      <t>열손실을</t>
    </r>
    <r>
      <rPr>
        <sz val="18"/>
        <rFont val="Arial"/>
        <family val="2"/>
      </rPr>
      <t xml:space="preserve"> </t>
    </r>
    <r>
      <rPr>
        <sz val="18"/>
        <rFont val="돋움"/>
        <family val="3"/>
        <charset val="129"/>
      </rPr>
      <t>계산한다</t>
    </r>
    <r>
      <rPr>
        <sz val="18"/>
        <rFont val="Arial"/>
        <family val="2"/>
      </rPr>
      <t xml:space="preserve">. Qi, Qo </t>
    </r>
    <phoneticPr fontId="2" type="noConversion"/>
  </si>
  <si>
    <r>
      <t xml:space="preserve">4. Piping </t>
    </r>
    <r>
      <rPr>
        <sz val="20"/>
        <rFont val="돋움"/>
        <family val="3"/>
        <charset val="129"/>
      </rPr>
      <t>양식</t>
    </r>
    <r>
      <rPr>
        <sz val="20"/>
        <rFont val="Arial"/>
        <family val="2"/>
      </rPr>
      <t xml:space="preserve">_ hydraulic </t>
    </r>
    <phoneticPr fontId="2" type="noConversion"/>
  </si>
  <si>
    <r>
      <t>3.Inlet temperature</t>
    </r>
    <r>
      <rPr>
        <sz val="10"/>
        <rFont val="돋움"/>
        <family val="3"/>
        <charset val="129"/>
      </rPr>
      <t>가</t>
    </r>
    <r>
      <rPr>
        <sz val="10"/>
        <rFont val="Arial"/>
        <family val="2"/>
      </rPr>
      <t xml:space="preserve"> Airtemperature</t>
    </r>
    <r>
      <rPr>
        <sz val="10"/>
        <rFont val="돋움"/>
        <family val="3"/>
        <charset val="129"/>
      </rPr>
      <t>와</t>
    </r>
    <r>
      <rPr>
        <sz val="10"/>
        <rFont val="Arial"/>
        <family val="2"/>
      </rPr>
      <t xml:space="preserve"> </t>
    </r>
    <r>
      <rPr>
        <sz val="10"/>
        <rFont val="돋움"/>
        <family val="3"/>
        <charset val="129"/>
      </rPr>
      <t>가까우면</t>
    </r>
    <r>
      <rPr>
        <sz val="10"/>
        <rFont val="Arial"/>
        <family val="2"/>
      </rPr>
      <t xml:space="preserve"> </t>
    </r>
    <r>
      <rPr>
        <sz val="10"/>
        <rFont val="돋움"/>
        <family val="3"/>
        <charset val="129"/>
      </rPr>
      <t>에러날</t>
    </r>
    <r>
      <rPr>
        <sz val="10"/>
        <rFont val="Arial"/>
        <family val="2"/>
      </rPr>
      <t xml:space="preserve"> </t>
    </r>
    <r>
      <rPr>
        <sz val="10"/>
        <rFont val="돋움"/>
        <family val="3"/>
        <charset val="129"/>
      </rPr>
      <t>수</t>
    </r>
    <r>
      <rPr>
        <sz val="10"/>
        <rFont val="Arial"/>
        <family val="2"/>
      </rPr>
      <t xml:space="preserve"> </t>
    </r>
    <r>
      <rPr>
        <sz val="10"/>
        <rFont val="돋움"/>
        <family val="3"/>
        <charset val="129"/>
      </rPr>
      <t>있다</t>
    </r>
    <r>
      <rPr>
        <sz val="10"/>
        <rFont val="Arial"/>
        <family val="2"/>
      </rPr>
      <t xml:space="preserve">. </t>
    </r>
    <phoneticPr fontId="2" type="noConversion"/>
  </si>
  <si>
    <t xml:space="preserve">MARTERIAL </t>
  </si>
  <si>
    <t>A</t>
  </si>
  <si>
    <t>B</t>
  </si>
  <si>
    <r>
      <t xml:space="preserve">System Engineering guide Buried pipe </t>
    </r>
    <r>
      <rPr>
        <sz val="18"/>
        <rFont val="돋움"/>
        <family val="3"/>
        <charset val="129"/>
      </rPr>
      <t>열손실</t>
    </r>
    <r>
      <rPr>
        <sz val="18"/>
        <rFont val="Arial"/>
        <family val="2"/>
      </rPr>
      <t xml:space="preserve"> </t>
    </r>
    <r>
      <rPr>
        <sz val="18"/>
        <rFont val="돋움"/>
        <family val="3"/>
        <charset val="129"/>
      </rPr>
      <t>및</t>
    </r>
    <r>
      <rPr>
        <sz val="18"/>
        <rFont val="Arial"/>
        <family val="2"/>
      </rPr>
      <t xml:space="preserve"> </t>
    </r>
    <r>
      <rPr>
        <sz val="18"/>
        <rFont val="돋움"/>
        <family val="3"/>
        <charset val="129"/>
      </rPr>
      <t>유체온도</t>
    </r>
    <r>
      <rPr>
        <sz val="18"/>
        <rFont val="Arial"/>
        <family val="2"/>
      </rPr>
      <t xml:space="preserve"> </t>
    </r>
    <r>
      <rPr>
        <sz val="18"/>
        <rFont val="돋움"/>
        <family val="3"/>
        <charset val="129"/>
      </rPr>
      <t>하강</t>
    </r>
    <r>
      <rPr>
        <sz val="18"/>
        <rFont val="Arial"/>
        <family val="2"/>
      </rPr>
      <t xml:space="preserve"> </t>
    </r>
    <phoneticPr fontId="2" type="noConversion"/>
  </si>
  <si>
    <t>PERITE, EXPANDED</t>
    <phoneticPr fontId="2" type="noConversion"/>
  </si>
  <si>
    <t>GLASS, CULLULAR</t>
    <phoneticPr fontId="2" type="noConversion"/>
  </si>
  <si>
    <r>
      <rPr>
        <sz val="10"/>
        <rFont val="돋움"/>
        <family val="3"/>
        <charset val="129"/>
      </rPr>
      <t>얘만</t>
    </r>
    <r>
      <rPr>
        <sz val="10"/>
        <rFont val="Arial"/>
        <family val="2"/>
      </rPr>
      <t xml:space="preserve"> k=0.2501*exp(0.00209*T)</t>
    </r>
    <phoneticPr fontId="2" type="noConversion"/>
  </si>
  <si>
    <t>GLASS, FIBER</t>
    <phoneticPr fontId="2" type="noConversion"/>
  </si>
  <si>
    <t>INSULATION THERMAL CONDUCTIVITY  (Btu/hr ft)</t>
    <phoneticPr fontId="2" type="noConversion"/>
  </si>
  <si>
    <t>A</t>
    <phoneticPr fontId="2" type="noConversion"/>
  </si>
  <si>
    <t>B</t>
    <phoneticPr fontId="2" type="noConversion"/>
  </si>
  <si>
    <t>C</t>
    <phoneticPr fontId="2" type="noConversion"/>
  </si>
  <si>
    <t>NO</t>
    <phoneticPr fontId="2" type="noConversion"/>
  </si>
  <si>
    <t>ADMIRALTY</t>
    <phoneticPr fontId="2" type="noConversion"/>
  </si>
  <si>
    <t>NAVAL BRASS</t>
    <phoneticPr fontId="2" type="noConversion"/>
  </si>
  <si>
    <t xml:space="preserve">Pipe termal conductivity     </t>
    <phoneticPr fontId="2" type="noConversion"/>
  </si>
  <si>
    <t>(Btu/hr ft)</t>
    <phoneticPr fontId="2" type="noConversion"/>
  </si>
  <si>
    <t>Insulation Thermal conductivity</t>
  </si>
  <si>
    <t>5. Exxon Mobil section XVI - A, THERMAL INSULATION</t>
    <phoneticPr fontId="2" type="noConversion"/>
  </si>
  <si>
    <t>6. TEMA (8th 1999) Standards Of The Tubular Exchanger</t>
    <phoneticPr fontId="2" type="noConversion"/>
  </si>
  <si>
    <t>Thermal conductivity of Metal</t>
    <phoneticPr fontId="2" type="noConversion"/>
  </si>
  <si>
    <r>
      <t xml:space="preserve">4. </t>
    </r>
    <r>
      <rPr>
        <sz val="20"/>
        <rFont val="돋움"/>
        <family val="3"/>
        <charset val="129"/>
      </rPr>
      <t>총괄열전달</t>
    </r>
    <r>
      <rPr>
        <sz val="20"/>
        <rFont val="Arial"/>
        <family val="2"/>
      </rPr>
      <t xml:space="preserve"> </t>
    </r>
    <r>
      <rPr>
        <sz val="20"/>
        <rFont val="돋움"/>
        <family val="3"/>
        <charset val="129"/>
      </rPr>
      <t>계수</t>
    </r>
    <r>
      <rPr>
        <sz val="20"/>
        <rFont val="Arial"/>
        <family val="2"/>
      </rPr>
      <t xml:space="preserve">(U) </t>
    </r>
    <r>
      <rPr>
        <sz val="20"/>
        <rFont val="돋움"/>
        <family val="3"/>
        <charset val="129"/>
      </rPr>
      <t>및</t>
    </r>
    <r>
      <rPr>
        <sz val="20"/>
        <rFont val="Arial"/>
        <family val="2"/>
      </rPr>
      <t xml:space="preserve"> </t>
    </r>
    <r>
      <rPr>
        <sz val="20"/>
        <rFont val="돋움"/>
        <family val="3"/>
        <charset val="129"/>
      </rPr>
      <t>열손실</t>
    </r>
    <r>
      <rPr>
        <sz val="20"/>
        <rFont val="Arial"/>
        <family val="2"/>
      </rPr>
      <t xml:space="preserve"> </t>
    </r>
    <phoneticPr fontId="2" type="noConversion"/>
  </si>
  <si>
    <t>Insulation (o)</t>
  </si>
  <si>
    <t>=</t>
  </si>
  <si>
    <t>+</t>
  </si>
  <si>
    <t>[</t>
  </si>
  <si>
    <t>ln(do/d)</t>
  </si>
  <si>
    <t>ln(di/do)</t>
  </si>
  <si>
    <t>ln(ds/di)</t>
  </si>
  <si>
    <t>]</t>
  </si>
  <si>
    <t>hi</t>
  </si>
  <si>
    <r>
      <t>k</t>
    </r>
    <r>
      <rPr>
        <vertAlign val="subscript"/>
        <sz val="18"/>
        <rFont val="Arial"/>
        <family val="2"/>
      </rPr>
      <t>p</t>
    </r>
  </si>
  <si>
    <r>
      <t>k</t>
    </r>
    <r>
      <rPr>
        <vertAlign val="subscript"/>
        <sz val="18"/>
        <rFont val="Arial"/>
        <family val="2"/>
      </rPr>
      <t>i</t>
    </r>
  </si>
  <si>
    <r>
      <t>k</t>
    </r>
    <r>
      <rPr>
        <vertAlign val="subscript"/>
        <sz val="18"/>
        <rFont val="Arial"/>
        <family val="2"/>
      </rPr>
      <t>s</t>
    </r>
  </si>
  <si>
    <t>Insulation (x)</t>
  </si>
  <si>
    <t>ln(ds/do)</t>
  </si>
  <si>
    <t>d: Pipe Id(inch)</t>
  </si>
  <si>
    <t>kp: Pipe Thermal Conductivity</t>
  </si>
  <si>
    <t>do: Pipe Od(inch)</t>
  </si>
  <si>
    <t xml:space="preserve">ki: Insulation Thermal conductivity </t>
  </si>
  <si>
    <t>di: Insulation Od(inch)</t>
  </si>
  <si>
    <r>
      <t>ks: Soil Thermal Conductivity (0.2~1.0 Btu/hr.ft.</t>
    </r>
    <r>
      <rPr>
        <sz val="18"/>
        <rFont val="돋움"/>
        <family val="3"/>
        <charset val="129"/>
      </rPr>
      <t>˚</t>
    </r>
    <r>
      <rPr>
        <sz val="18"/>
        <rFont val="Arial"/>
        <family val="2"/>
      </rPr>
      <t>F)</t>
    </r>
  </si>
  <si>
    <t>ds: Heated Soil Dia = 3 x do</t>
  </si>
  <si>
    <r>
      <t>Q = U x A x (T</t>
    </r>
    <r>
      <rPr>
        <vertAlign val="subscript"/>
        <sz val="18"/>
        <rFont val="Arial"/>
        <family val="2"/>
      </rPr>
      <t>F</t>
    </r>
    <r>
      <rPr>
        <sz val="18"/>
        <rFont val="Arial"/>
        <family val="2"/>
      </rPr>
      <t xml:space="preserve"> - T</t>
    </r>
    <r>
      <rPr>
        <vertAlign val="subscript"/>
        <sz val="18"/>
        <rFont val="Arial"/>
        <family val="2"/>
      </rPr>
      <t>S</t>
    </r>
    <r>
      <rPr>
        <sz val="18"/>
        <rFont val="Arial"/>
        <family val="2"/>
      </rPr>
      <t>)</t>
    </r>
  </si>
  <si>
    <r>
      <t>T</t>
    </r>
    <r>
      <rPr>
        <vertAlign val="subscript"/>
        <sz val="18"/>
        <rFont val="Arial"/>
        <family val="2"/>
      </rPr>
      <t>F</t>
    </r>
    <r>
      <rPr>
        <sz val="18"/>
        <rFont val="Arial"/>
        <family val="2"/>
      </rPr>
      <t xml:space="preserve">: </t>
    </r>
    <r>
      <rPr>
        <sz val="18"/>
        <rFont val="돋움"/>
        <family val="3"/>
        <charset val="129"/>
      </rPr>
      <t>유체온도</t>
    </r>
  </si>
  <si>
    <t>A: Heat Transfer Area</t>
  </si>
  <si>
    <r>
      <t>T</t>
    </r>
    <r>
      <rPr>
        <vertAlign val="subscript"/>
        <sz val="18"/>
        <rFont val="Arial"/>
        <family val="2"/>
      </rPr>
      <t>S</t>
    </r>
    <r>
      <rPr>
        <sz val="18"/>
        <rFont val="Arial"/>
        <family val="2"/>
      </rPr>
      <t xml:space="preserve">: </t>
    </r>
    <r>
      <rPr>
        <sz val="18"/>
        <rFont val="돋움"/>
        <family val="3"/>
        <charset val="129"/>
      </rPr>
      <t>지중온도</t>
    </r>
  </si>
  <si>
    <r>
      <t>A=</t>
    </r>
    <r>
      <rPr>
        <sz val="18"/>
        <rFont val="맑은 고딕"/>
        <family val="3"/>
        <charset val="129"/>
      </rPr>
      <t>π</t>
    </r>
    <r>
      <rPr>
        <sz val="18"/>
        <rFont val="Arial"/>
        <family val="2"/>
      </rPr>
      <t>x d(mean)/12 x L</t>
    </r>
  </si>
  <si>
    <t>L: Pipe length, d(mean) = (d+ds)/2</t>
  </si>
  <si>
    <t>2) For Buried</t>
    <phoneticPr fontId="2" type="noConversion"/>
  </si>
  <si>
    <t>Ui</t>
    <phoneticPr fontId="2" type="noConversion"/>
  </si>
  <si>
    <t>di</t>
    <phoneticPr fontId="2" type="noConversion"/>
  </si>
  <si>
    <t>1) For Bare</t>
    <phoneticPr fontId="2" type="noConversion"/>
  </si>
  <si>
    <t>Uo</t>
    <phoneticPr fontId="2" type="noConversion"/>
  </si>
  <si>
    <t>do</t>
    <phoneticPr fontId="2" type="noConversion"/>
  </si>
  <si>
    <t xml:space="preserve">di * hi </t>
    <phoneticPr fontId="2" type="noConversion"/>
  </si>
  <si>
    <t>ho</t>
    <phoneticPr fontId="2" type="noConversion"/>
  </si>
  <si>
    <r>
      <t xml:space="preserve">Ao = </t>
    </r>
    <r>
      <rPr>
        <sz val="18"/>
        <rFont val="맑은 고딕"/>
        <family val="3"/>
        <charset val="129"/>
      </rPr>
      <t>π</t>
    </r>
    <r>
      <rPr>
        <sz val="15.3"/>
        <rFont val="Arial"/>
        <family val="2"/>
      </rPr>
      <t xml:space="preserve"> x</t>
    </r>
    <r>
      <rPr>
        <sz val="18"/>
        <rFont val="Arial"/>
        <family val="2"/>
      </rPr>
      <t xml:space="preserve"> di/12 x L</t>
    </r>
    <phoneticPr fontId="2" type="noConversion"/>
  </si>
  <si>
    <t>NO</t>
    <phoneticPr fontId="2" type="noConversion"/>
  </si>
  <si>
    <r>
      <t>Q = Uo x Ao x (T</t>
    </r>
    <r>
      <rPr>
        <vertAlign val="subscript"/>
        <sz val="18"/>
        <rFont val="Arial"/>
        <family val="2"/>
      </rPr>
      <t>Suf</t>
    </r>
    <r>
      <rPr>
        <sz val="18"/>
        <rFont val="Arial"/>
        <family val="2"/>
      </rPr>
      <t xml:space="preserve"> - T</t>
    </r>
    <r>
      <rPr>
        <vertAlign val="subscript"/>
        <sz val="18"/>
        <rFont val="Arial"/>
        <family val="2"/>
      </rPr>
      <t>A</t>
    </r>
    <r>
      <rPr>
        <sz val="18"/>
        <rFont val="Arial"/>
        <family val="2"/>
      </rPr>
      <t>)</t>
    </r>
    <phoneticPr fontId="2" type="noConversion"/>
  </si>
  <si>
    <t>OUTDIA</t>
    <phoneticPr fontId="2" type="noConversion"/>
  </si>
  <si>
    <t>Thermal Conductivity</t>
    <phoneticPr fontId="2" type="noConversion"/>
  </si>
  <si>
    <t>CHE'D BY:</t>
    <phoneticPr fontId="2" type="noConversion"/>
  </si>
  <si>
    <t>PRE'D BY:</t>
    <phoneticPr fontId="2" type="noConversion"/>
  </si>
  <si>
    <t>NOTE:</t>
    <phoneticPr fontId="2" type="noConversion"/>
  </si>
  <si>
    <t>This datasheet and information contained therein are the property of GLOTEC ENGINEERING.  They are merely loaned and shall not be disclosed to others or reproduced in any manner without written permission of GLOTEC.</t>
  </si>
  <si>
    <t>PAGE</t>
  </si>
  <si>
    <t xml:space="preserve">  PROJECT NO.</t>
    <phoneticPr fontId="43" type="noConversion"/>
  </si>
  <si>
    <t xml:space="preserve">  PROJECT NAME</t>
    <phoneticPr fontId="43" type="noConversion"/>
  </si>
  <si>
    <t xml:space="preserve">  SERVICE</t>
    <phoneticPr fontId="43" type="noConversion"/>
  </si>
  <si>
    <t xml:space="preserve">  DOC.NO</t>
    <phoneticPr fontId="43" type="noConversion"/>
  </si>
  <si>
    <t>REV.</t>
    <phoneticPr fontId="43" type="noConversion"/>
  </si>
  <si>
    <t>1</t>
    <phoneticPr fontId="43" type="noConversion"/>
  </si>
  <si>
    <t>10</t>
  </si>
  <si>
    <t>11</t>
  </si>
  <si>
    <t>12</t>
  </si>
  <si>
    <t>13</t>
  </si>
  <si>
    <t>14</t>
  </si>
  <si>
    <t>15</t>
  </si>
  <si>
    <t>16</t>
  </si>
  <si>
    <t>17</t>
  </si>
  <si>
    <t>18</t>
  </si>
  <si>
    <t>19</t>
  </si>
  <si>
    <t>20</t>
  </si>
  <si>
    <t>21</t>
  </si>
  <si>
    <t>22</t>
  </si>
  <si>
    <t>23</t>
  </si>
  <si>
    <t>24</t>
  </si>
  <si>
    <t>26</t>
  </si>
  <si>
    <t>28</t>
  </si>
  <si>
    <t>30</t>
  </si>
  <si>
    <t>31</t>
  </si>
  <si>
    <t>37</t>
  </si>
  <si>
    <t>39</t>
  </si>
  <si>
    <t>40</t>
  </si>
  <si>
    <t>41</t>
  </si>
  <si>
    <t>42</t>
  </si>
  <si>
    <t>43</t>
  </si>
  <si>
    <t>44</t>
  </si>
  <si>
    <t>45</t>
  </si>
  <si>
    <t>46</t>
  </si>
  <si>
    <t>50</t>
  </si>
  <si>
    <t>51</t>
  </si>
  <si>
    <t>52</t>
  </si>
  <si>
    <t>53</t>
  </si>
  <si>
    <t>REVISION STATUS</t>
    <phoneticPr fontId="43" type="noConversion"/>
  </si>
  <si>
    <t>REV</t>
    <phoneticPr fontId="43" type="noConversion"/>
  </si>
  <si>
    <t>DATE</t>
    <phoneticPr fontId="43" type="noConversion"/>
  </si>
  <si>
    <t>PRE'D</t>
    <phoneticPr fontId="43" type="noConversion"/>
  </si>
  <si>
    <t>CHK'D</t>
    <phoneticPr fontId="43" type="noConversion"/>
  </si>
  <si>
    <t>APP'D</t>
    <phoneticPr fontId="43" type="noConversion"/>
  </si>
  <si>
    <t>DESCRIPTION</t>
    <phoneticPr fontId="43" type="noConversion"/>
  </si>
  <si>
    <t>Property of Fiuld</t>
    <phoneticPr fontId="43" type="noConversion"/>
  </si>
  <si>
    <t>Viscosity</t>
    <phoneticPr fontId="43" type="noConversion"/>
  </si>
  <si>
    <t>Thermal Conductivity</t>
    <phoneticPr fontId="43" type="noConversion"/>
  </si>
  <si>
    <t>Heat Capacity</t>
    <phoneticPr fontId="43" type="noConversion"/>
  </si>
  <si>
    <t>Pipe Spectification</t>
    <phoneticPr fontId="43" type="noConversion"/>
  </si>
  <si>
    <t>Nominal Size</t>
    <phoneticPr fontId="43" type="noConversion"/>
  </si>
  <si>
    <t>Schedule of Class</t>
    <phoneticPr fontId="43" type="noConversion"/>
  </si>
  <si>
    <t>Inside Diameter</t>
    <phoneticPr fontId="43" type="noConversion"/>
  </si>
  <si>
    <t>Outside Diameter</t>
    <phoneticPr fontId="43" type="noConversion"/>
  </si>
  <si>
    <t>3</t>
  </si>
  <si>
    <t>Location</t>
    <phoneticPr fontId="43" type="noConversion"/>
  </si>
  <si>
    <t>Length</t>
    <phoneticPr fontId="43" type="noConversion"/>
  </si>
  <si>
    <t>Operating Condition</t>
    <phoneticPr fontId="43" type="noConversion"/>
  </si>
  <si>
    <t>Ambient Temperature</t>
    <phoneticPr fontId="43" type="noConversion"/>
  </si>
  <si>
    <t xml:space="preserve">Wind Velocity </t>
    <phoneticPr fontId="43" type="noConversion"/>
  </si>
  <si>
    <t>Season</t>
    <phoneticPr fontId="43" type="noConversion"/>
  </si>
  <si>
    <t>Shape and Condition</t>
    <phoneticPr fontId="43" type="noConversion"/>
  </si>
  <si>
    <t>Emissivity</t>
    <phoneticPr fontId="43" type="noConversion"/>
  </si>
  <si>
    <t>HORIZONTAL</t>
  </si>
  <si>
    <t>COMMONLY USED</t>
  </si>
  <si>
    <t>PIPE HEAT TRANSFER CALCULATION</t>
    <phoneticPr fontId="43" type="noConversion"/>
  </si>
  <si>
    <t>Outlet Temperature</t>
    <phoneticPr fontId="43" type="noConversion"/>
  </si>
  <si>
    <t>Inlet Temperature</t>
    <phoneticPr fontId="43" type="noConversion"/>
  </si>
  <si>
    <t>CARBON STEEL</t>
  </si>
  <si>
    <t>CARBON STEEL</t>
    <phoneticPr fontId="2" type="noConversion"/>
  </si>
  <si>
    <t xml:space="preserve">TP 304 STN STL </t>
    <phoneticPr fontId="2" type="noConversion"/>
  </si>
  <si>
    <t>Spring</t>
  </si>
  <si>
    <t>kg/hr</t>
    <phoneticPr fontId="2" type="noConversion"/>
  </si>
  <si>
    <t>cP</t>
    <phoneticPr fontId="2" type="noConversion"/>
  </si>
  <si>
    <t>m/s</t>
    <phoneticPr fontId="2" type="noConversion"/>
  </si>
  <si>
    <t>inch</t>
    <phoneticPr fontId="2" type="noConversion"/>
  </si>
  <si>
    <t>m</t>
    <phoneticPr fontId="2" type="noConversion"/>
  </si>
  <si>
    <r>
      <t>kcal/hr</t>
    </r>
    <r>
      <rPr>
        <sz val="12"/>
        <rFont val="돋움"/>
        <family val="3"/>
        <charset val="129"/>
      </rPr>
      <t>·</t>
    </r>
    <r>
      <rPr>
        <sz val="12"/>
        <rFont val="Arial"/>
        <family val="2"/>
      </rPr>
      <t>m</t>
    </r>
    <r>
      <rPr>
        <sz val="12"/>
        <rFont val="돋움"/>
        <family val="3"/>
        <charset val="129"/>
      </rPr>
      <t>·˚</t>
    </r>
    <r>
      <rPr>
        <sz val="12"/>
        <rFont val="Arial"/>
        <family val="2"/>
      </rPr>
      <t>C</t>
    </r>
    <phoneticPr fontId="2" type="noConversion"/>
  </si>
  <si>
    <t>Pipe Thermal Conductivity</t>
    <phoneticPr fontId="43" type="noConversion"/>
  </si>
  <si>
    <t>Pipe Material</t>
    <phoneticPr fontId="43" type="noConversion"/>
  </si>
  <si>
    <r>
      <t>kcal/hr</t>
    </r>
    <r>
      <rPr>
        <sz val="12"/>
        <rFont val="돋움"/>
        <family val="3"/>
        <charset val="129"/>
      </rPr>
      <t>·</t>
    </r>
    <r>
      <rPr>
        <sz val="12"/>
        <rFont val="Arial"/>
        <family val="2"/>
      </rPr>
      <t>m</t>
    </r>
    <r>
      <rPr>
        <sz val="12"/>
        <rFont val="돋움"/>
        <family val="3"/>
        <charset val="129"/>
      </rPr>
      <t>·˚</t>
    </r>
    <r>
      <rPr>
        <sz val="12"/>
        <rFont val="Arial"/>
        <family val="2"/>
      </rPr>
      <t>C</t>
    </r>
    <phoneticPr fontId="2" type="noConversion"/>
  </si>
  <si>
    <r>
      <t>kcal/kg·</t>
    </r>
    <r>
      <rPr>
        <sz val="12"/>
        <rFont val="돋움"/>
        <family val="3"/>
        <charset val="129"/>
      </rPr>
      <t>˚</t>
    </r>
    <r>
      <rPr>
        <sz val="12"/>
        <rFont val="Arial"/>
        <family val="2"/>
      </rPr>
      <t>C</t>
    </r>
    <phoneticPr fontId="2" type="noConversion"/>
  </si>
  <si>
    <r>
      <rPr>
        <sz val="12"/>
        <rFont val="돋움"/>
        <family val="3"/>
        <charset val="129"/>
      </rPr>
      <t>˚</t>
    </r>
    <r>
      <rPr>
        <sz val="12"/>
        <rFont val="Arial"/>
        <family val="2"/>
      </rPr>
      <t>C</t>
    </r>
    <phoneticPr fontId="2" type="noConversion"/>
  </si>
  <si>
    <t>Type of liquid</t>
    <phoneticPr fontId="43" type="noConversion"/>
  </si>
  <si>
    <t xml:space="preserve">Flow rate </t>
    <phoneticPr fontId="43" type="noConversion"/>
  </si>
  <si>
    <t>Inside Film Coefficient</t>
    <phoneticPr fontId="43" type="noConversion"/>
  </si>
  <si>
    <t>Convection Equation</t>
    <phoneticPr fontId="43" type="noConversion"/>
  </si>
  <si>
    <t>Emissivity Equation</t>
    <phoneticPr fontId="43" type="noConversion"/>
  </si>
  <si>
    <t>Insulation</t>
    <phoneticPr fontId="43" type="noConversion"/>
  </si>
  <si>
    <t>MINERAL FIBER D</t>
    <phoneticPr fontId="2" type="noConversion"/>
  </si>
  <si>
    <t>MINERAL WOOL</t>
    <phoneticPr fontId="2" type="noConversion"/>
  </si>
  <si>
    <t>CALCUIM SILICATE</t>
    <phoneticPr fontId="2" type="noConversion"/>
  </si>
  <si>
    <t>AMOSITE ASBESTOS 1</t>
    <phoneticPr fontId="2" type="noConversion"/>
  </si>
  <si>
    <t xml:space="preserve">AMOSITE ASBESTOS 2 </t>
    <phoneticPr fontId="2" type="noConversion"/>
  </si>
  <si>
    <t>DIAOMACEUOS EARTH 2</t>
    <phoneticPr fontId="2" type="noConversion"/>
  </si>
  <si>
    <t>SUPER CA,SILICATE</t>
    <phoneticPr fontId="2" type="noConversion"/>
  </si>
  <si>
    <t>Insulation Conductivity</t>
    <phoneticPr fontId="43" type="noConversion"/>
  </si>
  <si>
    <r>
      <t>(T&lt;75</t>
    </r>
    <r>
      <rPr>
        <sz val="10"/>
        <rFont val="돋움"/>
        <family val="3"/>
        <charset val="129"/>
      </rPr>
      <t>˚</t>
    </r>
    <r>
      <rPr>
        <sz val="10"/>
        <rFont val="Arial"/>
        <family val="2"/>
      </rPr>
      <t>F)</t>
    </r>
    <phoneticPr fontId="2" type="noConversion"/>
  </si>
  <si>
    <r>
      <t>(75</t>
    </r>
    <r>
      <rPr>
        <sz val="10"/>
        <rFont val="돋움"/>
        <family val="3"/>
        <charset val="129"/>
      </rPr>
      <t>˚</t>
    </r>
    <r>
      <rPr>
        <sz val="10"/>
        <rFont val="Arial"/>
        <family val="2"/>
      </rPr>
      <t>F&lt;T&lt;400</t>
    </r>
    <r>
      <rPr>
        <sz val="10"/>
        <rFont val="돋움"/>
        <family val="3"/>
        <charset val="129"/>
      </rPr>
      <t>˚</t>
    </r>
    <r>
      <rPr>
        <sz val="10"/>
        <rFont val="Arial"/>
        <family val="2"/>
      </rPr>
      <t>F)</t>
    </r>
    <phoneticPr fontId="2" type="noConversion"/>
  </si>
  <si>
    <r>
      <t>(T&lt;850</t>
    </r>
    <r>
      <rPr>
        <sz val="10"/>
        <rFont val="돋움"/>
        <family val="3"/>
        <charset val="129"/>
      </rPr>
      <t>˚</t>
    </r>
    <r>
      <rPr>
        <sz val="10"/>
        <rFont val="Arial"/>
        <family val="2"/>
      </rPr>
      <t>F)</t>
    </r>
    <phoneticPr fontId="2" type="noConversion"/>
  </si>
  <si>
    <r>
      <t>(T&lt;200</t>
    </r>
    <r>
      <rPr>
        <sz val="10"/>
        <rFont val="돋움"/>
        <family val="3"/>
        <charset val="129"/>
      </rPr>
      <t>˚</t>
    </r>
    <r>
      <rPr>
        <sz val="10"/>
        <rFont val="Arial"/>
        <family val="2"/>
      </rPr>
      <t>F)</t>
    </r>
    <phoneticPr fontId="2" type="noConversion"/>
  </si>
  <si>
    <t>MINERAL FIBER C</t>
    <phoneticPr fontId="2" type="noConversion"/>
  </si>
  <si>
    <r>
      <t>(200</t>
    </r>
    <r>
      <rPr>
        <sz val="10"/>
        <rFont val="돋움"/>
        <family val="3"/>
        <charset val="129"/>
      </rPr>
      <t>˚</t>
    </r>
    <r>
      <rPr>
        <sz val="10"/>
        <rFont val="Arial"/>
        <family val="2"/>
      </rPr>
      <t>F&lt;T&lt;300</t>
    </r>
    <r>
      <rPr>
        <sz val="10"/>
        <rFont val="돋움"/>
        <family val="3"/>
        <charset val="129"/>
      </rPr>
      <t>˚</t>
    </r>
    <r>
      <rPr>
        <sz val="10"/>
        <rFont val="Arial"/>
        <family val="2"/>
      </rPr>
      <t>F)</t>
    </r>
    <phoneticPr fontId="2" type="noConversion"/>
  </si>
  <si>
    <r>
      <t>(300</t>
    </r>
    <r>
      <rPr>
        <sz val="10"/>
        <rFont val="돋움"/>
        <family val="3"/>
        <charset val="129"/>
      </rPr>
      <t>˚</t>
    </r>
    <r>
      <rPr>
        <sz val="10"/>
        <rFont val="Arial"/>
        <family val="2"/>
      </rPr>
      <t>F&lt;T&lt;1000</t>
    </r>
    <r>
      <rPr>
        <sz val="10"/>
        <rFont val="돋움"/>
        <family val="3"/>
        <charset val="129"/>
      </rPr>
      <t>˚</t>
    </r>
    <r>
      <rPr>
        <sz val="10"/>
        <rFont val="Arial"/>
        <family val="2"/>
      </rPr>
      <t>F)</t>
    </r>
    <phoneticPr fontId="2" type="noConversion"/>
  </si>
  <si>
    <r>
      <t>(700</t>
    </r>
    <r>
      <rPr>
        <sz val="10"/>
        <rFont val="돋움"/>
        <family val="3"/>
        <charset val="129"/>
      </rPr>
      <t>˚</t>
    </r>
    <r>
      <rPr>
        <sz val="10"/>
        <rFont val="Arial"/>
        <family val="2"/>
      </rPr>
      <t>F&lt;T&lt;1800</t>
    </r>
    <r>
      <rPr>
        <sz val="10"/>
        <rFont val="돋움"/>
        <family val="3"/>
        <charset val="129"/>
      </rPr>
      <t>˚</t>
    </r>
    <r>
      <rPr>
        <sz val="10"/>
        <rFont val="Arial"/>
        <family val="2"/>
      </rPr>
      <t>F)</t>
    </r>
    <phoneticPr fontId="2" type="noConversion"/>
  </si>
  <si>
    <t xml:space="preserve">MINERAL WOOL </t>
    <phoneticPr fontId="2" type="noConversion"/>
  </si>
  <si>
    <r>
      <t>(T&lt;300</t>
    </r>
    <r>
      <rPr>
        <sz val="10"/>
        <rFont val="돋움"/>
        <family val="3"/>
        <charset val="129"/>
      </rPr>
      <t>˚</t>
    </r>
    <r>
      <rPr>
        <sz val="10"/>
        <rFont val="Arial"/>
        <family val="2"/>
      </rPr>
      <t>F)</t>
    </r>
  </si>
  <si>
    <r>
      <t>(300</t>
    </r>
    <r>
      <rPr>
        <sz val="10"/>
        <rFont val="돋움"/>
        <family val="3"/>
        <charset val="129"/>
      </rPr>
      <t>˚</t>
    </r>
    <r>
      <rPr>
        <sz val="10"/>
        <rFont val="Arial"/>
        <family val="2"/>
      </rPr>
      <t>F&lt;T&lt;500</t>
    </r>
    <r>
      <rPr>
        <sz val="10"/>
        <rFont val="돋움"/>
        <family val="3"/>
        <charset val="129"/>
      </rPr>
      <t>˚</t>
    </r>
    <r>
      <rPr>
        <sz val="10"/>
        <rFont val="Arial"/>
        <family val="2"/>
      </rPr>
      <t>F)</t>
    </r>
    <phoneticPr fontId="2" type="noConversion"/>
  </si>
  <si>
    <r>
      <t>(500</t>
    </r>
    <r>
      <rPr>
        <sz val="10"/>
        <rFont val="돋움"/>
        <family val="3"/>
        <charset val="129"/>
      </rPr>
      <t>˚</t>
    </r>
    <r>
      <rPr>
        <sz val="10"/>
        <rFont val="Arial"/>
        <family val="2"/>
      </rPr>
      <t>F&lt;T&lt;1800</t>
    </r>
    <r>
      <rPr>
        <sz val="10"/>
        <rFont val="돋움"/>
        <family val="3"/>
        <charset val="129"/>
      </rPr>
      <t>˚</t>
    </r>
    <r>
      <rPr>
        <sz val="10"/>
        <rFont val="Arial"/>
        <family val="2"/>
      </rPr>
      <t>F)</t>
    </r>
  </si>
  <si>
    <t xml:space="preserve">AMOSITE ASBESTOS 1 </t>
    <phoneticPr fontId="2" type="noConversion"/>
  </si>
  <si>
    <r>
      <t>(T&lt;400</t>
    </r>
    <r>
      <rPr>
        <sz val="10"/>
        <rFont val="돋움"/>
        <family val="3"/>
        <charset val="129"/>
      </rPr>
      <t>˚</t>
    </r>
    <r>
      <rPr>
        <sz val="10"/>
        <rFont val="Arial"/>
        <family val="2"/>
      </rPr>
      <t>F)</t>
    </r>
  </si>
  <si>
    <r>
      <t>(T&gt;400</t>
    </r>
    <r>
      <rPr>
        <sz val="10"/>
        <rFont val="돋움"/>
        <family val="3"/>
        <charset val="129"/>
      </rPr>
      <t>˚</t>
    </r>
    <r>
      <rPr>
        <sz val="10"/>
        <rFont val="Arial"/>
        <family val="2"/>
      </rPr>
      <t>F)</t>
    </r>
  </si>
  <si>
    <t xml:space="preserve">CALCUIM SILICATE </t>
    <phoneticPr fontId="2" type="noConversion"/>
  </si>
  <si>
    <r>
      <t>(T&lt;500</t>
    </r>
    <r>
      <rPr>
        <sz val="10"/>
        <rFont val="돋움"/>
        <family val="3"/>
        <charset val="129"/>
      </rPr>
      <t>˚</t>
    </r>
    <r>
      <rPr>
        <sz val="10"/>
        <rFont val="Arial"/>
        <family val="2"/>
      </rPr>
      <t>F)</t>
    </r>
  </si>
  <si>
    <r>
      <t>(500</t>
    </r>
    <r>
      <rPr>
        <sz val="10"/>
        <rFont val="돋움"/>
        <family val="3"/>
        <charset val="129"/>
      </rPr>
      <t>˚</t>
    </r>
    <r>
      <rPr>
        <sz val="10"/>
        <rFont val="Arial"/>
        <family val="2"/>
      </rPr>
      <t>F&lt;T&lt;700</t>
    </r>
    <r>
      <rPr>
        <sz val="10"/>
        <rFont val="돋움"/>
        <family val="3"/>
        <charset val="129"/>
      </rPr>
      <t>˚</t>
    </r>
    <r>
      <rPr>
        <sz val="10"/>
        <rFont val="Arial"/>
        <family val="2"/>
      </rPr>
      <t>F)</t>
    </r>
  </si>
  <si>
    <r>
      <t>(700</t>
    </r>
    <r>
      <rPr>
        <sz val="10"/>
        <rFont val="돋움"/>
        <family val="3"/>
        <charset val="129"/>
      </rPr>
      <t>˚</t>
    </r>
    <r>
      <rPr>
        <sz val="10"/>
        <rFont val="Arial"/>
        <family val="2"/>
      </rPr>
      <t>F&lt;T&lt;1200</t>
    </r>
    <r>
      <rPr>
        <sz val="10"/>
        <rFont val="돋움"/>
        <family val="3"/>
        <charset val="129"/>
      </rPr>
      <t>˚</t>
    </r>
    <r>
      <rPr>
        <sz val="10"/>
        <rFont val="Arial"/>
        <family val="2"/>
      </rPr>
      <t>F)</t>
    </r>
  </si>
  <si>
    <r>
      <t>(700</t>
    </r>
    <r>
      <rPr>
        <sz val="10"/>
        <rFont val="돋움"/>
        <family val="3"/>
        <charset val="129"/>
      </rPr>
      <t>˚</t>
    </r>
    <r>
      <rPr>
        <sz val="10"/>
        <rFont val="Arial"/>
        <family val="2"/>
      </rPr>
      <t>F&lt;T&lt;1700</t>
    </r>
    <r>
      <rPr>
        <sz val="10"/>
        <rFont val="돋움"/>
        <family val="3"/>
        <charset val="129"/>
      </rPr>
      <t>˚</t>
    </r>
    <r>
      <rPr>
        <sz val="10"/>
        <rFont val="Arial"/>
        <family val="2"/>
      </rPr>
      <t>F)</t>
    </r>
  </si>
  <si>
    <r>
      <t>(T&lt;750</t>
    </r>
    <r>
      <rPr>
        <sz val="10"/>
        <rFont val="돋움"/>
        <family val="3"/>
        <charset val="129"/>
      </rPr>
      <t>˚</t>
    </r>
    <r>
      <rPr>
        <sz val="10"/>
        <rFont val="Arial"/>
        <family val="2"/>
      </rPr>
      <t>F)</t>
    </r>
  </si>
  <si>
    <r>
      <t>(750</t>
    </r>
    <r>
      <rPr>
        <sz val="10"/>
        <rFont val="돋움"/>
        <family val="3"/>
        <charset val="129"/>
      </rPr>
      <t>˚</t>
    </r>
    <r>
      <rPr>
        <sz val="10"/>
        <rFont val="Arial"/>
        <family val="2"/>
      </rPr>
      <t>F&lt;T&lt;1600</t>
    </r>
    <r>
      <rPr>
        <sz val="10"/>
        <rFont val="돋움"/>
        <family val="3"/>
        <charset val="129"/>
      </rPr>
      <t>˚</t>
    </r>
    <r>
      <rPr>
        <sz val="10"/>
        <rFont val="Arial"/>
        <family val="2"/>
      </rPr>
      <t>F)</t>
    </r>
  </si>
  <si>
    <r>
      <t xml:space="preserve"> (T&lt;1900</t>
    </r>
    <r>
      <rPr>
        <sz val="10"/>
        <rFont val="돋움"/>
        <family val="3"/>
        <charset val="129"/>
      </rPr>
      <t>˚</t>
    </r>
    <r>
      <rPr>
        <sz val="10"/>
        <rFont val="Arial"/>
        <family val="2"/>
      </rPr>
      <t>F)</t>
    </r>
    <phoneticPr fontId="2" type="noConversion"/>
  </si>
  <si>
    <t>DIAOMACEUOS EARTH 1</t>
    <phoneticPr fontId="2" type="noConversion"/>
  </si>
  <si>
    <t>MINERAL FIBER A</t>
    <phoneticPr fontId="2" type="noConversion"/>
  </si>
  <si>
    <t>MINERAL FIBER B</t>
    <phoneticPr fontId="2" type="noConversion"/>
  </si>
  <si>
    <r>
      <t>(T&lt;700</t>
    </r>
    <r>
      <rPr>
        <sz val="10"/>
        <rFont val="돋움"/>
        <family val="3"/>
        <charset val="129"/>
      </rPr>
      <t>˚</t>
    </r>
    <r>
      <rPr>
        <sz val="10"/>
        <rFont val="Arial"/>
        <family val="2"/>
      </rPr>
      <t>F)</t>
    </r>
  </si>
  <si>
    <t xml:space="preserve"> Common</t>
    <phoneticPr fontId="2" type="noConversion"/>
  </si>
  <si>
    <t xml:space="preserve"> For Bare Pipe</t>
    <phoneticPr fontId="2" type="noConversion"/>
  </si>
  <si>
    <t>Outside Film Coefficient</t>
    <phoneticPr fontId="43" type="noConversion"/>
  </si>
  <si>
    <t xml:space="preserve">  by convection  </t>
    <phoneticPr fontId="2" type="noConversion"/>
  </si>
  <si>
    <t xml:space="preserve">  by radiation</t>
    <phoneticPr fontId="2" type="noConversion"/>
  </si>
  <si>
    <t xml:space="preserve"> For Buried Pipe</t>
    <phoneticPr fontId="2" type="noConversion"/>
  </si>
  <si>
    <t>Heated Soil Diameter</t>
    <phoneticPr fontId="43" type="noConversion"/>
  </si>
  <si>
    <t>Burial Depth</t>
    <phoneticPr fontId="43" type="noConversion"/>
  </si>
  <si>
    <t>m</t>
    <phoneticPr fontId="2" type="noConversion"/>
  </si>
  <si>
    <r>
      <t>Differential Temparature (</t>
    </r>
    <r>
      <rPr>
        <sz val="12"/>
        <color indexed="8"/>
        <rFont val="맑은 고딕"/>
        <family val="3"/>
        <charset val="129"/>
      </rPr>
      <t>Δ</t>
    </r>
    <r>
      <rPr>
        <sz val="10.199999999999999"/>
        <color indexed="8"/>
        <rFont val="Arial"/>
        <family val="2"/>
      </rPr>
      <t>T)</t>
    </r>
    <phoneticPr fontId="43" type="noConversion"/>
  </si>
  <si>
    <t>Ground Temperature</t>
    <phoneticPr fontId="43" type="noConversion"/>
  </si>
  <si>
    <t>Soil Thermal Conductivity</t>
    <phoneticPr fontId="43" type="noConversion"/>
  </si>
  <si>
    <t>Calculate Result</t>
    <phoneticPr fontId="43" type="noConversion"/>
  </si>
  <si>
    <t>2</t>
    <phoneticPr fontId="2" type="noConversion"/>
  </si>
  <si>
    <t>4</t>
  </si>
  <si>
    <t>5</t>
  </si>
  <si>
    <t>6</t>
  </si>
  <si>
    <t>7</t>
  </si>
  <si>
    <t>8</t>
  </si>
  <si>
    <t>9</t>
  </si>
  <si>
    <t>25</t>
  </si>
  <si>
    <t>27</t>
  </si>
  <si>
    <t>29</t>
  </si>
  <si>
    <t>32</t>
  </si>
  <si>
    <t>33</t>
  </si>
  <si>
    <t>34</t>
  </si>
  <si>
    <t>35</t>
  </si>
  <si>
    <t>36</t>
  </si>
  <si>
    <t>38</t>
  </si>
  <si>
    <t>47</t>
  </si>
  <si>
    <t>48</t>
  </si>
  <si>
    <t>49</t>
  </si>
  <si>
    <t>Overall Coefficient</t>
    <phoneticPr fontId="43" type="noConversion"/>
  </si>
  <si>
    <r>
      <t>kcal/hr</t>
    </r>
    <r>
      <rPr>
        <sz val="12"/>
        <rFont val="돋움"/>
        <family val="3"/>
        <charset val="129"/>
      </rPr>
      <t>·</t>
    </r>
    <r>
      <rPr>
        <sz val="12"/>
        <rFont val="Arial"/>
        <family val="2"/>
      </rPr>
      <t>m2</t>
    </r>
    <r>
      <rPr>
        <sz val="12"/>
        <rFont val="돋움"/>
        <family val="3"/>
        <charset val="129"/>
      </rPr>
      <t>·˚</t>
    </r>
    <r>
      <rPr>
        <sz val="12"/>
        <rFont val="Arial"/>
        <family val="2"/>
      </rPr>
      <t>C</t>
    </r>
    <phoneticPr fontId="2" type="noConversion"/>
  </si>
  <si>
    <t>Heat Loss/Gain</t>
    <phoneticPr fontId="43" type="noConversion"/>
  </si>
  <si>
    <t>kcal/hr</t>
    <phoneticPr fontId="2" type="noConversion"/>
  </si>
  <si>
    <t xml:space="preserve"> Partial Result</t>
    <phoneticPr fontId="2" type="noConversion"/>
  </si>
  <si>
    <t>Heat Loss/Gain</t>
    <phoneticPr fontId="43" type="noConversion"/>
  </si>
  <si>
    <t>m</t>
    <phoneticPr fontId="2" type="noConversion"/>
  </si>
  <si>
    <t>Total Line length</t>
    <phoneticPr fontId="43" type="noConversion"/>
  </si>
  <si>
    <t>OF</t>
    <phoneticPr fontId="2" type="noConversion"/>
  </si>
  <si>
    <t xml:space="preserve">    Insulation Outside Diameter</t>
    <phoneticPr fontId="43" type="noConversion"/>
  </si>
  <si>
    <t xml:space="preserve">    Insulation Thickness</t>
    <phoneticPr fontId="43" type="noConversion"/>
  </si>
  <si>
    <t>54</t>
  </si>
  <si>
    <r>
      <t>kcal/hr</t>
    </r>
    <r>
      <rPr>
        <sz val="12"/>
        <rFont val="돋움"/>
        <family val="3"/>
        <charset val="129"/>
      </rPr>
      <t>·</t>
    </r>
    <r>
      <rPr>
        <sz val="12"/>
        <rFont val="Arial"/>
        <family val="2"/>
      </rPr>
      <t>m2</t>
    </r>
    <r>
      <rPr>
        <sz val="12"/>
        <rFont val="돋움"/>
        <family val="3"/>
        <charset val="129"/>
      </rPr>
      <t>·˚</t>
    </r>
    <r>
      <rPr>
        <sz val="12"/>
        <rFont val="Arial"/>
        <family val="2"/>
      </rPr>
      <t>C</t>
    </r>
    <phoneticPr fontId="2" type="noConversion"/>
  </si>
  <si>
    <t>Conductivities &amp; Coefficients</t>
    <phoneticPr fontId="43" type="noConversion"/>
  </si>
  <si>
    <t>NO</t>
  </si>
  <si>
    <t xml:space="preserve"> Total Result by each case </t>
    <phoneticPr fontId="2" type="noConversion"/>
  </si>
  <si>
    <t>BARE</t>
  </si>
  <si>
    <t>PERITE, EXPANDED</t>
  </si>
  <si>
    <t>Surface Temperature</t>
    <phoneticPr fontId="43" type="noConversion"/>
  </si>
  <si>
    <t>Differential Temparature (ΔT)</t>
    <phoneticPr fontId="43" type="noConversion"/>
  </si>
  <si>
    <t>Case</t>
    <phoneticPr fontId="43" type="noConversion"/>
  </si>
  <si>
    <t>Selecton NO.</t>
    <phoneticPr fontId="43" type="noConversion"/>
  </si>
  <si>
    <t>CASE1 (SUR.23C,1m/s)</t>
    <phoneticPr fontId="43" type="noConversion"/>
  </si>
  <si>
    <t>CASE1 (SUR.23C,5m/s)</t>
    <phoneticPr fontId="43" type="noConversion"/>
  </si>
  <si>
    <t>CASE1 (SUR.30C,1m/s)</t>
    <phoneticPr fontId="43" type="noConversion"/>
  </si>
  <si>
    <t>CASE1 (SUR.30C,5m/s)</t>
    <phoneticPr fontId="4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</si>
</sst>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6" formatCode="&quot;₩&quot;#,##0;[Red]\-&quot;₩&quot;#,##0"/>
    <numFmt numFmtId="8" formatCode="&quot;₩&quot;#,##0.00;[Red]\-&quot;₩&quot;#,##0.00"/>
    <numFmt numFmtId="42" formatCode="_-&quot;₩&quot;* #,##0_-;\-&quot;₩&quot;* #,##0_-;_-&quot;₩&quot;* &quot;-&quot;_-;_-@_-"/>
    <numFmt numFmtId="41" formatCode="_-* #,##0_-;\-* #,##0_-;_-* &quot;-&quot;_-;_-@_-"/>
    <numFmt numFmtId="43" formatCode="_-* #,##0.00_-;\-* #,##0.00_-;_-* &quot;-&quot;??_-;_-@_-"/>
    <numFmt numFmtId="176" formatCode="_-* #,##0\ _F_B_-;\-* #,##0\ _F_B_-;_-* &quot;-&quot;\ _F_B_-;_-@_-"/>
    <numFmt numFmtId="177" formatCode="0.0"/>
    <numFmt numFmtId="178" formatCode="0.000"/>
    <numFmt numFmtId="179" formatCode="#,##0.0"/>
    <numFmt numFmtId="180" formatCode="0.0000"/>
    <numFmt numFmtId="181" formatCode="#,##0.0000"/>
    <numFmt numFmtId="182" formatCode="0.000_ "/>
    <numFmt numFmtId="183" formatCode="General_)"/>
    <numFmt numFmtId="184" formatCode="0_);[Red]\(0\)"/>
    <numFmt numFmtId="185" formatCode="0.0_ "/>
    <numFmt numFmtId="186" formatCode="0.00_ "/>
    <numFmt numFmtId="187" formatCode="0.0000_ "/>
    <numFmt numFmtId="188" formatCode="0.00_)"/>
    <numFmt numFmtId="189" formatCode="0.0_)"/>
    <numFmt numFmtId="190" formatCode="_-[$€-2]* #,##0.00_-;\-[$€-2]* #,##0.00_-;_-[$€-2]* &quot;-&quot;??_-"/>
    <numFmt numFmtId="191" formatCode="&quot;₩&quot;\!\(#\!\,##0&quot;₩&quot;\!\)"/>
    <numFmt numFmtId="192" formatCode="_ &quot;₩&quot;* #,##0.00_ ;_ &quot;₩&quot;* \-#,##0.00_ ;_ &quot;₩&quot;* &quot;-&quot;??_ ;_ @_ "/>
    <numFmt numFmtId="193" formatCode="_ &quot;₩&quot;* #,##0_ ;_ &quot;₩&quot;* \-#,##0_ ;_ &quot;₩&quot;* &quot;-&quot;_ ;_ @_ "/>
    <numFmt numFmtId="194" formatCode="_*\ #,##0\ &quot;월&quot;\ ;_*\ \-#,##0\ &quot;월&quot;\ ;_ * &quot;-&quot;_ ;_ @_ "/>
    <numFmt numFmtId="195" formatCode="0.E+00"/>
    <numFmt numFmtId="196" formatCode="_____________@"/>
    <numFmt numFmtId="197" formatCode="_ * #,##0.00_ ;_ * \-#,##0.00_ ;_ * &quot;-&quot;??_ ;_ @_ "/>
    <numFmt numFmtId="198" formatCode="0.0%"/>
    <numFmt numFmtId="199" formatCode="_ * #,##0.\ \)\ ;_ * \-#,##0.\ \)\ ;_ * &quot;-&quot;_ ;_ @_ "/>
    <numFmt numFmtId="200" formatCode="&quot;$&quot;#,##0.00_);\(&quot;$&quot;#,##0.00\)"/>
    <numFmt numFmtId="201" formatCode="_ &quot;₩&quot;* #,##0.00_ ;_ &quot;₩&quot;* &quot;₩&quot;&quot;₩&quot;&quot;₩&quot;&quot;₩&quot;&quot;₩&quot;&quot;₩&quot;&quot;₩&quot;\-#,##0.00_ ;_ &quot;₩&quot;* &quot;-&quot;??_ ;_ @_ "/>
    <numFmt numFmtId="202" formatCode="&quot;₩&quot;#,##0;&quot;₩&quot;&quot;₩&quot;&quot;₩&quot;&quot;₩&quot;&quot;₩&quot;&quot;₩&quot;&quot;₩&quot;&quot;₩&quot;&quot;₩&quot;\-#,##0"/>
    <numFmt numFmtId="203" formatCode="_ * #,##0.00_ ;_ * &quot;₩&quot;&quot;₩&quot;&quot;₩&quot;&quot;₩&quot;&quot;₩&quot;&quot;₩&quot;&quot;₩&quot;\-#,##0.00_ ;_ * &quot;-&quot;??_ ;_ @_ "/>
    <numFmt numFmtId="204" formatCode="&quot;₩&quot;#,##0;[Red]&quot;₩&quot;&quot;₩&quot;&quot;₩&quot;&quot;₩&quot;&quot;₩&quot;&quot;₩&quot;&quot;₩&quot;&quot;₩&quot;&quot;₩&quot;\-#,##0"/>
    <numFmt numFmtId="205" formatCode="_(* #,##0.00_);_(* \(#,##0.00\);_(* &quot;-&quot;??_);_(@_)"/>
    <numFmt numFmtId="206" formatCode="#,##0."/>
    <numFmt numFmtId="207" formatCode="\$#.00"/>
    <numFmt numFmtId="208" formatCode="&quot;$&quot;#.00"/>
    <numFmt numFmtId="209" formatCode="_-&quot;£&quot;* #,##0.00_-;\-&quot;£&quot;* #,##0.00_-;_-&quot;£&quot;* &quot;-&quot;??_-;_-@_-"/>
    <numFmt numFmtId="210" formatCode="\$#."/>
    <numFmt numFmtId="211" formatCode="&quot;$&quot;#."/>
    <numFmt numFmtId="212" formatCode="_(* #,##0_);_(* \(#,##0\);_(* &quot;-&quot;_);_(@_)"/>
    <numFmt numFmtId="213" formatCode="&quot;@&quot;\ \ &quot;@&quot;"/>
    <numFmt numFmtId="214" formatCode="&quot;$&quot;#,##0.00;[Red]\-&quot;$&quot;#,##0.00"/>
    <numFmt numFmtId="215" formatCode="&quot;$&quot;#,##0;[Red]\-&quot;$&quot;#,##0"/>
    <numFmt numFmtId="216" formatCode="#.00"/>
    <numFmt numFmtId="217" formatCode="#."/>
    <numFmt numFmtId="218" formatCode="&quot;₩&quot;#,##0;&quot;₩&quot;\-#,##0"/>
    <numFmt numFmtId="219" formatCode="_(&quot;$&quot;* #,##0_);_(&quot;$&quot;* \(#,##0\);_(&quot;$&quot;* &quot;-&quot;_);_(@_)"/>
    <numFmt numFmtId="220" formatCode="_(&quot;$&quot;* #,##0.00_);_(&quot;$&quot;* \(#,##0.00\);_(&quot;$&quot;* &quot;-&quot;??_);_(@_)"/>
    <numFmt numFmtId="221" formatCode="&quot;?#,##0;[Red]\-&quot;&quot;?&quot;#,##0"/>
    <numFmt numFmtId="222" formatCode="_ * #,##0.00_ ;_ * &quot;₩&quot;&quot;₩&quot;&quot;₩&quot;\-#,##0.00_ ;_ * &quot;-&quot;??_ ;_ @_ "/>
    <numFmt numFmtId="223" formatCode="_ * #,##0_ ;_ * &quot;₩&quot;&quot;₩&quot;&quot;₩&quot;&quot;₩&quot;&quot;₩&quot;&quot;₩&quot;&quot;₩&quot;&quot;₩&quot;\-#,##0_ ;_ * &quot;-&quot;_ ;_ @_ "/>
    <numFmt numFmtId="224" formatCode="%#.00"/>
    <numFmt numFmtId="225" formatCode="\$#,##0.0_);[Red]\(\$#,##0.0\)"/>
    <numFmt numFmtId="226" formatCode="&quot;₩&quot;#,##0;&quot;₩&quot;&quot;₩&quot;&quot;₩&quot;&quot;₩&quot;\-#,##0"/>
    <numFmt numFmtId="227" formatCode="&quot;₩&quot;#,##0;\!\-&quot;₩&quot;#,##0"/>
    <numFmt numFmtId="228" formatCode="#,##0;[Red]&quot;-&quot;#,##0"/>
    <numFmt numFmtId="229" formatCode="0.0000000000000"/>
    <numFmt numFmtId="230" formatCode="&quot;₩&quot;#,##0;[Red]&quot;₩&quot;&quot;₩&quot;&quot;₩&quot;&quot;₩&quot;\-#,##0"/>
    <numFmt numFmtId="231" formatCode="&quot;₩&quot;#,##0;[Red]\!\-&quot;₩&quot;#,##0"/>
    <numFmt numFmtId="232" formatCode="_-* #,##0.00_-;&quot;₩&quot;&quot;₩&quot;\-* #,##0.00_-;_-* &quot;-&quot;??_-;_-@_-"/>
    <numFmt numFmtId="233" formatCode="_-&quot;₩&quot;* #,##0.00_-;&quot;₩&quot;&quot;₩&quot;\-&quot;₩&quot;* #,##0.00_-;_-&quot;₩&quot;* &quot;-&quot;??_-;_-@_-"/>
    <numFmt numFmtId="234" formatCode="_ * #,##0.0000_ ;_ * \-#,##0.0000_ ;_ * &quot;-&quot;_ ;_ @_ "/>
    <numFmt numFmtId="235" formatCode="&quot;₩&quot;#,##0.00;&quot;₩&quot;&quot;₩&quot;&quot;₩&quot;&quot;₩&quot;\-#,##0.00"/>
    <numFmt numFmtId="236" formatCode="&quot;₩&quot;#,##0.00;\!\-&quot;₩&quot;#,##0.00"/>
    <numFmt numFmtId="237" formatCode="&quot;  - &quot;@"/>
    <numFmt numFmtId="238" formatCode="0.00000"/>
    <numFmt numFmtId="239" formatCode="0.00000_ "/>
  </numFmts>
  <fonts count="139">
    <font>
      <sz val="10"/>
      <name val="Arial"/>
      <family val="2"/>
    </font>
    <font>
      <sz val="11"/>
      <color theme="1"/>
      <name val="맑은 고딕"/>
      <family val="2"/>
      <charset val="129"/>
      <scheme val="minor"/>
    </font>
    <font>
      <sz val="8"/>
      <name val="돋움"/>
      <family val="3"/>
      <charset val="129"/>
    </font>
    <font>
      <b/>
      <sz val="20"/>
      <color indexed="8"/>
      <name val="Helv"/>
      <family val="2"/>
    </font>
    <font>
      <sz val="20"/>
      <color indexed="8"/>
      <name val="Helv"/>
      <family val="2"/>
    </font>
    <font>
      <sz val="12"/>
      <color indexed="8"/>
      <name val="Helv"/>
      <family val="2"/>
    </font>
    <font>
      <sz val="12"/>
      <name val="바탕체"/>
      <family val="1"/>
      <charset val="129"/>
    </font>
    <font>
      <sz val="10"/>
      <name val="Arial"/>
      <family val="2"/>
    </font>
    <font>
      <sz val="8"/>
      <name val="Arial"/>
      <family val="2"/>
    </font>
    <font>
      <b/>
      <sz val="10"/>
      <name val="Arial"/>
      <family val="2"/>
    </font>
    <font>
      <i/>
      <sz val="10"/>
      <name val="Arial"/>
      <family val="2"/>
    </font>
    <font>
      <sz val="10"/>
      <color indexed="12"/>
      <name val="Arial"/>
      <family val="2"/>
    </font>
    <font>
      <sz val="10"/>
      <color indexed="8"/>
      <name val="Arial"/>
      <family val="2"/>
    </font>
    <font>
      <b/>
      <sz val="10"/>
      <color indexed="10"/>
      <name val="Arial"/>
      <family val="2"/>
    </font>
    <font>
      <sz val="10"/>
      <name val="돋움"/>
      <family val="3"/>
      <charset val="129"/>
    </font>
    <font>
      <sz val="9"/>
      <color rgb="FF0000FF"/>
      <name val="Arial"/>
      <family val="2"/>
    </font>
    <font>
      <sz val="12"/>
      <name val="돋움"/>
      <family val="3"/>
      <charset val="129"/>
    </font>
    <font>
      <sz val="11"/>
      <name val="Arial"/>
      <family val="2"/>
    </font>
    <font>
      <sz val="10"/>
      <color rgb="FF0000FF"/>
      <name val="Arial"/>
      <family val="2"/>
    </font>
    <font>
      <i/>
      <sz val="10"/>
      <name val="돋움"/>
      <family val="3"/>
      <charset val="129"/>
    </font>
    <font>
      <sz val="12"/>
      <name val="Arial"/>
      <family val="2"/>
    </font>
    <font>
      <sz val="12"/>
      <color indexed="8"/>
      <name val="Arial"/>
      <family val="2"/>
    </font>
    <font>
      <b/>
      <sz val="12"/>
      <color indexed="8"/>
      <name val="Arial"/>
      <family val="2"/>
    </font>
    <font>
      <sz val="15"/>
      <name val="Arial"/>
      <family val="2"/>
    </font>
    <font>
      <sz val="10"/>
      <name val="helv"/>
    </font>
    <font>
      <sz val="30"/>
      <name val="Arial"/>
      <family val="2"/>
    </font>
    <font>
      <sz val="20"/>
      <name val="Arial"/>
      <family val="2"/>
    </font>
    <font>
      <sz val="25"/>
      <name val="돋움"/>
      <family val="3"/>
      <charset val="129"/>
    </font>
    <font>
      <sz val="18"/>
      <name val="Arial"/>
      <family val="2"/>
    </font>
    <font>
      <sz val="18"/>
      <name val="돋움"/>
      <family val="3"/>
      <charset val="129"/>
    </font>
    <font>
      <sz val="20"/>
      <name val="돋움"/>
      <family val="3"/>
      <charset val="129"/>
    </font>
    <font>
      <sz val="18"/>
      <name val="맑은 고딕"/>
      <family val="3"/>
      <charset val="129"/>
    </font>
    <font>
      <vertAlign val="superscript"/>
      <sz val="18"/>
      <name val="Arial"/>
      <family val="2"/>
    </font>
    <font>
      <sz val="15"/>
      <name val="돋움"/>
      <family val="3"/>
      <charset val="129"/>
    </font>
    <font>
      <sz val="9"/>
      <color rgb="FF0000FF"/>
      <name val="돋움"/>
      <family val="3"/>
      <charset val="129"/>
    </font>
    <font>
      <sz val="14"/>
      <name val="Arial"/>
      <family val="2"/>
    </font>
    <font>
      <vertAlign val="subscript"/>
      <sz val="18"/>
      <name val="Arial"/>
      <family val="2"/>
    </font>
    <font>
      <sz val="15.3"/>
      <name val="Arial"/>
      <family val="2"/>
    </font>
    <font>
      <sz val="9"/>
      <color theme="1"/>
      <name val="Arial"/>
      <family val="2"/>
    </font>
    <font>
      <sz val="26"/>
      <color rgb="FFFF0000"/>
      <name val="롯데그룹"/>
      <family val="3"/>
      <charset val="129"/>
    </font>
    <font>
      <b/>
      <sz val="36"/>
      <name val="Arial"/>
      <family val="2"/>
    </font>
    <font>
      <sz val="12"/>
      <color rgb="FF0000FF"/>
      <name val="Arial"/>
      <family val="2"/>
    </font>
    <font>
      <sz val="10"/>
      <name val="바탕체"/>
      <family val="1"/>
      <charset val="129"/>
    </font>
    <font>
      <sz val="8"/>
      <name val="바탕체"/>
      <family val="1"/>
      <charset val="129"/>
    </font>
    <font>
      <sz val="12"/>
      <color indexed="12"/>
      <name val="Arial"/>
      <family val="2"/>
    </font>
    <font>
      <b/>
      <sz val="18"/>
      <name val="Arial"/>
      <family val="2"/>
    </font>
    <font>
      <b/>
      <sz val="12"/>
      <color theme="1"/>
      <name val="Arial"/>
      <family val="2"/>
    </font>
    <font>
      <sz val="12"/>
      <color theme="1"/>
      <name val="Arial"/>
      <family val="2"/>
    </font>
    <font>
      <sz val="12"/>
      <color indexed="8"/>
      <name val="맑은 고딕"/>
      <family val="3"/>
      <charset val="129"/>
    </font>
    <font>
      <sz val="11"/>
      <name val="돋움"/>
      <family val="3"/>
      <charset val="129"/>
    </font>
    <font>
      <sz val="14"/>
      <name val="#?%"/>
      <family val="1"/>
    </font>
    <font>
      <sz val="10"/>
      <name val="Times New Roman"/>
      <family val="1"/>
    </font>
    <font>
      <sz val="12"/>
      <name val="???"/>
      <family val="1"/>
    </font>
    <font>
      <sz val="10"/>
      <name val="MS Sans Serif"/>
      <family val="2"/>
    </font>
    <font>
      <sz val="11"/>
      <name val="굴림체"/>
      <family val="3"/>
      <charset val="129"/>
    </font>
    <font>
      <sz val="10"/>
      <color indexed="8"/>
      <name val="돋움"/>
      <family val="3"/>
      <charset val="129"/>
    </font>
    <font>
      <sz val="11"/>
      <color indexed="8"/>
      <name val="맑은 고딕"/>
      <family val="3"/>
      <charset val="129"/>
    </font>
    <font>
      <sz val="10"/>
      <color indexed="9"/>
      <name val="돋움"/>
      <family val="3"/>
      <charset val="129"/>
    </font>
    <font>
      <sz val="11"/>
      <color indexed="9"/>
      <name val="맑은 고딕"/>
      <family val="3"/>
      <charset val="129"/>
    </font>
    <font>
      <sz val="12"/>
      <name val="ⓒoUAAA¨u"/>
      <family val="1"/>
      <charset val="129"/>
    </font>
    <font>
      <sz val="12"/>
      <name val="¹UAAA¼"/>
      <family val="1"/>
      <charset val="129"/>
    </font>
    <font>
      <sz val="12"/>
      <name val="¹ÙÅÁÃ¼"/>
      <family val="1"/>
      <charset val="129"/>
    </font>
    <font>
      <sz val="11"/>
      <name val="µ¸¿ò"/>
      <family val="3"/>
      <charset val="129"/>
    </font>
    <font>
      <sz val="11"/>
      <name val="μ¸¿o"/>
      <family val="1"/>
      <charset val="129"/>
    </font>
    <font>
      <sz val="12"/>
      <name val="¹UAAA¼"/>
      <family val="3"/>
      <charset val="129"/>
    </font>
    <font>
      <sz val="10"/>
      <color indexed="20"/>
      <name val="돋움"/>
      <family val="3"/>
      <charset val="129"/>
    </font>
    <font>
      <sz val="11"/>
      <color rgb="FF9C0006"/>
      <name val="맑은 고딕"/>
      <family val="3"/>
      <charset val="129"/>
      <scheme val="minor"/>
    </font>
    <font>
      <sz val="11"/>
      <color indexed="20"/>
      <name val="맑은 고딕"/>
      <family val="3"/>
      <charset val="129"/>
    </font>
    <font>
      <sz val="12"/>
      <name val="System"/>
      <family val="2"/>
      <charset val="129"/>
    </font>
    <font>
      <sz val="10"/>
      <name val="±¼¸²A¼"/>
      <family val="3"/>
      <charset val="129"/>
    </font>
    <font>
      <sz val="12"/>
      <name val="¹ÙÅÁÃ¼"/>
      <family val="3"/>
      <charset val="129"/>
    </font>
    <font>
      <sz val="10"/>
      <name val="±¼¸²Ã¼"/>
      <family val="3"/>
      <charset val="129"/>
    </font>
    <font>
      <b/>
      <sz val="10"/>
      <color indexed="52"/>
      <name val="돋움"/>
      <family val="3"/>
      <charset val="129"/>
    </font>
    <font>
      <b/>
      <sz val="11"/>
      <color indexed="52"/>
      <name val="맑은 고딕"/>
      <family val="3"/>
      <charset val="129"/>
    </font>
    <font>
      <b/>
      <sz val="10"/>
      <name val="Helv"/>
      <family val="2"/>
    </font>
    <font>
      <b/>
      <sz val="10"/>
      <color indexed="9"/>
      <name val="돋움"/>
      <family val="3"/>
      <charset val="129"/>
    </font>
    <font>
      <b/>
      <sz val="11"/>
      <color indexed="9"/>
      <name val="맑은 고딕"/>
      <family val="3"/>
      <charset val="129"/>
    </font>
    <font>
      <sz val="1"/>
      <color indexed="8"/>
      <name val="Courier"/>
      <family val="3"/>
    </font>
    <font>
      <sz val="11"/>
      <color theme="1"/>
      <name val="맑은 고딕"/>
      <family val="3"/>
      <charset val="129"/>
      <scheme val="minor"/>
    </font>
    <font>
      <i/>
      <sz val="10"/>
      <color indexed="23"/>
      <name val="돋움"/>
      <family val="3"/>
      <charset val="129"/>
    </font>
    <font>
      <i/>
      <sz val="11"/>
      <color indexed="23"/>
      <name val="맑은 고딕"/>
      <family val="3"/>
      <charset val="129"/>
    </font>
    <font>
      <sz val="6"/>
      <color indexed="24"/>
      <name val="Arial"/>
      <family val="2"/>
    </font>
    <font>
      <u/>
      <sz val="8"/>
      <color indexed="24"/>
      <name val="Arial"/>
      <family val="2"/>
    </font>
    <font>
      <i/>
      <sz val="1"/>
      <color indexed="8"/>
      <name val="Courier"/>
      <family val="3"/>
    </font>
    <font>
      <b/>
      <sz val="8"/>
      <color indexed="24"/>
      <name val="Arial"/>
      <family val="2"/>
    </font>
    <font>
      <b/>
      <u/>
      <sz val="10"/>
      <color indexed="24"/>
      <name val="Arial"/>
      <family val="2"/>
    </font>
    <font>
      <sz val="10"/>
      <color indexed="17"/>
      <name val="돋움"/>
      <family val="3"/>
      <charset val="129"/>
    </font>
    <font>
      <sz val="11"/>
      <color rgb="FF006100"/>
      <name val="맑은 고딕"/>
      <family val="3"/>
      <charset val="129"/>
      <scheme val="minor"/>
    </font>
    <font>
      <sz val="11"/>
      <color indexed="17"/>
      <name val="맑은 고딕"/>
      <family val="3"/>
      <charset val="129"/>
    </font>
    <font>
      <b/>
      <sz val="12"/>
      <name val="Helv"/>
      <family val="2"/>
    </font>
    <font>
      <b/>
      <sz val="12"/>
      <name val="Arial"/>
      <family val="2"/>
    </font>
    <font>
      <b/>
      <i/>
      <sz val="8"/>
      <name val="Helv"/>
      <family val="2"/>
    </font>
    <font>
      <b/>
      <sz val="1"/>
      <color indexed="8"/>
      <name val="Courier"/>
      <family val="3"/>
    </font>
    <font>
      <b/>
      <sz val="15"/>
      <color indexed="56"/>
      <name val="맑은 고딕"/>
      <family val="3"/>
      <charset val="129"/>
    </font>
    <font>
      <b/>
      <sz val="13"/>
      <color indexed="56"/>
      <name val="맑은 고딕"/>
      <family val="3"/>
      <charset val="129"/>
    </font>
    <font>
      <b/>
      <sz val="11"/>
      <color indexed="56"/>
      <name val="돋움"/>
      <family val="3"/>
      <charset val="129"/>
    </font>
    <font>
      <b/>
      <sz val="11"/>
      <color indexed="56"/>
      <name val="맑은 고딕"/>
      <family val="3"/>
      <charset val="129"/>
    </font>
    <font>
      <sz val="10"/>
      <name val="Univers (WN)"/>
      <family val="2"/>
    </font>
    <font>
      <sz val="10"/>
      <color indexed="62"/>
      <name val="돋움"/>
      <family val="3"/>
      <charset val="129"/>
    </font>
    <font>
      <sz val="11"/>
      <color indexed="62"/>
      <name val="맑은 고딕"/>
      <family val="3"/>
      <charset val="129"/>
    </font>
    <font>
      <sz val="10"/>
      <color indexed="52"/>
      <name val="돋움"/>
      <family val="3"/>
      <charset val="129"/>
    </font>
    <font>
      <sz val="11"/>
      <color indexed="52"/>
      <name val="맑은 고딕"/>
      <family val="3"/>
      <charset val="129"/>
    </font>
    <font>
      <sz val="12"/>
      <name val="Times New Roman"/>
      <family val="1"/>
    </font>
    <font>
      <sz val="10"/>
      <name val="Courier New"/>
      <family val="3"/>
    </font>
    <font>
      <b/>
      <sz val="11"/>
      <name val="Helv"/>
      <family val="2"/>
    </font>
    <font>
      <sz val="10"/>
      <color indexed="60"/>
      <name val="돋움"/>
      <family val="3"/>
      <charset val="129"/>
    </font>
    <font>
      <sz val="11"/>
      <color indexed="19"/>
      <name val="맑은 고딕"/>
      <family val="3"/>
      <charset val="129"/>
      <scheme val="minor"/>
    </font>
    <font>
      <sz val="11"/>
      <color rgb="FF9C6500"/>
      <name val="맑은 고딕"/>
      <family val="3"/>
      <charset val="129"/>
      <scheme val="minor"/>
    </font>
    <font>
      <sz val="11"/>
      <color indexed="60"/>
      <name val="맑은 고딕"/>
      <family val="3"/>
      <charset val="129"/>
    </font>
    <font>
      <sz val="7"/>
      <name val="Small Fonts"/>
      <family val="2"/>
    </font>
    <font>
      <sz val="12"/>
      <name val="굴림체"/>
      <family val="3"/>
      <charset val="129"/>
    </font>
    <font>
      <b/>
      <sz val="10"/>
      <color indexed="63"/>
      <name val="돋움"/>
      <family val="3"/>
      <charset val="129"/>
    </font>
    <font>
      <b/>
      <sz val="11"/>
      <color indexed="63"/>
      <name val="맑은 고딕"/>
      <family val="3"/>
      <charset val="129"/>
    </font>
    <font>
      <sz val="6"/>
      <name val="Arial"/>
      <family val="2"/>
    </font>
    <font>
      <b/>
      <sz val="18"/>
      <color indexed="56"/>
      <name val="맑은 고딕"/>
      <family val="3"/>
    </font>
    <font>
      <b/>
      <sz val="18"/>
      <color indexed="56"/>
      <name val="맑은 고딕"/>
      <family val="3"/>
      <charset val="129"/>
    </font>
    <font>
      <b/>
      <sz val="11"/>
      <color indexed="8"/>
      <name val="맑은 고딕"/>
      <family val="3"/>
      <charset val="129"/>
    </font>
    <font>
      <sz val="10"/>
      <color indexed="10"/>
      <name val="돋움"/>
      <family val="3"/>
      <charset val="129"/>
    </font>
    <font>
      <sz val="11"/>
      <color indexed="10"/>
      <name val="맑은 고딕"/>
      <family val="3"/>
      <charset val="129"/>
    </font>
    <font>
      <b/>
      <sz val="11"/>
      <color indexed="10"/>
      <name val="맑은 고딕"/>
      <family val="3"/>
      <charset val="129"/>
    </font>
    <font>
      <u/>
      <sz val="11"/>
      <color indexed="36"/>
      <name val="돋움"/>
      <family val="3"/>
      <charset val="129"/>
    </font>
    <font>
      <sz val="14"/>
      <name val="뼻뮝"/>
      <family val="3"/>
      <charset val="129"/>
    </font>
    <font>
      <sz val="9"/>
      <name val="굴림체"/>
      <family val="3"/>
      <charset val="129"/>
    </font>
    <font>
      <sz val="11"/>
      <color indexed="19"/>
      <name val="맑은 고딕"/>
      <family val="3"/>
      <charset val="129"/>
    </font>
    <font>
      <sz val="12"/>
      <name val="뼻뮝"/>
      <family val="1"/>
      <charset val="129"/>
    </font>
    <font>
      <b/>
      <sz val="12"/>
      <color indexed="16"/>
      <name val="굴림체"/>
      <family val="3"/>
      <charset val="129"/>
    </font>
    <font>
      <u/>
      <sz val="10"/>
      <color indexed="36"/>
      <name val="Arial"/>
      <family val="2"/>
    </font>
    <font>
      <b/>
      <sz val="15"/>
      <color indexed="62"/>
      <name val="맑은 고딕"/>
      <family val="3"/>
      <charset val="129"/>
    </font>
    <font>
      <b/>
      <sz val="18"/>
      <color indexed="62"/>
      <name val="맑은 고딕"/>
      <family val="3"/>
      <charset val="129"/>
    </font>
    <font>
      <b/>
      <sz val="13"/>
      <color indexed="62"/>
      <name val="맑은 고딕"/>
      <family val="3"/>
      <charset val="129"/>
    </font>
    <font>
      <b/>
      <sz val="11"/>
      <color indexed="62"/>
      <name val="맑은 고딕"/>
      <family val="3"/>
      <charset val="129"/>
    </font>
    <font>
      <sz val="11"/>
      <name val="ＭＳ 明朝"/>
      <family val="3"/>
      <charset val="129"/>
    </font>
    <font>
      <sz val="11"/>
      <name val="ＭＳ Ｐゴシック"/>
      <family val="2"/>
    </font>
    <font>
      <b/>
      <sz val="9.4"/>
      <name val="Arial"/>
      <family val="2"/>
    </font>
    <font>
      <sz val="10"/>
      <name val="Times New Roman"/>
      <family val="1"/>
      <charset val="204"/>
    </font>
    <font>
      <sz val="9"/>
      <name val="ＭＳ Ｐゴシック"/>
      <family val="2"/>
    </font>
    <font>
      <sz val="11"/>
      <color theme="1"/>
      <name val="LG스마트체 Regular"/>
      <family val="3"/>
      <charset val="129"/>
    </font>
    <font>
      <sz val="10"/>
      <color theme="1"/>
      <name val="맑은 고딕"/>
      <family val="3"/>
      <scheme val="minor"/>
    </font>
    <font>
      <sz val="10.199999999999999"/>
      <color indexed="8"/>
      <name val="Arial"/>
      <family val="2"/>
    </font>
  </fonts>
  <fills count="39">
    <fill>
      <patternFill patternType="none"/>
    </fill>
    <fill>
      <patternFill patternType="gray125"/>
    </fill>
    <fill>
      <patternFill patternType="solid">
        <fgColor indexed="13"/>
        <bgColor indexed="64"/>
      </patternFill>
    </fill>
    <fill>
      <patternFill patternType="solid">
        <fgColor indexed="42"/>
        <bgColor indexed="64"/>
      </patternFill>
    </fill>
    <fill>
      <patternFill patternType="solid">
        <fgColor rgb="FFCCFFCC"/>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bgColor indexed="64"/>
      </patternFill>
    </fill>
    <fill>
      <patternFill patternType="solid">
        <fgColor theme="0" tint="-0.14999847407452621"/>
        <bgColor indexed="64"/>
      </patternFill>
    </fill>
    <fill>
      <patternFill patternType="solid">
        <fgColor indexed="9"/>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9"/>
        <bgColor indexed="64"/>
      </patternFill>
    </fill>
    <fill>
      <patternFill patternType="gray125">
        <fgColor indexed="26"/>
        <bgColor indexed="9"/>
      </patternFill>
    </fill>
    <fill>
      <patternFill patternType="solid">
        <fgColor indexed="26"/>
        <bgColor indexed="64"/>
      </patternFill>
    </fill>
    <fill>
      <patternFill patternType="solid">
        <fgColor indexed="56"/>
      </patternFill>
    </fill>
    <fill>
      <patternFill patternType="solid">
        <fgColor indexed="54"/>
      </patternFill>
    </fill>
  </fills>
  <borders count="108">
    <border>
      <left/>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right style="thin">
        <color indexed="64"/>
      </right>
      <top style="thin">
        <color indexed="64"/>
      </top>
      <bottom style="medium">
        <color indexed="64"/>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medium">
        <color indexed="64"/>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diagonal/>
    </border>
    <border>
      <left style="thin">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medium">
        <color indexed="64"/>
      </left>
      <right style="medium">
        <color indexed="64"/>
      </right>
      <top style="thin">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diagonal/>
    </border>
    <border>
      <left style="hair">
        <color indexed="64"/>
      </left>
      <right style="hair">
        <color indexed="64"/>
      </right>
      <top style="hair">
        <color indexed="64"/>
      </top>
      <bottom style="hair">
        <color indexed="64"/>
      </bottom>
      <diagonal/>
    </border>
    <border>
      <left style="thin">
        <color indexed="64"/>
      </left>
      <right/>
      <top style="hair">
        <color indexed="64"/>
      </top>
      <bottom/>
      <diagonal/>
    </border>
    <border>
      <left/>
      <right/>
      <top style="hair">
        <color indexed="64"/>
      </top>
      <bottom style="thin">
        <color indexed="64"/>
      </bottom>
      <diagonal/>
    </border>
    <border>
      <left style="hair">
        <color indexed="64"/>
      </left>
      <right/>
      <top/>
      <bottom style="hair">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double">
        <color indexed="8"/>
      </left>
      <right style="double">
        <color indexed="8"/>
      </right>
      <top style="thin">
        <color indexed="8"/>
      </top>
      <bottom style="thin">
        <color indexed="8"/>
      </bottom>
      <diagonal/>
    </border>
    <border>
      <left/>
      <right/>
      <top style="double">
        <color indexed="64"/>
      </top>
      <bottom/>
      <diagonal/>
    </border>
    <border>
      <left/>
      <right/>
      <top style="thin">
        <color indexed="62"/>
      </top>
      <bottom style="double">
        <color indexed="62"/>
      </bottom>
      <diagonal/>
    </border>
    <border>
      <left/>
      <right/>
      <top/>
      <bottom style="double">
        <color indexed="10"/>
      </bottom>
      <diagonal/>
    </border>
    <border>
      <left/>
      <right/>
      <top style="thin">
        <color indexed="56"/>
      </top>
      <bottom style="double">
        <color indexed="56"/>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medium">
        <color indexed="64"/>
      </top>
      <bottom style="thin">
        <color indexed="64"/>
      </bottom>
      <diagonal/>
    </border>
    <border>
      <left/>
      <right style="thin">
        <color indexed="64"/>
      </right>
      <top style="hair">
        <color indexed="64"/>
      </top>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hair">
        <color indexed="64"/>
      </right>
      <top style="hair">
        <color indexed="64"/>
      </top>
      <bottom style="hair">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medium">
        <color indexed="64"/>
      </right>
      <top style="hair">
        <color indexed="64"/>
      </top>
      <bottom style="medium">
        <color indexed="64"/>
      </bottom>
      <diagonal/>
    </border>
  </borders>
  <cellStyleXfs count="52808">
    <xf numFmtId="0" fontId="0" fillId="0" borderId="0" applyProtection="0"/>
    <xf numFmtId="42" fontId="5" fillId="0" borderId="0" applyFont="0" applyFill="0" applyBorder="0" applyAlignment="0" applyProtection="0"/>
    <xf numFmtId="0" fontId="5" fillId="0" borderId="0" applyFont="0" applyFill="0" applyBorder="0" applyAlignment="0" applyProtection="0"/>
    <xf numFmtId="41" fontId="5" fillId="0" borderId="0" applyFont="0" applyFill="0" applyBorder="0" applyAlignment="0" applyProtection="0"/>
    <xf numFmtId="0" fontId="5" fillId="0" borderId="0" applyFont="0" applyFill="0" applyBorder="0" applyAlignment="0" applyProtection="0"/>
    <xf numFmtId="0" fontId="5" fillId="0" borderId="0"/>
    <xf numFmtId="43" fontId="7" fillId="0" borderId="0" applyFont="0" applyFill="0" applyBorder="0" applyAlignment="0" applyProtection="0">
      <alignment vertical="center"/>
    </xf>
    <xf numFmtId="0" fontId="1" fillId="0" borderId="0">
      <alignment vertical="center"/>
    </xf>
    <xf numFmtId="0" fontId="6" fillId="0" borderId="0"/>
    <xf numFmtId="176" fontId="42" fillId="0" borderId="0"/>
    <xf numFmtId="176" fontId="42" fillId="0" borderId="0"/>
    <xf numFmtId="176" fontId="42" fillId="0" borderId="0"/>
    <xf numFmtId="179" fontId="42" fillId="0" borderId="0"/>
    <xf numFmtId="0" fontId="7" fillId="0" borderId="0" applyProtection="0"/>
    <xf numFmtId="0" fontId="7" fillId="0" borderId="0" applyProtection="0"/>
    <xf numFmtId="0" fontId="7" fillId="0" borderId="0" applyProtection="0"/>
    <xf numFmtId="0" fontId="7" fillId="0" borderId="0" applyProtection="0"/>
    <xf numFmtId="0" fontId="7" fillId="0" borderId="0" applyProtection="0"/>
    <xf numFmtId="0" fontId="7" fillId="0" borderId="0" applyProtection="0"/>
    <xf numFmtId="0" fontId="49" fillId="0" borderId="0" applyFont="0" applyFill="0" applyBorder="0" applyAlignment="0" applyProtection="0"/>
    <xf numFmtId="190" fontId="49" fillId="0" borderId="0" applyFont="0" applyFill="0" applyBorder="0" applyAlignment="0" applyProtection="0"/>
    <xf numFmtId="0" fontId="49" fillId="0" borderId="0" applyFont="0" applyFill="0" applyBorder="0" applyAlignment="0" applyProtection="0"/>
    <xf numFmtId="190" fontId="49" fillId="0" borderId="0" applyFont="0" applyFill="0" applyBorder="0" applyAlignment="0" applyProtection="0"/>
    <xf numFmtId="0" fontId="50" fillId="10" borderId="0"/>
    <xf numFmtId="190" fontId="50" fillId="10" borderId="0"/>
    <xf numFmtId="191" fontId="51" fillId="0" borderId="0">
      <protection locked="0"/>
    </xf>
    <xf numFmtId="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0" fontId="49" fillId="0" borderId="0" applyFont="0" applyFill="0" applyBorder="0" applyAlignment="0" applyProtection="0"/>
    <xf numFmtId="192" fontId="52" fillId="0" borderId="0" applyFont="0" applyFill="0" applyBorder="0" applyAlignment="0" applyProtection="0"/>
    <xf numFmtId="193" fontId="52" fillId="0" borderId="0" applyFont="0" applyFill="0" applyBorder="0" applyAlignment="0" applyProtection="0"/>
    <xf numFmtId="0" fontId="6" fillId="0" borderId="0"/>
    <xf numFmtId="190" fontId="6" fillId="0" borderId="0"/>
    <xf numFmtId="0" fontId="6" fillId="0" borderId="0"/>
    <xf numFmtId="190" fontId="6" fillId="0" borderId="0"/>
    <xf numFmtId="9" fontId="52" fillId="0" borderId="0" applyFont="0" applyFill="0" applyBorder="0" applyAlignment="0" applyProtection="0"/>
    <xf numFmtId="0" fontId="52" fillId="0" borderId="0"/>
    <xf numFmtId="0" fontId="51" fillId="0" borderId="0"/>
    <xf numFmtId="190" fontId="51" fillId="0" borderId="0"/>
    <xf numFmtId="0" fontId="7" fillId="0" borderId="0"/>
    <xf numFmtId="190" fontId="7" fillId="0" borderId="0"/>
    <xf numFmtId="0" fontId="53" fillId="0" borderId="0"/>
    <xf numFmtId="190" fontId="53" fillId="0" borderId="0"/>
    <xf numFmtId="0" fontId="53" fillId="0" borderId="0"/>
    <xf numFmtId="190" fontId="53" fillId="0" borderId="0"/>
    <xf numFmtId="0" fontId="51" fillId="0" borderId="0"/>
    <xf numFmtId="190" fontId="51" fillId="0" borderId="0"/>
    <xf numFmtId="0" fontId="51" fillId="0" borderId="0"/>
    <xf numFmtId="190" fontId="51" fillId="0" borderId="0"/>
    <xf numFmtId="0" fontId="51" fillId="0" borderId="0"/>
    <xf numFmtId="190" fontId="51" fillId="0" borderId="0"/>
    <xf numFmtId="0" fontId="7" fillId="0" borderId="0"/>
    <xf numFmtId="190" fontId="7" fillId="0" borderId="0"/>
    <xf numFmtId="0" fontId="53" fillId="0" borderId="0"/>
    <xf numFmtId="190" fontId="53" fillId="0" borderId="0"/>
    <xf numFmtId="0" fontId="53" fillId="0" borderId="0"/>
    <xf numFmtId="190" fontId="53" fillId="0" borderId="0"/>
    <xf numFmtId="0" fontId="7" fillId="0" borderId="0"/>
    <xf numFmtId="190" fontId="7" fillId="0" borderId="0"/>
    <xf numFmtId="40" fontId="53" fillId="0" borderId="0" applyFont="0" applyFill="0" applyBorder="0" applyAlignment="0" applyProtection="0"/>
    <xf numFmtId="194" fontId="54" fillId="0" borderId="0" applyFont="0" applyFill="0" applyBorder="0" applyAlignment="0" applyProtection="0"/>
    <xf numFmtId="195" fontId="54" fillId="0" borderId="0" applyFont="0" applyFill="0" applyBorder="0" applyAlignment="0" applyProtection="0"/>
    <xf numFmtId="196" fontId="54" fillId="0" borderId="0" applyFont="0" applyFill="0" applyBorder="0" applyAlignment="0" applyProtection="0"/>
    <xf numFmtId="0" fontId="7" fillId="0" borderId="0" applyFont="0" applyFill="0" applyBorder="0" applyAlignment="0" applyProtection="0"/>
    <xf numFmtId="190" fontId="7" fillId="0" borderId="0" applyFont="0" applyFill="0" applyBorder="0" applyAlignment="0" applyProtection="0"/>
    <xf numFmtId="197" fontId="7" fillId="0" borderId="0" applyFont="0" applyFill="0" applyBorder="0" applyAlignment="0" applyProtection="0"/>
    <xf numFmtId="198" fontId="54" fillId="0" borderId="0" applyFont="0" applyFill="0" applyBorder="0" applyAlignment="0" applyProtection="0"/>
    <xf numFmtId="199" fontId="54" fillId="0" borderId="0" applyFont="0" applyFill="0" applyBorder="0" applyAlignment="0" applyProtection="0"/>
    <xf numFmtId="200" fontId="54" fillId="0" borderId="0" applyFont="0" applyFill="0" applyBorder="0" applyAlignment="0" applyProtection="0"/>
    <xf numFmtId="0" fontId="7" fillId="0" borderId="0" applyFont="0" applyFill="0" applyBorder="0" applyAlignment="0" applyProtection="0"/>
    <xf numFmtId="190" fontId="7" fillId="0" borderId="0" applyFont="0" applyFill="0" applyBorder="0" applyAlignment="0" applyProtection="0"/>
    <xf numFmtId="194" fontId="54" fillId="0" borderId="0" applyFont="0" applyFill="0" applyBorder="0" applyAlignment="0" applyProtection="0"/>
    <xf numFmtId="198" fontId="54" fillId="0" borderId="0" applyFont="0" applyFill="0" applyBorder="0" applyAlignment="0" applyProtection="0"/>
    <xf numFmtId="40" fontId="53" fillId="0" borderId="0" applyFont="0" applyFill="0" applyBorder="0" applyAlignment="0" applyProtection="0"/>
    <xf numFmtId="200" fontId="54" fillId="0" borderId="0" applyFont="0" applyFill="0" applyBorder="0" applyAlignment="0" applyProtection="0"/>
    <xf numFmtId="199" fontId="54" fillId="0" borderId="0" applyFont="0" applyFill="0" applyBorder="0" applyAlignment="0" applyProtection="0"/>
    <xf numFmtId="197" fontId="7" fillId="0" borderId="0" applyFont="0" applyFill="0" applyBorder="0" applyAlignment="0" applyProtection="0"/>
    <xf numFmtId="195" fontId="54" fillId="0" borderId="0" applyFont="0" applyFill="0" applyBorder="0" applyAlignment="0" applyProtection="0"/>
    <xf numFmtId="196" fontId="54" fillId="0" borderId="0" applyFont="0" applyFill="0" applyBorder="0" applyAlignment="0" applyProtection="0"/>
    <xf numFmtId="0" fontId="53" fillId="0" borderId="0"/>
    <xf numFmtId="190" fontId="53" fillId="0" borderId="0"/>
    <xf numFmtId="0" fontId="7" fillId="0" borderId="0"/>
    <xf numFmtId="190" fontId="7" fillId="0" borderId="0"/>
    <xf numFmtId="0" fontId="7" fillId="0" borderId="0"/>
    <xf numFmtId="190" fontId="7" fillId="0" borderId="0"/>
    <xf numFmtId="0" fontId="53" fillId="0" borderId="0"/>
    <xf numFmtId="190" fontId="53" fillId="0" borderId="0"/>
    <xf numFmtId="0" fontId="51" fillId="0" borderId="0"/>
    <xf numFmtId="190" fontId="51" fillId="0" borderId="0"/>
    <xf numFmtId="0" fontId="7" fillId="0" borderId="0"/>
    <xf numFmtId="190" fontId="7" fillId="0" borderId="0"/>
    <xf numFmtId="0" fontId="53" fillId="0" borderId="0"/>
    <xf numFmtId="190" fontId="53" fillId="0" borderId="0"/>
    <xf numFmtId="0" fontId="7" fillId="0" borderId="0"/>
    <xf numFmtId="190" fontId="7" fillId="0" borderId="0"/>
    <xf numFmtId="0" fontId="53" fillId="0" borderId="0"/>
    <xf numFmtId="190" fontId="53" fillId="0" borderId="0"/>
    <xf numFmtId="0" fontId="51" fillId="0" borderId="0"/>
    <xf numFmtId="190" fontId="51" fillId="0" borderId="0"/>
    <xf numFmtId="0" fontId="53" fillId="0" borderId="0"/>
    <xf numFmtId="190" fontId="53" fillId="0" borderId="0"/>
    <xf numFmtId="0" fontId="7" fillId="0" borderId="0"/>
    <xf numFmtId="190" fontId="7" fillId="0" borderId="0"/>
    <xf numFmtId="0" fontId="7" fillId="0" borderId="0"/>
    <xf numFmtId="190" fontId="7" fillId="0" borderId="0"/>
    <xf numFmtId="0" fontId="7" fillId="0" borderId="0"/>
    <xf numFmtId="190" fontId="7" fillId="0" borderId="0"/>
    <xf numFmtId="0" fontId="53" fillId="0" borderId="0"/>
    <xf numFmtId="190" fontId="53" fillId="0" borderId="0"/>
    <xf numFmtId="0" fontId="53" fillId="0" borderId="0"/>
    <xf numFmtId="190" fontId="53" fillId="0" borderId="0"/>
    <xf numFmtId="0" fontId="7" fillId="0" borderId="0"/>
    <xf numFmtId="190" fontId="7" fillId="0" borderId="0"/>
    <xf numFmtId="0" fontId="53" fillId="0" borderId="0"/>
    <xf numFmtId="190" fontId="53" fillId="0" borderId="0"/>
    <xf numFmtId="0" fontId="7" fillId="0" borderId="0"/>
    <xf numFmtId="190" fontId="7" fillId="0" borderId="0"/>
    <xf numFmtId="0" fontId="53" fillId="0" borderId="0"/>
    <xf numFmtId="190" fontId="53" fillId="0" borderId="0"/>
    <xf numFmtId="0" fontId="7" fillId="0" borderId="0"/>
    <xf numFmtId="190" fontId="7" fillId="0" borderId="0"/>
    <xf numFmtId="0" fontId="53" fillId="0" borderId="0"/>
    <xf numFmtId="190" fontId="53" fillId="0" borderId="0"/>
    <xf numFmtId="0" fontId="51" fillId="0" borderId="0"/>
    <xf numFmtId="190" fontId="51" fillId="0" borderId="0"/>
    <xf numFmtId="0" fontId="7" fillId="0" borderId="0"/>
    <xf numFmtId="190" fontId="7" fillId="0" borderId="0"/>
    <xf numFmtId="0" fontId="7" fillId="0" borderId="0"/>
    <xf numFmtId="190" fontId="7" fillId="0" borderId="0"/>
    <xf numFmtId="0" fontId="53" fillId="0" borderId="0"/>
    <xf numFmtId="190" fontId="53" fillId="0" borderId="0"/>
    <xf numFmtId="0" fontId="49" fillId="0" borderId="0"/>
    <xf numFmtId="190" fontId="49" fillId="0" borderId="0"/>
    <xf numFmtId="0" fontId="55" fillId="11" borderId="0" applyNumberFormat="0" applyBorder="0" applyAlignment="0" applyProtection="0">
      <alignment vertical="center"/>
    </xf>
    <xf numFmtId="190" fontId="56" fillId="11" borderId="0" applyNumberFormat="0" applyBorder="0" applyAlignment="0" applyProtection="0">
      <alignment vertical="center"/>
    </xf>
    <xf numFmtId="190" fontId="56" fillId="11" borderId="0" applyNumberFormat="0" applyBorder="0" applyAlignment="0" applyProtection="0">
      <alignment vertical="center"/>
    </xf>
    <xf numFmtId="0" fontId="56" fillId="11" borderId="0" applyNumberFormat="0" applyBorder="0" applyAlignment="0" applyProtection="0">
      <alignment vertical="center"/>
    </xf>
    <xf numFmtId="0" fontId="55" fillId="12" borderId="0" applyNumberFormat="0" applyBorder="0" applyAlignment="0" applyProtection="0">
      <alignment vertical="center"/>
    </xf>
    <xf numFmtId="190" fontId="56" fillId="12" borderId="0" applyNumberFormat="0" applyBorder="0" applyAlignment="0" applyProtection="0">
      <alignment vertical="center"/>
    </xf>
    <xf numFmtId="190" fontId="56" fillId="12" borderId="0" applyNumberFormat="0" applyBorder="0" applyAlignment="0" applyProtection="0">
      <alignment vertical="center"/>
    </xf>
    <xf numFmtId="0" fontId="56" fillId="12" borderId="0" applyNumberFormat="0" applyBorder="0" applyAlignment="0" applyProtection="0">
      <alignment vertical="center"/>
    </xf>
    <xf numFmtId="0" fontId="55" fillId="13" borderId="0" applyNumberFormat="0" applyBorder="0" applyAlignment="0" applyProtection="0">
      <alignment vertical="center"/>
    </xf>
    <xf numFmtId="190" fontId="56" fillId="13" borderId="0" applyNumberFormat="0" applyBorder="0" applyAlignment="0" applyProtection="0">
      <alignment vertical="center"/>
    </xf>
    <xf numFmtId="190" fontId="56" fillId="13" borderId="0" applyNumberFormat="0" applyBorder="0" applyAlignment="0" applyProtection="0">
      <alignment vertical="center"/>
    </xf>
    <xf numFmtId="0" fontId="56" fillId="13" borderId="0" applyNumberFormat="0" applyBorder="0" applyAlignment="0" applyProtection="0">
      <alignment vertical="center"/>
    </xf>
    <xf numFmtId="0" fontId="55" fillId="14" borderId="0" applyNumberFormat="0" applyBorder="0" applyAlignment="0" applyProtection="0">
      <alignment vertical="center"/>
    </xf>
    <xf numFmtId="190" fontId="56" fillId="14" borderId="0" applyNumberFormat="0" applyBorder="0" applyAlignment="0" applyProtection="0">
      <alignment vertical="center"/>
    </xf>
    <xf numFmtId="190" fontId="56" fillId="14" borderId="0" applyNumberFormat="0" applyBorder="0" applyAlignment="0" applyProtection="0">
      <alignment vertical="center"/>
    </xf>
    <xf numFmtId="0" fontId="56" fillId="14" borderId="0" applyNumberFormat="0" applyBorder="0" applyAlignment="0" applyProtection="0">
      <alignment vertical="center"/>
    </xf>
    <xf numFmtId="0" fontId="55" fillId="15" borderId="0" applyNumberFormat="0" applyBorder="0" applyAlignment="0" applyProtection="0">
      <alignment vertical="center"/>
    </xf>
    <xf numFmtId="190" fontId="56" fillId="15" borderId="0" applyNumberFormat="0" applyBorder="0" applyAlignment="0" applyProtection="0">
      <alignment vertical="center"/>
    </xf>
    <xf numFmtId="190" fontId="56" fillId="15" borderId="0" applyNumberFormat="0" applyBorder="0" applyAlignment="0" applyProtection="0">
      <alignment vertical="center"/>
    </xf>
    <xf numFmtId="0" fontId="56" fillId="15" borderId="0" applyNumberFormat="0" applyBorder="0" applyAlignment="0" applyProtection="0">
      <alignment vertical="center"/>
    </xf>
    <xf numFmtId="0" fontId="55" fillId="16" borderId="0" applyNumberFormat="0" applyBorder="0" applyAlignment="0" applyProtection="0">
      <alignment vertical="center"/>
    </xf>
    <xf numFmtId="190" fontId="56" fillId="16" borderId="0" applyNumberFormat="0" applyBorder="0" applyAlignment="0" applyProtection="0">
      <alignment vertical="center"/>
    </xf>
    <xf numFmtId="190" fontId="56" fillId="16" borderId="0" applyNumberFormat="0" applyBorder="0" applyAlignment="0" applyProtection="0">
      <alignment vertical="center"/>
    </xf>
    <xf numFmtId="0" fontId="56" fillId="16"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190" fontId="56" fillId="11" borderId="0" applyNumberFormat="0" applyBorder="0" applyAlignment="0" applyProtection="0">
      <alignment vertical="center"/>
    </xf>
    <xf numFmtId="190" fontId="56" fillId="11" borderId="0" applyNumberFormat="0" applyBorder="0" applyAlignment="0" applyProtection="0">
      <alignment vertical="center"/>
    </xf>
    <xf numFmtId="190" fontId="56" fillId="11" borderId="0" applyNumberFormat="0" applyBorder="0" applyAlignment="0" applyProtection="0">
      <alignment vertical="center"/>
    </xf>
    <xf numFmtId="190" fontId="56" fillId="11" borderId="0" applyNumberFormat="0" applyBorder="0" applyAlignment="0" applyProtection="0">
      <alignment vertical="center"/>
    </xf>
    <xf numFmtId="190" fontId="56" fillId="11" borderId="0" applyNumberFormat="0" applyBorder="0" applyAlignment="0" applyProtection="0">
      <alignment vertical="center"/>
    </xf>
    <xf numFmtId="0" fontId="56" fillId="11"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190" fontId="56" fillId="12" borderId="0" applyNumberFormat="0" applyBorder="0" applyAlignment="0" applyProtection="0">
      <alignment vertical="center"/>
    </xf>
    <xf numFmtId="190" fontId="56" fillId="12" borderId="0" applyNumberFormat="0" applyBorder="0" applyAlignment="0" applyProtection="0">
      <alignment vertical="center"/>
    </xf>
    <xf numFmtId="190" fontId="56" fillId="12" borderId="0" applyNumberFormat="0" applyBorder="0" applyAlignment="0" applyProtection="0">
      <alignment vertical="center"/>
    </xf>
    <xf numFmtId="190" fontId="56" fillId="12" borderId="0" applyNumberFormat="0" applyBorder="0" applyAlignment="0" applyProtection="0">
      <alignment vertical="center"/>
    </xf>
    <xf numFmtId="190" fontId="56" fillId="12" borderId="0" applyNumberFormat="0" applyBorder="0" applyAlignment="0" applyProtection="0">
      <alignment vertical="center"/>
    </xf>
    <xf numFmtId="0" fontId="56" fillId="12"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190" fontId="56" fillId="13" borderId="0" applyNumberFormat="0" applyBorder="0" applyAlignment="0" applyProtection="0">
      <alignment vertical="center"/>
    </xf>
    <xf numFmtId="190" fontId="56" fillId="13" borderId="0" applyNumberFormat="0" applyBorder="0" applyAlignment="0" applyProtection="0">
      <alignment vertical="center"/>
    </xf>
    <xf numFmtId="190" fontId="56" fillId="13" borderId="0" applyNumberFormat="0" applyBorder="0" applyAlignment="0" applyProtection="0">
      <alignment vertical="center"/>
    </xf>
    <xf numFmtId="190" fontId="56" fillId="13" borderId="0" applyNumberFormat="0" applyBorder="0" applyAlignment="0" applyProtection="0">
      <alignment vertical="center"/>
    </xf>
    <xf numFmtId="190" fontId="56" fillId="13" borderId="0" applyNumberFormat="0" applyBorder="0" applyAlignment="0" applyProtection="0">
      <alignment vertical="center"/>
    </xf>
    <xf numFmtId="0" fontId="56" fillId="13"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6" borderId="0" applyNumberFormat="0" applyBorder="0" applyAlignment="0" applyProtection="0">
      <alignment vertical="center"/>
    </xf>
    <xf numFmtId="0" fontId="56" fillId="16" borderId="0" applyNumberFormat="0" applyBorder="0" applyAlignment="0" applyProtection="0">
      <alignment vertical="center"/>
    </xf>
    <xf numFmtId="190" fontId="56" fillId="14" borderId="0" applyNumberFormat="0" applyBorder="0" applyAlignment="0" applyProtection="0">
      <alignment vertical="center"/>
    </xf>
    <xf numFmtId="190" fontId="56" fillId="14" borderId="0" applyNumberFormat="0" applyBorder="0" applyAlignment="0" applyProtection="0">
      <alignment vertical="center"/>
    </xf>
    <xf numFmtId="190" fontId="56" fillId="14" borderId="0" applyNumberFormat="0" applyBorder="0" applyAlignment="0" applyProtection="0">
      <alignment vertical="center"/>
    </xf>
    <xf numFmtId="190" fontId="56" fillId="14" borderId="0" applyNumberFormat="0" applyBorder="0" applyAlignment="0" applyProtection="0">
      <alignment vertical="center"/>
    </xf>
    <xf numFmtId="190" fontId="56" fillId="14" borderId="0" applyNumberFormat="0" applyBorder="0" applyAlignment="0" applyProtection="0">
      <alignment vertical="center"/>
    </xf>
    <xf numFmtId="0" fontId="56" fillId="14" borderId="0" applyNumberFormat="0" applyBorder="0" applyAlignment="0" applyProtection="0">
      <alignment vertical="center"/>
    </xf>
    <xf numFmtId="0" fontId="56" fillId="16" borderId="0" applyNumberFormat="0" applyBorder="0" applyAlignment="0" applyProtection="0">
      <alignment vertical="center"/>
    </xf>
    <xf numFmtId="0" fontId="56" fillId="16" borderId="0" applyNumberFormat="0" applyBorder="0" applyAlignment="0" applyProtection="0">
      <alignment vertical="center"/>
    </xf>
    <xf numFmtId="0" fontId="56" fillId="16" borderId="0" applyNumberFormat="0" applyBorder="0" applyAlignment="0" applyProtection="0">
      <alignment vertical="center"/>
    </xf>
    <xf numFmtId="0" fontId="56" fillId="16" borderId="0" applyNumberFormat="0" applyBorder="0" applyAlignment="0" applyProtection="0">
      <alignment vertical="center"/>
    </xf>
    <xf numFmtId="0" fontId="56" fillId="16" borderId="0" applyNumberFormat="0" applyBorder="0" applyAlignment="0" applyProtection="0">
      <alignment vertical="center"/>
    </xf>
    <xf numFmtId="0" fontId="56" fillId="16" borderId="0" applyNumberFormat="0" applyBorder="0" applyAlignment="0" applyProtection="0">
      <alignment vertical="center"/>
    </xf>
    <xf numFmtId="0" fontId="56" fillId="16"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190" fontId="56" fillId="15" borderId="0" applyNumberFormat="0" applyBorder="0" applyAlignment="0" applyProtection="0">
      <alignment vertical="center"/>
    </xf>
    <xf numFmtId="190" fontId="56" fillId="15" borderId="0" applyNumberFormat="0" applyBorder="0" applyAlignment="0" applyProtection="0">
      <alignment vertical="center"/>
    </xf>
    <xf numFmtId="190" fontId="56" fillId="15" borderId="0" applyNumberFormat="0" applyBorder="0" applyAlignment="0" applyProtection="0">
      <alignment vertical="center"/>
    </xf>
    <xf numFmtId="190" fontId="56" fillId="15" borderId="0" applyNumberFormat="0" applyBorder="0" applyAlignment="0" applyProtection="0">
      <alignment vertical="center"/>
    </xf>
    <xf numFmtId="19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190" fontId="56" fillId="16" borderId="0" applyNumberFormat="0" applyBorder="0" applyAlignment="0" applyProtection="0">
      <alignment vertical="center"/>
    </xf>
    <xf numFmtId="190" fontId="56" fillId="16" borderId="0" applyNumberFormat="0" applyBorder="0" applyAlignment="0" applyProtection="0">
      <alignment vertical="center"/>
    </xf>
    <xf numFmtId="190" fontId="56" fillId="16" borderId="0" applyNumberFormat="0" applyBorder="0" applyAlignment="0" applyProtection="0">
      <alignment vertical="center"/>
    </xf>
    <xf numFmtId="190" fontId="56" fillId="16" borderId="0" applyNumberFormat="0" applyBorder="0" applyAlignment="0" applyProtection="0">
      <alignment vertical="center"/>
    </xf>
    <xf numFmtId="190" fontId="56" fillId="16" borderId="0" applyNumberFormat="0" applyBorder="0" applyAlignment="0" applyProtection="0">
      <alignment vertical="center"/>
    </xf>
    <xf numFmtId="0" fontId="56" fillId="16"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5" fillId="17" borderId="0" applyNumberFormat="0" applyBorder="0" applyAlignment="0" applyProtection="0">
      <alignment vertical="center"/>
    </xf>
    <xf numFmtId="190" fontId="56" fillId="17" borderId="0" applyNumberFormat="0" applyBorder="0" applyAlignment="0" applyProtection="0">
      <alignment vertical="center"/>
    </xf>
    <xf numFmtId="190" fontId="56" fillId="17" borderId="0" applyNumberFormat="0" applyBorder="0" applyAlignment="0" applyProtection="0">
      <alignment vertical="center"/>
    </xf>
    <xf numFmtId="0" fontId="56" fillId="17" borderId="0" applyNumberFormat="0" applyBorder="0" applyAlignment="0" applyProtection="0">
      <alignment vertical="center"/>
    </xf>
    <xf numFmtId="0" fontId="55" fillId="18" borderId="0" applyNumberFormat="0" applyBorder="0" applyAlignment="0" applyProtection="0">
      <alignment vertical="center"/>
    </xf>
    <xf numFmtId="190" fontId="56" fillId="18" borderId="0" applyNumberFormat="0" applyBorder="0" applyAlignment="0" applyProtection="0">
      <alignment vertical="center"/>
    </xf>
    <xf numFmtId="190" fontId="56" fillId="18" borderId="0" applyNumberFormat="0" applyBorder="0" applyAlignment="0" applyProtection="0">
      <alignment vertical="center"/>
    </xf>
    <xf numFmtId="0" fontId="56" fillId="18" borderId="0" applyNumberFormat="0" applyBorder="0" applyAlignment="0" applyProtection="0">
      <alignment vertical="center"/>
    </xf>
    <xf numFmtId="0" fontId="55" fillId="20" borderId="0" applyNumberFormat="0" applyBorder="0" applyAlignment="0" applyProtection="0">
      <alignment vertical="center"/>
    </xf>
    <xf numFmtId="190" fontId="56" fillId="20" borderId="0" applyNumberFormat="0" applyBorder="0" applyAlignment="0" applyProtection="0">
      <alignment vertical="center"/>
    </xf>
    <xf numFmtId="190" fontId="56" fillId="20" borderId="0" applyNumberFormat="0" applyBorder="0" applyAlignment="0" applyProtection="0">
      <alignment vertical="center"/>
    </xf>
    <xf numFmtId="0" fontId="56" fillId="20" borderId="0" applyNumberFormat="0" applyBorder="0" applyAlignment="0" applyProtection="0">
      <alignment vertical="center"/>
    </xf>
    <xf numFmtId="0" fontId="55" fillId="14" borderId="0" applyNumberFormat="0" applyBorder="0" applyAlignment="0" applyProtection="0">
      <alignment vertical="center"/>
    </xf>
    <xf numFmtId="190" fontId="56" fillId="14" borderId="0" applyNumberFormat="0" applyBorder="0" applyAlignment="0" applyProtection="0">
      <alignment vertical="center"/>
    </xf>
    <xf numFmtId="190" fontId="56" fillId="14" borderId="0" applyNumberFormat="0" applyBorder="0" applyAlignment="0" applyProtection="0">
      <alignment vertical="center"/>
    </xf>
    <xf numFmtId="0" fontId="56" fillId="14" borderId="0" applyNumberFormat="0" applyBorder="0" applyAlignment="0" applyProtection="0">
      <alignment vertical="center"/>
    </xf>
    <xf numFmtId="0" fontId="55" fillId="17" borderId="0" applyNumberFormat="0" applyBorder="0" applyAlignment="0" applyProtection="0">
      <alignment vertical="center"/>
    </xf>
    <xf numFmtId="190" fontId="56" fillId="17" borderId="0" applyNumberFormat="0" applyBorder="0" applyAlignment="0" applyProtection="0">
      <alignment vertical="center"/>
    </xf>
    <xf numFmtId="190" fontId="56" fillId="17" borderId="0" applyNumberFormat="0" applyBorder="0" applyAlignment="0" applyProtection="0">
      <alignment vertical="center"/>
    </xf>
    <xf numFmtId="0" fontId="56" fillId="17" borderId="0" applyNumberFormat="0" applyBorder="0" applyAlignment="0" applyProtection="0">
      <alignment vertical="center"/>
    </xf>
    <xf numFmtId="0" fontId="55" fillId="21" borderId="0" applyNumberFormat="0" applyBorder="0" applyAlignment="0" applyProtection="0">
      <alignment vertical="center"/>
    </xf>
    <xf numFmtId="190" fontId="56" fillId="21" borderId="0" applyNumberFormat="0" applyBorder="0" applyAlignment="0" applyProtection="0">
      <alignment vertical="center"/>
    </xf>
    <xf numFmtId="190" fontId="56" fillId="21" borderId="0" applyNumberFormat="0" applyBorder="0" applyAlignment="0" applyProtection="0">
      <alignment vertical="center"/>
    </xf>
    <xf numFmtId="0" fontId="56" fillId="21"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190" fontId="56" fillId="17" borderId="0" applyNumberFormat="0" applyBorder="0" applyAlignment="0" applyProtection="0">
      <alignment vertical="center"/>
    </xf>
    <xf numFmtId="190" fontId="56" fillId="17" borderId="0" applyNumberFormat="0" applyBorder="0" applyAlignment="0" applyProtection="0">
      <alignment vertical="center"/>
    </xf>
    <xf numFmtId="190" fontId="56" fillId="17" borderId="0" applyNumberFormat="0" applyBorder="0" applyAlignment="0" applyProtection="0">
      <alignment vertical="center"/>
    </xf>
    <xf numFmtId="190" fontId="56" fillId="17" borderId="0" applyNumberFormat="0" applyBorder="0" applyAlignment="0" applyProtection="0">
      <alignment vertical="center"/>
    </xf>
    <xf numFmtId="190" fontId="56" fillId="17" borderId="0" applyNumberFormat="0" applyBorder="0" applyAlignment="0" applyProtection="0">
      <alignment vertical="center"/>
    </xf>
    <xf numFmtId="0" fontId="56" fillId="17"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190" fontId="56" fillId="18" borderId="0" applyNumberFormat="0" applyBorder="0" applyAlignment="0" applyProtection="0">
      <alignment vertical="center"/>
    </xf>
    <xf numFmtId="190" fontId="56" fillId="18" borderId="0" applyNumberFormat="0" applyBorder="0" applyAlignment="0" applyProtection="0">
      <alignment vertical="center"/>
    </xf>
    <xf numFmtId="190" fontId="56" fillId="18" borderId="0" applyNumberFormat="0" applyBorder="0" applyAlignment="0" applyProtection="0">
      <alignment vertical="center"/>
    </xf>
    <xf numFmtId="190" fontId="56" fillId="18" borderId="0" applyNumberFormat="0" applyBorder="0" applyAlignment="0" applyProtection="0">
      <alignment vertical="center"/>
    </xf>
    <xf numFmtId="19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190" fontId="56" fillId="20" borderId="0" applyNumberFormat="0" applyBorder="0" applyAlignment="0" applyProtection="0">
      <alignment vertical="center"/>
    </xf>
    <xf numFmtId="190" fontId="56" fillId="20" borderId="0" applyNumberFormat="0" applyBorder="0" applyAlignment="0" applyProtection="0">
      <alignment vertical="center"/>
    </xf>
    <xf numFmtId="190" fontId="56" fillId="20" borderId="0" applyNumberFormat="0" applyBorder="0" applyAlignment="0" applyProtection="0">
      <alignment vertical="center"/>
    </xf>
    <xf numFmtId="190" fontId="56" fillId="20" borderId="0" applyNumberFormat="0" applyBorder="0" applyAlignment="0" applyProtection="0">
      <alignment vertical="center"/>
    </xf>
    <xf numFmtId="190" fontId="56" fillId="20" borderId="0" applyNumberFormat="0" applyBorder="0" applyAlignment="0" applyProtection="0">
      <alignment vertical="center"/>
    </xf>
    <xf numFmtId="0" fontId="56" fillId="20"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56" fillId="12" borderId="0" applyNumberFormat="0" applyBorder="0" applyAlignment="0" applyProtection="0">
      <alignment vertical="center"/>
    </xf>
    <xf numFmtId="0" fontId="56" fillId="12" borderId="0" applyNumberFormat="0" applyBorder="0" applyAlignment="0" applyProtection="0">
      <alignment vertical="center"/>
    </xf>
    <xf numFmtId="190" fontId="56" fillId="14" borderId="0" applyNumberFormat="0" applyBorder="0" applyAlignment="0" applyProtection="0">
      <alignment vertical="center"/>
    </xf>
    <xf numFmtId="190" fontId="56" fillId="14" borderId="0" applyNumberFormat="0" applyBorder="0" applyAlignment="0" applyProtection="0">
      <alignment vertical="center"/>
    </xf>
    <xf numFmtId="190" fontId="56" fillId="14" borderId="0" applyNumberFormat="0" applyBorder="0" applyAlignment="0" applyProtection="0">
      <alignment vertical="center"/>
    </xf>
    <xf numFmtId="190" fontId="56" fillId="14" borderId="0" applyNumberFormat="0" applyBorder="0" applyAlignment="0" applyProtection="0">
      <alignment vertical="center"/>
    </xf>
    <xf numFmtId="190" fontId="56" fillId="14" borderId="0" applyNumberFormat="0" applyBorder="0" applyAlignment="0" applyProtection="0">
      <alignment vertical="center"/>
    </xf>
    <xf numFmtId="0" fontId="56" fillId="14" borderId="0" applyNumberFormat="0" applyBorder="0" applyAlignment="0" applyProtection="0">
      <alignment vertical="center"/>
    </xf>
    <xf numFmtId="0" fontId="56" fillId="12" borderId="0" applyNumberFormat="0" applyBorder="0" applyAlignment="0" applyProtection="0">
      <alignment vertical="center"/>
    </xf>
    <xf numFmtId="0" fontId="56" fillId="12" borderId="0" applyNumberFormat="0" applyBorder="0" applyAlignment="0" applyProtection="0">
      <alignment vertical="center"/>
    </xf>
    <xf numFmtId="0" fontId="56" fillId="12" borderId="0" applyNumberFormat="0" applyBorder="0" applyAlignment="0" applyProtection="0">
      <alignment vertical="center"/>
    </xf>
    <xf numFmtId="0" fontId="56" fillId="12" borderId="0" applyNumberFormat="0" applyBorder="0" applyAlignment="0" applyProtection="0">
      <alignment vertical="center"/>
    </xf>
    <xf numFmtId="0" fontId="56" fillId="12" borderId="0" applyNumberFormat="0" applyBorder="0" applyAlignment="0" applyProtection="0">
      <alignment vertical="center"/>
    </xf>
    <xf numFmtId="0" fontId="56" fillId="12" borderId="0" applyNumberFormat="0" applyBorder="0" applyAlignment="0" applyProtection="0">
      <alignment vertical="center"/>
    </xf>
    <xf numFmtId="0" fontId="56" fillId="12"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190" fontId="56" fillId="17" borderId="0" applyNumberFormat="0" applyBorder="0" applyAlignment="0" applyProtection="0">
      <alignment vertical="center"/>
    </xf>
    <xf numFmtId="190" fontId="56" fillId="17" borderId="0" applyNumberFormat="0" applyBorder="0" applyAlignment="0" applyProtection="0">
      <alignment vertical="center"/>
    </xf>
    <xf numFmtId="190" fontId="56" fillId="17" borderId="0" applyNumberFormat="0" applyBorder="0" applyAlignment="0" applyProtection="0">
      <alignment vertical="center"/>
    </xf>
    <xf numFmtId="190" fontId="56" fillId="17" borderId="0" applyNumberFormat="0" applyBorder="0" applyAlignment="0" applyProtection="0">
      <alignment vertical="center"/>
    </xf>
    <xf numFmtId="190" fontId="56" fillId="17" borderId="0" applyNumberFormat="0" applyBorder="0" applyAlignment="0" applyProtection="0">
      <alignment vertical="center"/>
    </xf>
    <xf numFmtId="0" fontId="56" fillId="17"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5"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190" fontId="56" fillId="21" borderId="0" applyNumberFormat="0" applyBorder="0" applyAlignment="0" applyProtection="0">
      <alignment vertical="center"/>
    </xf>
    <xf numFmtId="190" fontId="56" fillId="21" borderId="0" applyNumberFormat="0" applyBorder="0" applyAlignment="0" applyProtection="0">
      <alignment vertical="center"/>
    </xf>
    <xf numFmtId="190" fontId="56" fillId="21" borderId="0" applyNumberFormat="0" applyBorder="0" applyAlignment="0" applyProtection="0">
      <alignment vertical="center"/>
    </xf>
    <xf numFmtId="190" fontId="56" fillId="21" borderId="0" applyNumberFormat="0" applyBorder="0" applyAlignment="0" applyProtection="0">
      <alignment vertical="center"/>
    </xf>
    <xf numFmtId="190" fontId="56" fillId="21" borderId="0" applyNumberFormat="0" applyBorder="0" applyAlignment="0" applyProtection="0">
      <alignment vertical="center"/>
    </xf>
    <xf numFmtId="0" fontId="56" fillId="21"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6" fillId="19" borderId="0" applyNumberFormat="0" applyBorder="0" applyAlignment="0" applyProtection="0">
      <alignment vertical="center"/>
    </xf>
    <xf numFmtId="0" fontId="57" fillId="23" borderId="0" applyNumberFormat="0" applyBorder="0" applyAlignment="0" applyProtection="0">
      <alignment vertical="center"/>
    </xf>
    <xf numFmtId="190" fontId="58" fillId="23" borderId="0" applyNumberFormat="0" applyBorder="0" applyAlignment="0" applyProtection="0">
      <alignment vertical="center"/>
    </xf>
    <xf numFmtId="0" fontId="57" fillId="18" borderId="0" applyNumberFormat="0" applyBorder="0" applyAlignment="0" applyProtection="0">
      <alignment vertical="center"/>
    </xf>
    <xf numFmtId="190" fontId="58" fillId="18" borderId="0" applyNumberFormat="0" applyBorder="0" applyAlignment="0" applyProtection="0">
      <alignment vertical="center"/>
    </xf>
    <xf numFmtId="0" fontId="57" fillId="20" borderId="0" applyNumberFormat="0" applyBorder="0" applyAlignment="0" applyProtection="0">
      <alignment vertical="center"/>
    </xf>
    <xf numFmtId="190" fontId="58" fillId="20" borderId="0" applyNumberFormat="0" applyBorder="0" applyAlignment="0" applyProtection="0">
      <alignment vertical="center"/>
    </xf>
    <xf numFmtId="0" fontId="57" fillId="24" borderId="0" applyNumberFormat="0" applyBorder="0" applyAlignment="0" applyProtection="0">
      <alignment vertical="center"/>
    </xf>
    <xf numFmtId="190" fontId="58" fillId="24" borderId="0" applyNumberFormat="0" applyBorder="0" applyAlignment="0" applyProtection="0">
      <alignment vertical="center"/>
    </xf>
    <xf numFmtId="0" fontId="57" fillId="25" borderId="0" applyNumberFormat="0" applyBorder="0" applyAlignment="0" applyProtection="0">
      <alignment vertical="center"/>
    </xf>
    <xf numFmtId="190" fontId="58" fillId="25" borderId="0" applyNumberFormat="0" applyBorder="0" applyAlignment="0" applyProtection="0">
      <alignment vertical="center"/>
    </xf>
    <xf numFmtId="0" fontId="57" fillId="26" borderId="0" applyNumberFormat="0" applyBorder="0" applyAlignment="0" applyProtection="0">
      <alignment vertical="center"/>
    </xf>
    <xf numFmtId="190" fontId="58" fillId="26"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190" fontId="58" fillId="23" borderId="0" applyNumberFormat="0" applyBorder="0" applyAlignment="0" applyProtection="0">
      <alignment vertical="center"/>
    </xf>
    <xf numFmtId="190" fontId="58" fillId="23" borderId="0" applyNumberFormat="0" applyBorder="0" applyAlignment="0" applyProtection="0">
      <alignment vertical="center"/>
    </xf>
    <xf numFmtId="190" fontId="58" fillId="23" borderId="0" applyNumberFormat="0" applyBorder="0" applyAlignment="0" applyProtection="0">
      <alignment vertical="center"/>
    </xf>
    <xf numFmtId="190" fontId="58" fillId="23" borderId="0" applyNumberFormat="0" applyBorder="0" applyAlignment="0" applyProtection="0">
      <alignment vertical="center"/>
    </xf>
    <xf numFmtId="190" fontId="58" fillId="23"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190" fontId="58" fillId="18" borderId="0" applyNumberFormat="0" applyBorder="0" applyAlignment="0" applyProtection="0">
      <alignment vertical="center"/>
    </xf>
    <xf numFmtId="190" fontId="58" fillId="18" borderId="0" applyNumberFormat="0" applyBorder="0" applyAlignment="0" applyProtection="0">
      <alignment vertical="center"/>
    </xf>
    <xf numFmtId="190" fontId="58" fillId="18" borderId="0" applyNumberFormat="0" applyBorder="0" applyAlignment="0" applyProtection="0">
      <alignment vertical="center"/>
    </xf>
    <xf numFmtId="190" fontId="58" fillId="18" borderId="0" applyNumberFormat="0" applyBorder="0" applyAlignment="0" applyProtection="0">
      <alignment vertical="center"/>
    </xf>
    <xf numFmtId="190" fontId="58" fillId="18"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190" fontId="58" fillId="20" borderId="0" applyNumberFormat="0" applyBorder="0" applyAlignment="0" applyProtection="0">
      <alignment vertical="center"/>
    </xf>
    <xf numFmtId="190" fontId="58" fillId="20" borderId="0" applyNumberFormat="0" applyBorder="0" applyAlignment="0" applyProtection="0">
      <alignment vertical="center"/>
    </xf>
    <xf numFmtId="190" fontId="58" fillId="20" borderId="0" applyNumberFormat="0" applyBorder="0" applyAlignment="0" applyProtection="0">
      <alignment vertical="center"/>
    </xf>
    <xf numFmtId="190" fontId="58" fillId="20" borderId="0" applyNumberFormat="0" applyBorder="0" applyAlignment="0" applyProtection="0">
      <alignment vertical="center"/>
    </xf>
    <xf numFmtId="190" fontId="58" fillId="20"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12" borderId="0" applyNumberFormat="0" applyBorder="0" applyAlignment="0" applyProtection="0">
      <alignment vertical="center"/>
    </xf>
    <xf numFmtId="0" fontId="58" fillId="12" borderId="0" applyNumberFormat="0" applyBorder="0" applyAlignment="0" applyProtection="0">
      <alignment vertical="center"/>
    </xf>
    <xf numFmtId="190" fontId="58" fillId="24" borderId="0" applyNumberFormat="0" applyBorder="0" applyAlignment="0" applyProtection="0">
      <alignment vertical="center"/>
    </xf>
    <xf numFmtId="190" fontId="58" fillId="24" borderId="0" applyNumberFormat="0" applyBorder="0" applyAlignment="0" applyProtection="0">
      <alignment vertical="center"/>
    </xf>
    <xf numFmtId="190" fontId="58" fillId="24" borderId="0" applyNumberFormat="0" applyBorder="0" applyAlignment="0" applyProtection="0">
      <alignment vertical="center"/>
    </xf>
    <xf numFmtId="190" fontId="58" fillId="24" borderId="0" applyNumberFormat="0" applyBorder="0" applyAlignment="0" applyProtection="0">
      <alignment vertical="center"/>
    </xf>
    <xf numFmtId="190" fontId="58" fillId="24" borderId="0" applyNumberFormat="0" applyBorder="0" applyAlignment="0" applyProtection="0">
      <alignment vertical="center"/>
    </xf>
    <xf numFmtId="0" fontId="58" fillId="12" borderId="0" applyNumberFormat="0" applyBorder="0" applyAlignment="0" applyProtection="0">
      <alignment vertical="center"/>
    </xf>
    <xf numFmtId="0" fontId="58" fillId="12" borderId="0" applyNumberFormat="0" applyBorder="0" applyAlignment="0" applyProtection="0">
      <alignment vertical="center"/>
    </xf>
    <xf numFmtId="0" fontId="58" fillId="12" borderId="0" applyNumberFormat="0" applyBorder="0" applyAlignment="0" applyProtection="0">
      <alignment vertical="center"/>
    </xf>
    <xf numFmtId="0" fontId="58" fillId="12" borderId="0" applyNumberFormat="0" applyBorder="0" applyAlignment="0" applyProtection="0">
      <alignment vertical="center"/>
    </xf>
    <xf numFmtId="0" fontId="58" fillId="12" borderId="0" applyNumberFormat="0" applyBorder="0" applyAlignment="0" applyProtection="0">
      <alignment vertical="center"/>
    </xf>
    <xf numFmtId="0" fontId="58" fillId="12" borderId="0" applyNumberFormat="0" applyBorder="0" applyAlignment="0" applyProtection="0">
      <alignment vertical="center"/>
    </xf>
    <xf numFmtId="0" fontId="58" fillId="12"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190" fontId="58" fillId="25" borderId="0" applyNumberFormat="0" applyBorder="0" applyAlignment="0" applyProtection="0">
      <alignment vertical="center"/>
    </xf>
    <xf numFmtId="190" fontId="58" fillId="25" borderId="0" applyNumberFormat="0" applyBorder="0" applyAlignment="0" applyProtection="0">
      <alignment vertical="center"/>
    </xf>
    <xf numFmtId="190" fontId="58" fillId="25" borderId="0" applyNumberFormat="0" applyBorder="0" applyAlignment="0" applyProtection="0">
      <alignment vertical="center"/>
    </xf>
    <xf numFmtId="190" fontId="58" fillId="25" borderId="0" applyNumberFormat="0" applyBorder="0" applyAlignment="0" applyProtection="0">
      <alignment vertical="center"/>
    </xf>
    <xf numFmtId="190" fontId="58" fillId="25"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15" borderId="0" applyNumberFormat="0" applyBorder="0" applyAlignment="0" applyProtection="0">
      <alignment vertical="center"/>
    </xf>
    <xf numFmtId="0" fontId="58" fillId="18" borderId="0" applyNumberFormat="0" applyBorder="0" applyAlignment="0" applyProtection="0">
      <alignment vertical="center"/>
    </xf>
    <xf numFmtId="0" fontId="58" fillId="18" borderId="0" applyNumberFormat="0" applyBorder="0" applyAlignment="0" applyProtection="0">
      <alignment vertical="center"/>
    </xf>
    <xf numFmtId="190" fontId="58" fillId="26" borderId="0" applyNumberFormat="0" applyBorder="0" applyAlignment="0" applyProtection="0">
      <alignment vertical="center"/>
    </xf>
    <xf numFmtId="190" fontId="58" fillId="26" borderId="0" applyNumberFormat="0" applyBorder="0" applyAlignment="0" applyProtection="0">
      <alignment vertical="center"/>
    </xf>
    <xf numFmtId="190" fontId="58" fillId="26" borderId="0" applyNumberFormat="0" applyBorder="0" applyAlignment="0" applyProtection="0">
      <alignment vertical="center"/>
    </xf>
    <xf numFmtId="190" fontId="58" fillId="26" borderId="0" applyNumberFormat="0" applyBorder="0" applyAlignment="0" applyProtection="0">
      <alignment vertical="center"/>
    </xf>
    <xf numFmtId="190" fontId="58" fillId="26" borderId="0" applyNumberFormat="0" applyBorder="0" applyAlignment="0" applyProtection="0">
      <alignment vertical="center"/>
    </xf>
    <xf numFmtId="0" fontId="58" fillId="18" borderId="0" applyNumberFormat="0" applyBorder="0" applyAlignment="0" applyProtection="0">
      <alignment vertical="center"/>
    </xf>
    <xf numFmtId="0" fontId="58" fillId="18" borderId="0" applyNumberFormat="0" applyBorder="0" applyAlignment="0" applyProtection="0">
      <alignment vertical="center"/>
    </xf>
    <xf numFmtId="0" fontId="58" fillId="18" borderId="0" applyNumberFormat="0" applyBorder="0" applyAlignment="0" applyProtection="0">
      <alignment vertical="center"/>
    </xf>
    <xf numFmtId="0" fontId="58" fillId="18" borderId="0" applyNumberFormat="0" applyBorder="0" applyAlignment="0" applyProtection="0">
      <alignment vertical="center"/>
    </xf>
    <xf numFmtId="0" fontId="58" fillId="18" borderId="0" applyNumberFormat="0" applyBorder="0" applyAlignment="0" applyProtection="0">
      <alignment vertical="center"/>
    </xf>
    <xf numFmtId="0" fontId="58" fillId="18" borderId="0" applyNumberFormat="0" applyBorder="0" applyAlignment="0" applyProtection="0">
      <alignment vertical="center"/>
    </xf>
    <xf numFmtId="0" fontId="58" fillId="18" borderId="0" applyNumberFormat="0" applyBorder="0" applyAlignment="0" applyProtection="0">
      <alignment vertical="center"/>
    </xf>
    <xf numFmtId="197" fontId="7" fillId="0" borderId="0" applyFont="0" applyFill="0" applyBorder="0" applyAlignment="0" applyProtection="0"/>
    <xf numFmtId="0" fontId="59" fillId="0" borderId="0" applyFont="0" applyFill="0" applyBorder="0" applyAlignment="0" applyProtection="0"/>
    <xf numFmtId="0" fontId="59" fillId="0" borderId="0" applyFont="0" applyFill="0" applyBorder="0" applyAlignment="0" applyProtection="0"/>
    <xf numFmtId="0" fontId="57" fillId="28" borderId="0" applyNumberFormat="0" applyBorder="0" applyAlignment="0" applyProtection="0">
      <alignment vertical="center"/>
    </xf>
    <xf numFmtId="190" fontId="58" fillId="28" borderId="0" applyNumberFormat="0" applyBorder="0" applyAlignment="0" applyProtection="0">
      <alignment vertical="center"/>
    </xf>
    <xf numFmtId="0" fontId="57" fillId="29" borderId="0" applyNumberFormat="0" applyBorder="0" applyAlignment="0" applyProtection="0">
      <alignment vertical="center"/>
    </xf>
    <xf numFmtId="190" fontId="58" fillId="29" borderId="0" applyNumberFormat="0" applyBorder="0" applyAlignment="0" applyProtection="0">
      <alignment vertical="center"/>
    </xf>
    <xf numFmtId="0" fontId="57" fillId="30" borderId="0" applyNumberFormat="0" applyBorder="0" applyAlignment="0" applyProtection="0">
      <alignment vertical="center"/>
    </xf>
    <xf numFmtId="190" fontId="58" fillId="30" borderId="0" applyNumberFormat="0" applyBorder="0" applyAlignment="0" applyProtection="0">
      <alignment vertical="center"/>
    </xf>
    <xf numFmtId="0" fontId="57" fillId="24" borderId="0" applyNumberFormat="0" applyBorder="0" applyAlignment="0" applyProtection="0">
      <alignment vertical="center"/>
    </xf>
    <xf numFmtId="190" fontId="58" fillId="24" borderId="0" applyNumberFormat="0" applyBorder="0" applyAlignment="0" applyProtection="0">
      <alignment vertical="center"/>
    </xf>
    <xf numFmtId="0" fontId="57" fillId="25" borderId="0" applyNumberFormat="0" applyBorder="0" applyAlignment="0" applyProtection="0">
      <alignment vertical="center"/>
    </xf>
    <xf numFmtId="190" fontId="58" fillId="25" borderId="0" applyNumberFormat="0" applyBorder="0" applyAlignment="0" applyProtection="0">
      <alignment vertical="center"/>
    </xf>
    <xf numFmtId="0" fontId="57" fillId="27" borderId="0" applyNumberFormat="0" applyBorder="0" applyAlignment="0" applyProtection="0">
      <alignment vertical="center"/>
    </xf>
    <xf numFmtId="190" fontId="58" fillId="27" borderId="0" applyNumberFormat="0" applyBorder="0" applyAlignment="0" applyProtection="0">
      <alignment vertical="center"/>
    </xf>
    <xf numFmtId="201" fontId="60" fillId="0" borderId="0" applyFont="0" applyFill="0" applyBorder="0" applyAlignment="0" applyProtection="0"/>
    <xf numFmtId="0" fontId="61" fillId="0" borderId="0" applyFont="0" applyFill="0" applyBorder="0" applyAlignment="0" applyProtection="0"/>
    <xf numFmtId="0" fontId="7" fillId="0" borderId="0" applyFont="0" applyFill="0" applyBorder="0" applyAlignment="0" applyProtection="0"/>
    <xf numFmtId="0" fontId="62" fillId="0" borderId="0" applyFont="0" applyFill="0" applyBorder="0" applyAlignment="0" applyProtection="0"/>
    <xf numFmtId="0" fontId="63" fillId="0" borderId="0" applyFont="0" applyFill="0" applyBorder="0" applyAlignment="0" applyProtection="0"/>
    <xf numFmtId="0" fontId="64" fillId="0" borderId="0" applyFont="0" applyFill="0" applyBorder="0" applyAlignment="0" applyProtection="0"/>
    <xf numFmtId="202" fontId="60" fillId="0" borderId="0" applyFont="0" applyFill="0" applyBorder="0" applyAlignment="0" applyProtection="0"/>
    <xf numFmtId="0" fontId="61" fillId="0" borderId="0" applyFont="0" applyFill="0" applyBorder="0" applyAlignment="0" applyProtection="0"/>
    <xf numFmtId="0" fontId="63" fillId="0" borderId="0" applyFont="0" applyFill="0" applyBorder="0" applyAlignment="0" applyProtection="0"/>
    <xf numFmtId="0" fontId="64" fillId="0" borderId="0" applyFont="0" applyFill="0" applyBorder="0" applyAlignment="0" applyProtection="0"/>
    <xf numFmtId="0" fontId="59" fillId="0" borderId="0" applyFont="0" applyFill="0" applyBorder="0" applyAlignment="0" applyProtection="0"/>
    <xf numFmtId="0" fontId="59" fillId="0" borderId="0" applyFont="0" applyFill="0" applyBorder="0" applyAlignment="0" applyProtection="0"/>
    <xf numFmtId="0" fontId="9" fillId="0" borderId="0">
      <alignment horizontal="left"/>
    </xf>
    <xf numFmtId="203" fontId="60" fillId="0" borderId="0" applyFont="0" applyFill="0" applyBorder="0" applyAlignment="0" applyProtection="0"/>
    <xf numFmtId="0" fontId="61" fillId="0" borderId="0" applyFont="0" applyFill="0" applyBorder="0" applyAlignment="0" applyProtection="0"/>
    <xf numFmtId="0" fontId="63" fillId="0" borderId="0" applyFont="0" applyFill="0" applyBorder="0" applyAlignment="0" applyProtection="0"/>
    <xf numFmtId="0" fontId="7" fillId="0" borderId="0" applyFont="0" applyFill="0" applyBorder="0" applyAlignment="0" applyProtection="0"/>
    <xf numFmtId="204" fontId="60" fillId="0" borderId="0" applyFont="0" applyFill="0" applyBorder="0" applyAlignment="0" applyProtection="0"/>
    <xf numFmtId="0" fontId="61" fillId="0" borderId="0" applyFont="0" applyFill="0" applyBorder="0" applyAlignment="0" applyProtection="0"/>
    <xf numFmtId="0" fontId="63" fillId="0" borderId="0" applyFont="0" applyFill="0" applyBorder="0" applyAlignment="0" applyProtection="0"/>
    <xf numFmtId="0" fontId="7"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7" fillId="0" borderId="0" applyFont="0" applyFill="0" applyBorder="0" applyAlignment="0" applyProtection="0"/>
    <xf numFmtId="190" fontId="7"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7" fillId="0" borderId="0" applyFont="0" applyFill="0" applyBorder="0" applyAlignment="0" applyProtection="0"/>
    <xf numFmtId="190" fontId="7"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7" fillId="0" borderId="0" applyFont="0" applyFill="0" applyBorder="0" applyAlignment="0" applyProtection="0"/>
    <xf numFmtId="190" fontId="7" fillId="0" borderId="0" applyFont="0" applyFill="0" applyBorder="0" applyAlignment="0" applyProtection="0"/>
    <xf numFmtId="0" fontId="65" fillId="12" borderId="0" applyNumberFormat="0" applyBorder="0" applyAlignment="0" applyProtection="0">
      <alignment vertical="center"/>
    </xf>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6" borderId="0" applyNumberFormat="0" applyBorder="0" applyAlignment="0" applyProtection="0"/>
    <xf numFmtId="190" fontId="67" fillId="12" borderId="0" applyNumberFormat="0" applyBorder="0" applyAlignment="0" applyProtection="0">
      <alignment vertical="center"/>
    </xf>
    <xf numFmtId="190" fontId="67" fillId="12" borderId="0" applyNumberFormat="0" applyBorder="0" applyAlignment="0" applyProtection="0">
      <alignment vertical="center"/>
    </xf>
    <xf numFmtId="190" fontId="67" fillId="12" borderId="0" applyNumberFormat="0" applyBorder="0" applyAlignment="0" applyProtection="0">
      <alignment vertical="center"/>
    </xf>
    <xf numFmtId="190" fontId="67" fillId="12" borderId="0" applyNumberFormat="0" applyBorder="0" applyAlignment="0" applyProtection="0">
      <alignment vertical="center"/>
    </xf>
    <xf numFmtId="190" fontId="67" fillId="12" borderId="0" applyNumberFormat="0" applyBorder="0" applyAlignment="0" applyProtection="0">
      <alignment vertical="center"/>
    </xf>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6" fillId="14" borderId="0" applyNumberFormat="0" applyBorder="0" applyAlignment="0" applyProtection="0"/>
    <xf numFmtId="0" fontId="68" fillId="0" borderId="0"/>
    <xf numFmtId="0" fontId="69" fillId="0" borderId="0"/>
    <xf numFmtId="0" fontId="61" fillId="0" borderId="0"/>
    <xf numFmtId="0" fontId="64" fillId="0" borderId="0"/>
    <xf numFmtId="0" fontId="68" fillId="0" borderId="0"/>
    <xf numFmtId="0" fontId="68" fillId="0" borderId="0"/>
    <xf numFmtId="0" fontId="70" fillId="0" borderId="0"/>
    <xf numFmtId="0" fontId="64" fillId="0" borderId="0"/>
    <xf numFmtId="0" fontId="70" fillId="0" borderId="0"/>
    <xf numFmtId="190" fontId="60" fillId="0" borderId="0"/>
    <xf numFmtId="190" fontId="61" fillId="0" borderId="0"/>
    <xf numFmtId="190" fontId="60" fillId="0" borderId="0"/>
    <xf numFmtId="0" fontId="70" fillId="0" borderId="0"/>
    <xf numFmtId="190" fontId="60" fillId="0" borderId="0"/>
    <xf numFmtId="0" fontId="70" fillId="0" borderId="0"/>
    <xf numFmtId="190" fontId="60" fillId="0" borderId="0"/>
    <xf numFmtId="0" fontId="70" fillId="0" borderId="0"/>
    <xf numFmtId="190" fontId="60" fillId="0" borderId="0"/>
    <xf numFmtId="190" fontId="61" fillId="0" borderId="0"/>
    <xf numFmtId="190" fontId="60" fillId="0" borderId="0"/>
    <xf numFmtId="190" fontId="61" fillId="0" borderId="0"/>
    <xf numFmtId="190" fontId="60" fillId="0" borderId="0"/>
    <xf numFmtId="190" fontId="61" fillId="0" borderId="0"/>
    <xf numFmtId="190" fontId="60" fillId="0" borderId="0"/>
    <xf numFmtId="0" fontId="70" fillId="0" borderId="0"/>
    <xf numFmtId="0" fontId="64" fillId="0" borderId="0"/>
    <xf numFmtId="190" fontId="60" fillId="0" borderId="0"/>
    <xf numFmtId="190" fontId="61" fillId="0" borderId="0"/>
    <xf numFmtId="190" fontId="60" fillId="0" borderId="0"/>
    <xf numFmtId="0" fontId="70" fillId="0" borderId="0"/>
    <xf numFmtId="190" fontId="60" fillId="0" borderId="0"/>
    <xf numFmtId="0" fontId="70" fillId="0" borderId="0"/>
    <xf numFmtId="190" fontId="60" fillId="0" borderId="0"/>
    <xf numFmtId="0" fontId="70" fillId="0" borderId="0"/>
    <xf numFmtId="190" fontId="60" fillId="0" borderId="0"/>
    <xf numFmtId="190" fontId="61" fillId="0" borderId="0"/>
    <xf numFmtId="190" fontId="60" fillId="0" borderId="0"/>
    <xf numFmtId="190" fontId="61" fillId="0" borderId="0"/>
    <xf numFmtId="190" fontId="60" fillId="0" borderId="0"/>
    <xf numFmtId="190" fontId="61" fillId="0" borderId="0"/>
    <xf numFmtId="190" fontId="60" fillId="0" borderId="0"/>
    <xf numFmtId="0" fontId="70" fillId="0" borderId="0"/>
    <xf numFmtId="0" fontId="64" fillId="0" borderId="0"/>
    <xf numFmtId="0" fontId="61" fillId="0" borderId="0"/>
    <xf numFmtId="0" fontId="69" fillId="0" borderId="0"/>
    <xf numFmtId="0" fontId="71" fillId="0" borderId="0"/>
    <xf numFmtId="0" fontId="69" fillId="0" borderId="0"/>
    <xf numFmtId="0" fontId="71" fillId="0" borderId="0"/>
    <xf numFmtId="190" fontId="69" fillId="0" borderId="0"/>
    <xf numFmtId="190" fontId="71" fillId="0" borderId="0"/>
    <xf numFmtId="190" fontId="69" fillId="0" borderId="0"/>
    <xf numFmtId="190" fontId="71" fillId="0" borderId="0"/>
    <xf numFmtId="190" fontId="69" fillId="0" borderId="0"/>
    <xf numFmtId="190" fontId="71" fillId="0" borderId="0"/>
    <xf numFmtId="0" fontId="72" fillId="31" borderId="73" applyNumberFormat="0" applyAlignment="0" applyProtection="0">
      <alignment vertical="center"/>
    </xf>
    <xf numFmtId="0" fontId="72" fillId="31" borderId="73" applyNumberFormat="0" applyAlignment="0" applyProtection="0">
      <alignment vertical="center"/>
    </xf>
    <xf numFmtId="0" fontId="72" fillId="31" borderId="73" applyNumberFormat="0" applyAlignment="0" applyProtection="0">
      <alignment vertical="center"/>
    </xf>
    <xf numFmtId="0" fontId="72" fillId="31" borderId="73" applyNumberFormat="0" applyAlignment="0" applyProtection="0">
      <alignment vertical="center"/>
    </xf>
    <xf numFmtId="0" fontId="72" fillId="31" borderId="73" applyNumberFormat="0" applyAlignment="0" applyProtection="0">
      <alignment vertical="center"/>
    </xf>
    <xf numFmtId="0" fontId="72" fillId="31"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190" fontId="72" fillId="31" borderId="73" applyNumberFormat="0" applyAlignment="0" applyProtection="0">
      <alignment vertical="center"/>
    </xf>
    <xf numFmtId="0" fontId="72" fillId="31" borderId="73" applyNumberFormat="0" applyAlignment="0" applyProtection="0">
      <alignment vertical="center"/>
    </xf>
    <xf numFmtId="0" fontId="72" fillId="31" borderId="73" applyNumberFormat="0" applyAlignment="0" applyProtection="0">
      <alignment vertical="center"/>
    </xf>
    <xf numFmtId="0" fontId="74" fillId="0" borderId="0"/>
    <xf numFmtId="190" fontId="74" fillId="0" borderId="0"/>
    <xf numFmtId="0" fontId="75" fillId="32" borderId="74" applyNumberFormat="0" applyAlignment="0" applyProtection="0">
      <alignment vertical="center"/>
    </xf>
    <xf numFmtId="190" fontId="76" fillId="32" borderId="74" applyNumberFormat="0" applyAlignment="0" applyProtection="0">
      <alignment vertical="center"/>
    </xf>
    <xf numFmtId="4" fontId="77" fillId="0" borderId="0">
      <protection locked="0"/>
    </xf>
    <xf numFmtId="38" fontId="53" fillId="0" borderId="0" applyFont="0" applyFill="0" applyBorder="0" applyAlignment="0" applyProtection="0"/>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78"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41" fontId="56" fillId="0" borderId="0" applyFont="0" applyFill="0" applyBorder="0" applyAlignment="0" applyProtection="0">
      <alignment vertical="center"/>
    </xf>
    <xf numFmtId="38" fontId="53" fillId="0" borderId="0" applyFont="0" applyFill="0" applyBorder="0" applyAlignment="0" applyProtection="0"/>
    <xf numFmtId="0" fontId="7" fillId="0" borderId="0" applyFont="0" applyFill="0" applyBorder="0" applyAlignment="0" applyProtection="0"/>
    <xf numFmtId="183" fontId="49" fillId="0" borderId="0"/>
    <xf numFmtId="205" fontId="7" fillId="0" borderId="0" applyFont="0" applyFill="0" applyBorder="0" applyAlignment="0" applyProtection="0"/>
    <xf numFmtId="0" fontId="77" fillId="0" borderId="0">
      <protection locked="0"/>
    </xf>
    <xf numFmtId="206" fontId="77" fillId="0" borderId="0">
      <protection locked="0"/>
    </xf>
    <xf numFmtId="206" fontId="77" fillId="0" borderId="0">
      <protection locked="0"/>
    </xf>
    <xf numFmtId="206" fontId="77" fillId="0" borderId="0">
      <protection locked="0"/>
    </xf>
    <xf numFmtId="206" fontId="77" fillId="0" borderId="0">
      <protection locked="0"/>
    </xf>
    <xf numFmtId="206" fontId="77" fillId="0" borderId="0">
      <protection locked="0"/>
    </xf>
    <xf numFmtId="206" fontId="77" fillId="0" borderId="0">
      <protection locked="0"/>
    </xf>
    <xf numFmtId="206" fontId="77" fillId="0" borderId="0">
      <protection locked="0"/>
    </xf>
    <xf numFmtId="206" fontId="77" fillId="0" borderId="0">
      <protection locked="0"/>
    </xf>
    <xf numFmtId="206" fontId="77" fillId="0" borderId="0">
      <protection locked="0"/>
    </xf>
    <xf numFmtId="206" fontId="77" fillId="0" borderId="0">
      <protection locked="0"/>
    </xf>
    <xf numFmtId="0" fontId="77" fillId="0" borderId="0">
      <protection locked="0"/>
    </xf>
    <xf numFmtId="0" fontId="77" fillId="0" borderId="0">
      <protection locked="0"/>
    </xf>
    <xf numFmtId="206" fontId="77" fillId="0" borderId="0">
      <protection locked="0"/>
    </xf>
    <xf numFmtId="206" fontId="77" fillId="0" borderId="0">
      <protection locked="0"/>
    </xf>
    <xf numFmtId="206" fontId="77" fillId="0" borderId="0">
      <protection locked="0"/>
    </xf>
    <xf numFmtId="206" fontId="77" fillId="0" borderId="0">
      <protection locked="0"/>
    </xf>
    <xf numFmtId="206" fontId="77" fillId="0" borderId="0">
      <protection locked="0"/>
    </xf>
    <xf numFmtId="206" fontId="77" fillId="0" borderId="0">
      <protection locked="0"/>
    </xf>
    <xf numFmtId="0" fontId="77" fillId="0" borderId="0">
      <protection locked="0"/>
    </xf>
    <xf numFmtId="207" fontId="77" fillId="0" borderId="0">
      <protection locked="0"/>
    </xf>
    <xf numFmtId="0" fontId="63" fillId="0" borderId="0" applyFont="0" applyFill="0" applyBorder="0" applyAlignment="0" applyProtection="0"/>
    <xf numFmtId="0" fontId="63" fillId="0" borderId="0" applyFont="0" applyFill="0" applyBorder="0" applyAlignment="0" applyProtection="0"/>
    <xf numFmtId="190" fontId="63" fillId="0" borderId="0" applyFont="0" applyFill="0" applyBorder="0" applyAlignment="0" applyProtection="0"/>
    <xf numFmtId="190" fontId="63" fillId="0" borderId="0" applyFont="0" applyFill="0" applyBorder="0" applyAlignment="0" applyProtection="0"/>
    <xf numFmtId="0" fontId="53" fillId="0" borderId="0" applyFont="0" applyFill="0" applyBorder="0" applyAlignment="0" applyProtection="0"/>
    <xf numFmtId="190" fontId="53" fillId="0" borderId="0" applyFont="0" applyFill="0" applyBorder="0" applyAlignment="0" applyProtection="0"/>
    <xf numFmtId="0" fontId="7" fillId="0" borderId="0" applyFont="0" applyFill="0" applyBorder="0" applyAlignment="0" applyProtection="0"/>
    <xf numFmtId="208" fontId="77" fillId="0" borderId="0">
      <protection locked="0"/>
    </xf>
    <xf numFmtId="207" fontId="77" fillId="0" borderId="0">
      <protection locked="0"/>
    </xf>
    <xf numFmtId="207" fontId="77" fillId="0" borderId="0">
      <protection locked="0"/>
    </xf>
    <xf numFmtId="207" fontId="77" fillId="0" borderId="0">
      <protection locked="0"/>
    </xf>
    <xf numFmtId="207" fontId="77" fillId="0" borderId="0">
      <protection locked="0"/>
    </xf>
    <xf numFmtId="207" fontId="77" fillId="0" borderId="0">
      <protection locked="0"/>
    </xf>
    <xf numFmtId="207" fontId="77" fillId="0" borderId="0">
      <protection locked="0"/>
    </xf>
    <xf numFmtId="208" fontId="77" fillId="0" borderId="0">
      <protection locked="0"/>
    </xf>
    <xf numFmtId="207" fontId="77" fillId="0" borderId="0">
      <protection locked="0"/>
    </xf>
    <xf numFmtId="207" fontId="77" fillId="0" borderId="0">
      <protection locked="0"/>
    </xf>
    <xf numFmtId="207" fontId="77" fillId="0" borderId="0">
      <protection locked="0"/>
    </xf>
    <xf numFmtId="208" fontId="77" fillId="0" borderId="0">
      <protection locked="0"/>
    </xf>
    <xf numFmtId="208" fontId="77" fillId="0" borderId="0">
      <protection locked="0"/>
    </xf>
    <xf numFmtId="208" fontId="77" fillId="0" borderId="0">
      <protection locked="0"/>
    </xf>
    <xf numFmtId="208" fontId="77" fillId="0" borderId="0">
      <protection locked="0"/>
    </xf>
    <xf numFmtId="209" fontId="7" fillId="0" borderId="0" applyFont="0" applyFill="0" applyBorder="0" applyAlignment="0" applyProtection="0"/>
    <xf numFmtId="0" fontId="77" fillId="0" borderId="0">
      <protection locked="0"/>
    </xf>
    <xf numFmtId="210" fontId="77" fillId="0" borderId="0">
      <protection locked="0"/>
    </xf>
    <xf numFmtId="210" fontId="77" fillId="0" borderId="0">
      <protection locked="0"/>
    </xf>
    <xf numFmtId="211" fontId="77" fillId="0" borderId="0">
      <protection locked="0"/>
    </xf>
    <xf numFmtId="211" fontId="77" fillId="0" borderId="0">
      <protection locked="0"/>
    </xf>
    <xf numFmtId="211" fontId="77" fillId="0" borderId="0">
      <protection locked="0"/>
    </xf>
    <xf numFmtId="211" fontId="77" fillId="0" borderId="0">
      <protection locked="0"/>
    </xf>
    <xf numFmtId="211" fontId="77" fillId="0" borderId="0">
      <protection locked="0"/>
    </xf>
    <xf numFmtId="210" fontId="77" fillId="0" borderId="0">
      <protection locked="0"/>
    </xf>
    <xf numFmtId="210" fontId="77" fillId="0" borderId="0">
      <protection locked="0"/>
    </xf>
    <xf numFmtId="210" fontId="77" fillId="0" borderId="0">
      <protection locked="0"/>
    </xf>
    <xf numFmtId="0" fontId="77" fillId="0" borderId="0">
      <protection locked="0"/>
    </xf>
    <xf numFmtId="0" fontId="77" fillId="0" borderId="0">
      <protection locked="0"/>
    </xf>
    <xf numFmtId="210" fontId="77" fillId="0" borderId="0">
      <protection locked="0"/>
    </xf>
    <xf numFmtId="210" fontId="77" fillId="0" borderId="0">
      <protection locked="0"/>
    </xf>
    <xf numFmtId="210" fontId="77" fillId="0" borderId="0">
      <protection locked="0"/>
    </xf>
    <xf numFmtId="210" fontId="77" fillId="0" borderId="0">
      <protection locked="0"/>
    </xf>
    <xf numFmtId="210" fontId="77" fillId="0" borderId="0">
      <protection locked="0"/>
    </xf>
    <xf numFmtId="210" fontId="77" fillId="0" borderId="0">
      <protection locked="0"/>
    </xf>
    <xf numFmtId="210" fontId="77" fillId="0" borderId="0">
      <protection locked="0"/>
    </xf>
    <xf numFmtId="210" fontId="77" fillId="0" borderId="0">
      <protection locked="0"/>
    </xf>
    <xf numFmtId="210" fontId="77" fillId="0" borderId="0">
      <protection locked="0"/>
    </xf>
    <xf numFmtId="210" fontId="77" fillId="0" borderId="0">
      <protection locked="0"/>
    </xf>
    <xf numFmtId="0" fontId="77" fillId="0" borderId="0">
      <protection locked="0"/>
    </xf>
    <xf numFmtId="0" fontId="6" fillId="0" borderId="0"/>
    <xf numFmtId="190" fontId="6" fillId="0" borderId="0"/>
    <xf numFmtId="0" fontId="77" fillId="0" borderId="0">
      <protection locked="0"/>
    </xf>
    <xf numFmtId="190" fontId="20" fillId="0" borderId="0" applyFill="0" applyBorder="0" applyAlignment="0" applyProtection="0"/>
    <xf numFmtId="212" fontId="7" fillId="0" borderId="0" applyFont="0" applyFill="0" applyBorder="0" applyAlignment="0" applyProtection="0"/>
    <xf numFmtId="205" fontId="7" fillId="0" borderId="0" applyFont="0" applyFill="0" applyBorder="0" applyAlignment="0" applyProtection="0"/>
    <xf numFmtId="213" fontId="49" fillId="0" borderId="0"/>
    <xf numFmtId="214" fontId="7" fillId="0" borderId="0" applyFill="0" applyBorder="0" applyAlignment="0" applyProtection="0"/>
    <xf numFmtId="215" fontId="7" fillId="0" borderId="0" applyFill="0" applyBorder="0" applyAlignment="0" applyProtection="0"/>
    <xf numFmtId="214" fontId="7" fillId="0" borderId="0" applyFill="0" applyBorder="0" applyAlignment="0" applyProtection="0"/>
    <xf numFmtId="190" fontId="49" fillId="0" borderId="0" applyFont="0" applyFill="0" applyBorder="0" applyAlignment="0" applyProtection="0"/>
    <xf numFmtId="0" fontId="79" fillId="0" borderId="0" applyNumberFormat="0" applyFill="0" applyBorder="0" applyAlignment="0" applyProtection="0">
      <alignment vertical="center"/>
    </xf>
    <xf numFmtId="190" fontId="80" fillId="0" borderId="0" applyNumberFormat="0" applyFill="0" applyBorder="0" applyAlignment="0" applyProtection="0">
      <alignment vertical="center"/>
    </xf>
    <xf numFmtId="0" fontId="53" fillId="0" borderId="0" applyFont="0" applyFill="0" applyBorder="0" applyAlignment="0" applyProtection="0"/>
    <xf numFmtId="190" fontId="53" fillId="0" borderId="0" applyFont="0" applyFill="0" applyBorder="0" applyAlignment="0" applyProtection="0"/>
    <xf numFmtId="0" fontId="81" fillId="0" borderId="0" applyProtection="0"/>
    <xf numFmtId="190" fontId="77" fillId="0" borderId="0">
      <protection locked="0"/>
    </xf>
    <xf numFmtId="0" fontId="82" fillId="0" borderId="0" applyProtection="0"/>
    <xf numFmtId="190" fontId="77" fillId="0" borderId="0">
      <protection locked="0"/>
    </xf>
    <xf numFmtId="0" fontId="8" fillId="0" borderId="0" applyNumberFormat="0" applyFont="0" applyFill="0" applyBorder="0" applyAlignment="0" applyProtection="0"/>
    <xf numFmtId="190" fontId="83" fillId="0" borderId="0">
      <protection locked="0"/>
    </xf>
    <xf numFmtId="0" fontId="81" fillId="0" borderId="0" applyProtection="0"/>
    <xf numFmtId="190" fontId="77" fillId="0" borderId="0">
      <protection locked="0"/>
    </xf>
    <xf numFmtId="0" fontId="84" fillId="0" borderId="0" applyProtection="0"/>
    <xf numFmtId="190" fontId="77" fillId="0" borderId="0">
      <protection locked="0"/>
    </xf>
    <xf numFmtId="0" fontId="8" fillId="0" borderId="0" applyNumberFormat="0" applyFont="0" applyFill="0" applyBorder="0" applyAlignment="0" applyProtection="0"/>
    <xf numFmtId="190" fontId="77" fillId="0" borderId="0">
      <protection locked="0"/>
    </xf>
    <xf numFmtId="0" fontId="85" fillId="0" borderId="0" applyProtection="0"/>
    <xf numFmtId="190" fontId="83" fillId="0" borderId="0">
      <protection locked="0"/>
    </xf>
    <xf numFmtId="0" fontId="77" fillId="0" borderId="0">
      <protection locked="0"/>
    </xf>
    <xf numFmtId="216" fontId="77" fillId="0" borderId="0">
      <protection locked="0"/>
    </xf>
    <xf numFmtId="216" fontId="77" fillId="0" borderId="0">
      <protection locked="0"/>
    </xf>
    <xf numFmtId="216" fontId="77" fillId="0" borderId="0">
      <protection locked="0"/>
    </xf>
    <xf numFmtId="216" fontId="77" fillId="0" borderId="0">
      <protection locked="0"/>
    </xf>
    <xf numFmtId="216" fontId="77" fillId="0" borderId="0">
      <protection locked="0"/>
    </xf>
    <xf numFmtId="216" fontId="77" fillId="0" borderId="0">
      <protection locked="0"/>
    </xf>
    <xf numFmtId="216" fontId="77" fillId="0" borderId="0">
      <protection locked="0"/>
    </xf>
    <xf numFmtId="216" fontId="77" fillId="0" borderId="0">
      <protection locked="0"/>
    </xf>
    <xf numFmtId="216" fontId="77" fillId="0" borderId="0">
      <protection locked="0"/>
    </xf>
    <xf numFmtId="216" fontId="77" fillId="0" borderId="0">
      <protection locked="0"/>
    </xf>
    <xf numFmtId="0" fontId="77" fillId="0" borderId="0">
      <protection locked="0"/>
    </xf>
    <xf numFmtId="0" fontId="77" fillId="0" borderId="0">
      <protection locked="0"/>
    </xf>
    <xf numFmtId="216" fontId="77" fillId="0" borderId="0">
      <protection locked="0"/>
    </xf>
    <xf numFmtId="216" fontId="77" fillId="0" borderId="0">
      <protection locked="0"/>
    </xf>
    <xf numFmtId="216" fontId="77" fillId="0" borderId="0">
      <protection locked="0"/>
    </xf>
    <xf numFmtId="216" fontId="77" fillId="0" borderId="0">
      <protection locked="0"/>
    </xf>
    <xf numFmtId="216" fontId="77" fillId="0" borderId="0">
      <protection locked="0"/>
    </xf>
    <xf numFmtId="216" fontId="77" fillId="0" borderId="0">
      <protection locked="0"/>
    </xf>
    <xf numFmtId="0" fontId="77" fillId="0" borderId="0">
      <protection locked="0"/>
    </xf>
    <xf numFmtId="0" fontId="51" fillId="0" borderId="27" applyNumberFormat="0" applyBorder="0" applyAlignment="0" applyProtection="0">
      <protection locked="0"/>
    </xf>
    <xf numFmtId="0" fontId="86" fillId="13" borderId="0" applyNumberFormat="0" applyBorder="0" applyAlignment="0" applyProtection="0">
      <alignment vertical="center"/>
    </xf>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5" borderId="0" applyNumberFormat="0" applyBorder="0" applyAlignment="0" applyProtection="0"/>
    <xf numFmtId="190" fontId="88" fillId="13" borderId="0" applyNumberFormat="0" applyBorder="0" applyAlignment="0" applyProtection="0">
      <alignment vertical="center"/>
    </xf>
    <xf numFmtId="190" fontId="88" fillId="13" borderId="0" applyNumberFormat="0" applyBorder="0" applyAlignment="0" applyProtection="0">
      <alignment vertical="center"/>
    </xf>
    <xf numFmtId="190" fontId="88" fillId="13" borderId="0" applyNumberFormat="0" applyBorder="0" applyAlignment="0" applyProtection="0">
      <alignment vertical="center"/>
    </xf>
    <xf numFmtId="190" fontId="88" fillId="13" borderId="0" applyNumberFormat="0" applyBorder="0" applyAlignment="0" applyProtection="0">
      <alignment vertical="center"/>
    </xf>
    <xf numFmtId="190" fontId="88" fillId="13" borderId="0" applyNumberFormat="0" applyBorder="0" applyAlignment="0" applyProtection="0">
      <alignment vertical="center"/>
    </xf>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0" fontId="87" fillId="15" borderId="0" applyNumberFormat="0" applyBorder="0" applyAlignment="0" applyProtection="0"/>
    <xf numFmtId="38" fontId="8" fillId="33" borderId="0" applyNumberFormat="0" applyBorder="0" applyAlignment="0" applyProtection="0"/>
    <xf numFmtId="38" fontId="8" fillId="34" borderId="0" applyNumberFormat="0" applyBorder="0" applyAlignment="0" applyProtection="0"/>
    <xf numFmtId="38" fontId="8" fillId="34" borderId="0" applyNumberFormat="0" applyBorder="0" applyAlignment="0" applyProtection="0"/>
    <xf numFmtId="38" fontId="8" fillId="34" borderId="0" applyNumberFormat="0" applyBorder="0" applyAlignment="0" applyProtection="0"/>
    <xf numFmtId="38" fontId="8" fillId="34" borderId="0" applyNumberFormat="0" applyBorder="0" applyAlignment="0" applyProtection="0"/>
    <xf numFmtId="38" fontId="8" fillId="34" borderId="0" applyNumberFormat="0" applyBorder="0" applyAlignment="0" applyProtection="0"/>
    <xf numFmtId="0" fontId="89" fillId="0" borderId="0">
      <alignment horizontal="left"/>
    </xf>
    <xf numFmtId="190" fontId="89" fillId="0" borderId="0">
      <alignment horizontal="left"/>
    </xf>
    <xf numFmtId="0" fontId="90" fillId="0" borderId="52" applyNumberFormat="0" applyAlignment="0" applyProtection="0">
      <alignment horizontal="left" vertical="center"/>
    </xf>
    <xf numFmtId="0" fontId="53" fillId="0" borderId="0"/>
    <xf numFmtId="190" fontId="90" fillId="0" borderId="52" applyNumberFormat="0" applyAlignment="0" applyProtection="0">
      <alignment horizontal="left" vertical="center"/>
    </xf>
    <xf numFmtId="190" fontId="90" fillId="0" borderId="52" applyNumberFormat="0" applyAlignment="0" applyProtection="0">
      <alignment horizontal="left" vertical="center"/>
    </xf>
    <xf numFmtId="190" fontId="90" fillId="0" borderId="52" applyNumberFormat="0" applyAlignment="0" applyProtection="0">
      <alignment horizontal="left" vertical="center"/>
    </xf>
    <xf numFmtId="190" fontId="90" fillId="0" borderId="52" applyNumberFormat="0" applyAlignment="0" applyProtection="0">
      <alignment horizontal="left" vertical="center"/>
    </xf>
    <xf numFmtId="190" fontId="90" fillId="0" borderId="52" applyNumberFormat="0" applyAlignment="0" applyProtection="0">
      <alignment horizontal="left" vertical="center"/>
    </xf>
    <xf numFmtId="0" fontId="53" fillId="0" borderId="0"/>
    <xf numFmtId="0" fontId="53" fillId="0" borderId="0"/>
    <xf numFmtId="0" fontId="53" fillId="0" borderId="0"/>
    <xf numFmtId="0" fontId="53" fillId="0" borderId="0"/>
    <xf numFmtId="0" fontId="90" fillId="0" borderId="19">
      <alignment horizontal="left" vertical="center"/>
    </xf>
    <xf numFmtId="0" fontId="53" fillId="0" borderId="0"/>
    <xf numFmtId="0" fontId="90" fillId="0" borderId="19">
      <alignment horizontal="left" vertical="center"/>
    </xf>
    <xf numFmtId="190" fontId="90" fillId="0" borderId="19">
      <alignment horizontal="left" vertical="center"/>
    </xf>
    <xf numFmtId="190" fontId="90" fillId="0" borderId="19">
      <alignment horizontal="left" vertical="center"/>
    </xf>
    <xf numFmtId="190" fontId="90" fillId="0" borderId="19">
      <alignment horizontal="left" vertical="center"/>
    </xf>
    <xf numFmtId="190" fontId="90" fillId="0" borderId="19">
      <alignment horizontal="left" vertical="center"/>
    </xf>
    <xf numFmtId="190" fontId="90" fillId="0" borderId="19">
      <alignment horizontal="left" vertical="center"/>
    </xf>
    <xf numFmtId="190" fontId="90" fillId="0" borderId="19">
      <alignment horizontal="left" vertical="center"/>
    </xf>
    <xf numFmtId="190" fontId="90" fillId="0" borderId="19">
      <alignment horizontal="left" vertical="center"/>
    </xf>
    <xf numFmtId="190" fontId="90" fillId="0" borderId="19">
      <alignment horizontal="left" vertical="center"/>
    </xf>
    <xf numFmtId="190" fontId="90" fillId="0" borderId="19">
      <alignment horizontal="left" vertical="center"/>
    </xf>
    <xf numFmtId="190" fontId="90" fillId="0" borderId="19">
      <alignment horizontal="left" vertical="center"/>
    </xf>
    <xf numFmtId="190" fontId="90" fillId="0" borderId="19">
      <alignment horizontal="left" vertical="center"/>
    </xf>
    <xf numFmtId="190" fontId="90" fillId="0" borderId="19">
      <alignment horizontal="left" vertical="center"/>
    </xf>
    <xf numFmtId="0" fontId="90" fillId="0" borderId="19">
      <alignment horizontal="left" vertical="center"/>
    </xf>
    <xf numFmtId="0" fontId="90" fillId="0" borderId="19">
      <alignment horizontal="left" vertical="center"/>
    </xf>
    <xf numFmtId="0" fontId="90" fillId="0" borderId="19">
      <alignment horizontal="left" vertical="center"/>
    </xf>
    <xf numFmtId="0" fontId="90" fillId="0" borderId="19">
      <alignment horizontal="left" vertical="center"/>
    </xf>
    <xf numFmtId="0" fontId="53" fillId="0" borderId="0"/>
    <xf numFmtId="0" fontId="90" fillId="0" borderId="19">
      <alignment horizontal="left" vertical="center"/>
    </xf>
    <xf numFmtId="0" fontId="53" fillId="0" borderId="0"/>
    <xf numFmtId="0" fontId="53" fillId="0" borderId="0"/>
    <xf numFmtId="0" fontId="53" fillId="0" borderId="0"/>
    <xf numFmtId="0" fontId="90" fillId="0" borderId="19">
      <alignment horizontal="left" vertical="center"/>
    </xf>
    <xf numFmtId="0" fontId="90" fillId="0" borderId="0"/>
    <xf numFmtId="190" fontId="90" fillId="0" borderId="0"/>
    <xf numFmtId="0" fontId="91" fillId="0" borderId="16">
      <alignment horizontal="center"/>
    </xf>
    <xf numFmtId="0" fontId="92" fillId="0" borderId="0">
      <protection locked="0"/>
    </xf>
    <xf numFmtId="0" fontId="77" fillId="0" borderId="0">
      <protection locked="0"/>
    </xf>
    <xf numFmtId="0" fontId="77" fillId="0" borderId="0">
      <protection locked="0"/>
    </xf>
    <xf numFmtId="0" fontId="77" fillId="0" borderId="0">
      <protection locked="0"/>
    </xf>
    <xf numFmtId="190" fontId="93" fillId="0" borderId="75" applyNumberFormat="0" applyFill="0" applyAlignment="0" applyProtection="0">
      <alignment vertical="center"/>
    </xf>
    <xf numFmtId="0" fontId="77" fillId="0" borderId="0">
      <protection locked="0"/>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0" fontId="77" fillId="0" borderId="0">
      <protection locked="0"/>
    </xf>
    <xf numFmtId="0" fontId="92" fillId="0" borderId="0">
      <protection locked="0"/>
    </xf>
    <xf numFmtId="0" fontId="92" fillId="0" borderId="0">
      <protection locked="0"/>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92" fillId="0" borderId="0">
      <protection locked="0"/>
    </xf>
    <xf numFmtId="0" fontId="92" fillId="0" borderId="0">
      <protection locked="0"/>
    </xf>
    <xf numFmtId="0" fontId="77" fillId="0" borderId="0">
      <protection locked="0"/>
    </xf>
    <xf numFmtId="0" fontId="77" fillId="0" borderId="0">
      <protection locked="0"/>
    </xf>
    <xf numFmtId="0" fontId="77" fillId="0" borderId="0">
      <protection locked="0"/>
    </xf>
    <xf numFmtId="190" fontId="94" fillId="0" borderId="76" applyNumberFormat="0" applyFill="0" applyAlignment="0" applyProtection="0">
      <alignment vertical="center"/>
    </xf>
    <xf numFmtId="0" fontId="77" fillId="0" borderId="0">
      <protection locked="0"/>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0" fontId="77" fillId="0" borderId="0">
      <protection locked="0"/>
    </xf>
    <xf numFmtId="0" fontId="92" fillId="0" borderId="0">
      <protection locked="0"/>
    </xf>
    <xf numFmtId="0" fontId="92" fillId="0" borderId="0">
      <protection locked="0"/>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92" fillId="0" borderId="0">
      <protection locked="0"/>
    </xf>
    <xf numFmtId="0" fontId="95" fillId="0" borderId="77" applyNumberFormat="0" applyFill="0" applyAlignment="0" applyProtection="0">
      <alignment vertical="center"/>
    </xf>
    <xf numFmtId="190" fontId="96" fillId="0" borderId="77" applyNumberFormat="0" applyFill="0" applyAlignment="0" applyProtection="0">
      <alignment vertical="center"/>
    </xf>
    <xf numFmtId="190" fontId="96" fillId="0" borderId="77" applyNumberFormat="0" applyFill="0" applyAlignment="0" applyProtection="0">
      <alignment vertical="center"/>
    </xf>
    <xf numFmtId="190" fontId="96" fillId="0" borderId="77" applyNumberFormat="0" applyFill="0" applyAlignment="0" applyProtection="0">
      <alignment vertical="center"/>
    </xf>
    <xf numFmtId="190" fontId="96" fillId="0" borderId="77" applyNumberFormat="0" applyFill="0" applyAlignment="0" applyProtection="0">
      <alignment vertical="center"/>
    </xf>
    <xf numFmtId="190" fontId="96" fillId="0" borderId="77" applyNumberFormat="0" applyFill="0" applyAlignment="0" applyProtection="0">
      <alignment vertical="center"/>
    </xf>
    <xf numFmtId="0" fontId="95" fillId="0" borderId="77" applyNumberFormat="0" applyFill="0" applyAlignment="0" applyProtection="0">
      <alignment vertical="center"/>
    </xf>
    <xf numFmtId="0" fontId="95" fillId="0" borderId="77" applyNumberFormat="0" applyFill="0" applyAlignment="0" applyProtection="0">
      <alignment vertical="center"/>
    </xf>
    <xf numFmtId="0" fontId="95" fillId="0" borderId="77" applyNumberFormat="0" applyFill="0" applyAlignment="0" applyProtection="0">
      <alignment vertical="center"/>
    </xf>
    <xf numFmtId="0" fontId="95" fillId="0" borderId="77" applyNumberFormat="0" applyFill="0" applyAlignment="0" applyProtection="0">
      <alignment vertical="center"/>
    </xf>
    <xf numFmtId="0" fontId="95" fillId="0" borderId="0" applyNumberFormat="0" applyFill="0" applyBorder="0" applyAlignment="0" applyProtection="0">
      <alignment vertical="center"/>
    </xf>
    <xf numFmtId="190" fontId="96" fillId="0" borderId="0" applyNumberFormat="0" applyFill="0" applyBorder="0" applyAlignment="0" applyProtection="0">
      <alignment vertical="center"/>
    </xf>
    <xf numFmtId="190" fontId="91" fillId="0" borderId="16">
      <alignment horizontal="center"/>
    </xf>
    <xf numFmtId="190" fontId="91" fillId="0" borderId="16">
      <alignment horizontal="center"/>
    </xf>
    <xf numFmtId="190" fontId="91" fillId="0" borderId="16">
      <alignment horizontal="center"/>
    </xf>
    <xf numFmtId="217" fontId="92" fillId="0" borderId="0">
      <protection locked="0"/>
    </xf>
    <xf numFmtId="0" fontId="45" fillId="0" borderId="0" applyNumberFormat="0" applyFill="0" applyBorder="0" applyAlignment="0" applyProtection="0"/>
    <xf numFmtId="190" fontId="45" fillId="0" borderId="0" applyNumberFormat="0" applyFill="0" applyBorder="0" applyAlignment="0" applyProtection="0"/>
    <xf numFmtId="190" fontId="45" fillId="0" borderId="0" applyNumberFormat="0" applyFill="0" applyBorder="0" applyAlignment="0" applyProtection="0"/>
    <xf numFmtId="190" fontId="45" fillId="0" borderId="0" applyNumberFormat="0" applyFill="0" applyBorder="0" applyAlignment="0" applyProtection="0"/>
    <xf numFmtId="190" fontId="45" fillId="0" borderId="0" applyNumberFormat="0" applyFill="0" applyBorder="0" applyAlignment="0" applyProtection="0"/>
    <xf numFmtId="19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217" fontId="92" fillId="0" borderId="0">
      <protection locked="0"/>
    </xf>
    <xf numFmtId="0" fontId="90" fillId="0" borderId="0" applyNumberFormat="0" applyFill="0" applyBorder="0" applyAlignment="0" applyProtection="0"/>
    <xf numFmtId="190" fontId="90" fillId="0" borderId="0" applyNumberFormat="0" applyFill="0" applyBorder="0" applyAlignment="0" applyProtection="0"/>
    <xf numFmtId="190" fontId="90" fillId="0" borderId="0" applyNumberFormat="0" applyFill="0" applyBorder="0" applyAlignment="0" applyProtection="0"/>
    <xf numFmtId="190" fontId="90" fillId="0" borderId="0" applyNumberFormat="0" applyFill="0" applyBorder="0" applyAlignment="0" applyProtection="0"/>
    <xf numFmtId="190" fontId="90" fillId="0" borderId="0" applyNumberFormat="0" applyFill="0" applyBorder="0" applyAlignment="0" applyProtection="0"/>
    <xf numFmtId="19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7" fillId="0" borderId="0" applyNumberFormat="0" applyFill="0" applyBorder="0" applyAlignment="0" applyProtection="0"/>
    <xf numFmtId="0" fontId="7" fillId="35" borderId="6" applyNumberFormat="0" applyFont="0" applyAlignment="0">
      <protection locked="0"/>
    </xf>
    <xf numFmtId="10" fontId="8" fillId="36"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0" fontId="8" fillId="34" borderId="6" applyNumberFormat="0" applyBorder="0" applyAlignment="0" applyProtection="0"/>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0" fontId="98" fillId="16" borderId="73" applyNumberFormat="0" applyAlignment="0" applyProtection="0">
      <alignment vertical="center"/>
    </xf>
    <xf numFmtId="190" fontId="99" fillId="16" borderId="73" applyNumberFormat="0" applyAlignment="0" applyProtection="0">
      <alignment vertical="center"/>
    </xf>
    <xf numFmtId="0" fontId="98"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8" fillId="16" borderId="73" applyNumberFormat="0" applyAlignment="0" applyProtection="0">
      <alignment vertical="center"/>
    </xf>
    <xf numFmtId="190" fontId="99"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9" fillId="16" borderId="73" applyNumberFormat="0" applyAlignment="0" applyProtection="0">
      <alignment vertical="center"/>
    </xf>
    <xf numFmtId="190" fontId="98" fillId="16" borderId="73" applyNumberFormat="0" applyAlignment="0" applyProtection="0">
      <alignment vertical="center"/>
    </xf>
    <xf numFmtId="190" fontId="99"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9" fillId="16" borderId="73" applyNumberFormat="0" applyAlignment="0" applyProtection="0">
      <alignment vertical="center"/>
    </xf>
    <xf numFmtId="0" fontId="98" fillId="16" borderId="73" applyNumberFormat="0" applyAlignment="0" applyProtection="0">
      <alignment vertical="center"/>
    </xf>
    <xf numFmtId="190" fontId="99" fillId="16" borderId="73" applyNumberFormat="0" applyAlignment="0" applyProtection="0">
      <alignment vertical="center"/>
    </xf>
    <xf numFmtId="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0" fontId="98" fillId="16" borderId="73" applyNumberFormat="0" applyAlignment="0" applyProtection="0">
      <alignment vertical="center"/>
    </xf>
    <xf numFmtId="0" fontId="7" fillId="35" borderId="6" applyNumberFormat="0" applyFont="0" applyAlignment="0">
      <protection locked="0"/>
    </xf>
    <xf numFmtId="0" fontId="98" fillId="16" borderId="73" applyNumberFormat="0" applyAlignment="0" applyProtection="0">
      <alignment vertical="center"/>
    </xf>
    <xf numFmtId="0" fontId="98" fillId="16" borderId="73" applyNumberFormat="0" applyAlignment="0" applyProtection="0">
      <alignment vertical="center"/>
    </xf>
    <xf numFmtId="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190" fontId="98" fillId="16" borderId="73" applyNumberFormat="0" applyAlignment="0" applyProtection="0">
      <alignment vertical="center"/>
    </xf>
    <xf numFmtId="0" fontId="99" fillId="22" borderId="73" applyNumberFormat="0" applyAlignment="0" applyProtection="0">
      <alignment vertical="center"/>
    </xf>
    <xf numFmtId="0" fontId="100" fillId="0" borderId="78" applyNumberFormat="0" applyFill="0" applyAlignment="0" applyProtection="0">
      <alignment vertical="center"/>
    </xf>
    <xf numFmtId="190" fontId="101" fillId="0" borderId="78" applyNumberFormat="0" applyFill="0" applyAlignment="0" applyProtection="0">
      <alignment vertical="center"/>
    </xf>
    <xf numFmtId="190" fontId="101" fillId="0" borderId="78" applyNumberFormat="0" applyFill="0" applyAlignment="0" applyProtection="0">
      <alignment vertical="center"/>
    </xf>
    <xf numFmtId="190" fontId="101" fillId="0" borderId="78" applyNumberFormat="0" applyFill="0" applyAlignment="0" applyProtection="0">
      <alignment vertical="center"/>
    </xf>
    <xf numFmtId="190" fontId="101" fillId="0" borderId="78" applyNumberFormat="0" applyFill="0" applyAlignment="0" applyProtection="0">
      <alignment vertical="center"/>
    </xf>
    <xf numFmtId="190" fontId="101" fillId="0" borderId="78" applyNumberFormat="0" applyFill="0" applyAlignment="0" applyProtection="0">
      <alignment vertical="center"/>
    </xf>
    <xf numFmtId="0" fontId="100" fillId="0" borderId="78" applyNumberFormat="0" applyFill="0" applyAlignment="0" applyProtection="0">
      <alignment vertical="center"/>
    </xf>
    <xf numFmtId="0" fontId="100" fillId="0" borderId="78" applyNumberFormat="0" applyFill="0" applyAlignment="0" applyProtection="0">
      <alignment vertical="center"/>
    </xf>
    <xf numFmtId="0" fontId="100" fillId="0" borderId="78" applyNumberFormat="0" applyFill="0" applyAlignment="0" applyProtection="0">
      <alignment vertical="center"/>
    </xf>
    <xf numFmtId="0" fontId="100" fillId="0" borderId="78" applyNumberFormat="0" applyFill="0" applyAlignment="0" applyProtection="0">
      <alignment vertical="center"/>
    </xf>
    <xf numFmtId="218" fontId="102" fillId="0" borderId="0"/>
    <xf numFmtId="218" fontId="102" fillId="0" borderId="0"/>
    <xf numFmtId="218" fontId="102" fillId="0" borderId="0"/>
    <xf numFmtId="218" fontId="102" fillId="0" borderId="0"/>
    <xf numFmtId="218" fontId="102" fillId="0" borderId="0"/>
    <xf numFmtId="0" fontId="103" fillId="0" borderId="0" applyNumberFormat="0" applyFont="0" applyFill="0" applyBorder="0" applyAlignment="0" applyProtection="0">
      <alignment vertical="center"/>
    </xf>
    <xf numFmtId="0" fontId="103" fillId="0" borderId="0" applyNumberFormat="0" applyFont="0" applyFill="0" applyBorder="0" applyAlignment="0" applyProtection="0">
      <alignment vertical="center"/>
    </xf>
    <xf numFmtId="41" fontId="7" fillId="0" borderId="0" applyFont="0" applyFill="0" applyBorder="0" applyAlignment="0" applyProtection="0"/>
    <xf numFmtId="43" fontId="7" fillId="0" borderId="0" applyFont="0" applyFill="0" applyBorder="0" applyAlignment="0" applyProtection="0"/>
    <xf numFmtId="0" fontId="104" fillId="0" borderId="35"/>
    <xf numFmtId="190" fontId="104" fillId="0" borderId="35"/>
    <xf numFmtId="190" fontId="104" fillId="0" borderId="35"/>
    <xf numFmtId="190" fontId="104" fillId="0" borderId="35"/>
    <xf numFmtId="190" fontId="104" fillId="0" borderId="35"/>
    <xf numFmtId="190" fontId="104" fillId="0" borderId="35"/>
    <xf numFmtId="190" fontId="104" fillId="0" borderId="35"/>
    <xf numFmtId="0" fontId="104" fillId="0" borderId="35"/>
    <xf numFmtId="0" fontId="104" fillId="0" borderId="35"/>
    <xf numFmtId="0" fontId="104" fillId="0" borderId="35"/>
    <xf numFmtId="0" fontId="104" fillId="0" borderId="35"/>
    <xf numFmtId="0" fontId="104" fillId="0" borderId="35"/>
    <xf numFmtId="219" fontId="7" fillId="0" borderId="0" applyFont="0" applyFill="0" applyBorder="0" applyAlignment="0" applyProtection="0"/>
    <xf numFmtId="22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105" fillId="22" borderId="0" applyNumberFormat="0" applyBorder="0" applyAlignment="0" applyProtection="0">
      <alignment vertical="center"/>
    </xf>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7" fillId="7" borderId="0" applyNumberFormat="0" applyBorder="0" applyAlignment="0" applyProtection="0"/>
    <xf numFmtId="190" fontId="108" fillId="22" borderId="0" applyNumberFormat="0" applyBorder="0" applyAlignment="0" applyProtection="0">
      <alignment vertical="center"/>
    </xf>
    <xf numFmtId="190" fontId="108" fillId="22" borderId="0" applyNumberFormat="0" applyBorder="0" applyAlignment="0" applyProtection="0">
      <alignment vertical="center"/>
    </xf>
    <xf numFmtId="190" fontId="108" fillId="22" borderId="0" applyNumberFormat="0" applyBorder="0" applyAlignment="0" applyProtection="0">
      <alignment vertical="center"/>
    </xf>
    <xf numFmtId="190" fontId="108" fillId="22" borderId="0" applyNumberFormat="0" applyBorder="0" applyAlignment="0" applyProtection="0">
      <alignment vertical="center"/>
    </xf>
    <xf numFmtId="190" fontId="108" fillId="22" borderId="0" applyNumberFormat="0" applyBorder="0" applyAlignment="0" applyProtection="0">
      <alignment vertical="center"/>
    </xf>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6" fillId="7" borderId="0" applyNumberFormat="0" applyBorder="0" applyAlignment="0" applyProtection="0"/>
    <xf numFmtId="0" fontId="105" fillId="22" borderId="0" applyNumberFormat="0" applyBorder="0" applyAlignment="0" applyProtection="0">
      <alignment vertical="center"/>
    </xf>
    <xf numFmtId="0" fontId="105" fillId="22" borderId="0" applyNumberFormat="0" applyBorder="0" applyAlignment="0" applyProtection="0">
      <alignment vertical="center"/>
    </xf>
    <xf numFmtId="0" fontId="105" fillId="22" borderId="0" applyNumberFormat="0" applyBorder="0" applyAlignment="0" applyProtection="0">
      <alignment vertical="center"/>
    </xf>
    <xf numFmtId="0" fontId="105" fillId="22" borderId="0" applyNumberFormat="0" applyBorder="0" applyAlignment="0" applyProtection="0">
      <alignment vertical="center"/>
    </xf>
    <xf numFmtId="37" fontId="109" fillId="0" borderId="0"/>
    <xf numFmtId="37" fontId="109" fillId="0" borderId="0"/>
    <xf numFmtId="37" fontId="109" fillId="0" borderId="0"/>
    <xf numFmtId="37" fontId="109" fillId="0" borderId="0"/>
    <xf numFmtId="37" fontId="109" fillId="0" borderId="0"/>
    <xf numFmtId="221" fontId="49" fillId="0" borderId="0"/>
    <xf numFmtId="222" fontId="110" fillId="0" borderId="0"/>
    <xf numFmtId="222" fontId="110" fillId="0" borderId="0"/>
    <xf numFmtId="223" fontId="49" fillId="0" borderId="0"/>
    <xf numFmtId="223" fontId="49" fillId="0" borderId="0"/>
    <xf numFmtId="223" fontId="49" fillId="0" borderId="0"/>
    <xf numFmtId="223" fontId="49" fillId="0" borderId="0"/>
    <xf numFmtId="223" fontId="49" fillId="0" borderId="0"/>
    <xf numFmtId="0" fontId="7" fillId="0" borderId="0"/>
    <xf numFmtId="0" fontId="78" fillId="0" borderId="0">
      <alignment vertical="center"/>
    </xf>
    <xf numFmtId="190" fontId="7" fillId="0" borderId="0"/>
    <xf numFmtId="190" fontId="7" fillId="0" borderId="0"/>
    <xf numFmtId="190" fontId="7" fillId="0" borderId="0"/>
    <xf numFmtId="190" fontId="7" fillId="0" borderId="0"/>
    <xf numFmtId="19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03" fillId="0" borderId="0" applyNumberFormat="0" applyFont="0" applyFill="0" applyBorder="0" applyAlignment="0" applyProtection="0">
      <alignment vertical="center"/>
    </xf>
    <xf numFmtId="0" fontId="55" fillId="19" borderId="79" applyNumberFormat="0" applyFont="0" applyAlignment="0" applyProtection="0">
      <alignment vertical="center"/>
    </xf>
    <xf numFmtId="0" fontId="55" fillId="19" borderId="79" applyNumberFormat="0" applyFont="0" applyAlignment="0" applyProtection="0">
      <alignment vertical="center"/>
    </xf>
    <xf numFmtId="0" fontId="55" fillId="19" borderId="79" applyNumberFormat="0" applyFont="0" applyAlignment="0" applyProtection="0">
      <alignment vertical="center"/>
    </xf>
    <xf numFmtId="0" fontId="55"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190" fontId="55" fillId="19" borderId="79" applyNumberFormat="0" applyFont="0" applyAlignment="0" applyProtection="0">
      <alignment vertical="center"/>
    </xf>
    <xf numFmtId="0" fontId="55" fillId="19" borderId="79" applyNumberFormat="0" applyFont="0" applyAlignment="0" applyProtection="0">
      <alignment vertical="center"/>
    </xf>
    <xf numFmtId="0" fontId="55" fillId="19" borderId="79" applyNumberFormat="0" applyFont="0" applyAlignment="0" applyProtection="0">
      <alignment vertical="center"/>
    </xf>
    <xf numFmtId="0" fontId="55" fillId="19" borderId="79" applyNumberFormat="0" applyFont="0" applyAlignment="0" applyProtection="0">
      <alignment vertical="center"/>
    </xf>
    <xf numFmtId="0" fontId="55" fillId="19" borderId="79" applyNumberFormat="0" applyFont="0" applyAlignment="0" applyProtection="0">
      <alignment vertical="center"/>
    </xf>
    <xf numFmtId="0" fontId="7" fillId="0" borderId="0" applyFont="0">
      <alignment horizontal="left" vertical="top" wrapText="1"/>
      <protection locked="0"/>
    </xf>
    <xf numFmtId="0" fontId="7" fillId="0" borderId="0" applyFont="0">
      <alignment horizontal="left" vertical="top" wrapText="1"/>
      <protection locked="0"/>
    </xf>
    <xf numFmtId="0" fontId="7" fillId="0" borderId="0" applyFont="0">
      <alignment horizontal="left" vertical="top" wrapText="1"/>
      <protection locked="0"/>
    </xf>
    <xf numFmtId="0" fontId="7" fillId="0" borderId="0" applyFont="0">
      <alignment horizontal="left" vertical="top" wrapText="1"/>
      <protection locked="0"/>
    </xf>
    <xf numFmtId="0" fontId="111" fillId="31" borderId="80" applyNumberFormat="0" applyAlignment="0" applyProtection="0">
      <alignment vertical="center"/>
    </xf>
    <xf numFmtId="0" fontId="111" fillId="31" borderId="80" applyNumberFormat="0" applyAlignment="0" applyProtection="0">
      <alignment vertical="center"/>
    </xf>
    <xf numFmtId="0" fontId="111" fillId="31" borderId="80" applyNumberFormat="0" applyAlignment="0" applyProtection="0">
      <alignment vertical="center"/>
    </xf>
    <xf numFmtId="0" fontId="111" fillId="31"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190" fontId="111" fillId="31" borderId="80" applyNumberFormat="0" applyAlignment="0" applyProtection="0">
      <alignment vertical="center"/>
    </xf>
    <xf numFmtId="0" fontId="111" fillId="31" borderId="80" applyNumberFormat="0" applyAlignment="0" applyProtection="0">
      <alignment vertical="center"/>
    </xf>
    <xf numFmtId="0" fontId="111" fillId="31" borderId="80" applyNumberFormat="0" applyAlignment="0" applyProtection="0">
      <alignment vertical="center"/>
    </xf>
    <xf numFmtId="0" fontId="111" fillId="31" borderId="80" applyNumberFormat="0" applyAlignment="0" applyProtection="0">
      <alignment vertical="center"/>
    </xf>
    <xf numFmtId="0" fontId="111" fillId="31" borderId="80" applyNumberFormat="0" applyAlignment="0" applyProtection="0">
      <alignment vertical="center"/>
    </xf>
    <xf numFmtId="224" fontId="77" fillId="0" borderId="0">
      <protection locked="0"/>
    </xf>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9" fontId="7" fillId="0" borderId="0" applyFont="0" applyFill="0" applyBorder="0" applyAlignment="0" applyProtection="0"/>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78"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0" fontId="103" fillId="0" borderId="0" applyNumberFormat="0" applyFont="0" applyFill="0" applyBorder="0" applyAlignment="0" applyProtection="0">
      <alignment vertical="center"/>
    </xf>
    <xf numFmtId="0" fontId="103" fillId="0" borderId="0" applyNumberFormat="0" applyFont="0" applyFill="0" applyBorder="0" applyAlignment="0" applyProtection="0">
      <alignment vertical="center"/>
    </xf>
    <xf numFmtId="0" fontId="103" fillId="0" borderId="0" applyNumberFormat="0" applyFont="0" applyFill="0" applyBorder="0" applyAlignment="0" applyProtection="0">
      <alignment vertical="center"/>
    </xf>
    <xf numFmtId="224" fontId="77" fillId="0" borderId="0">
      <protection locked="0"/>
    </xf>
    <xf numFmtId="224" fontId="77" fillId="0" borderId="0">
      <protection locked="0"/>
    </xf>
    <xf numFmtId="224" fontId="77" fillId="0" borderId="0">
      <protection locked="0"/>
    </xf>
    <xf numFmtId="224" fontId="77" fillId="0" borderId="0">
      <protection locked="0"/>
    </xf>
    <xf numFmtId="9" fontId="49" fillId="0" borderId="0" applyFont="0" applyFill="0" applyBorder="0" applyAlignment="0" applyProtection="0">
      <alignment vertical="center"/>
    </xf>
    <xf numFmtId="0" fontId="113" fillId="33" borderId="81" applyFill="0" applyAlignment="0"/>
    <xf numFmtId="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190" fontId="113" fillId="33" borderId="81" applyFill="0" applyAlignment="0"/>
    <xf numFmtId="0" fontId="113" fillId="33" borderId="81" applyFill="0" applyAlignment="0"/>
    <xf numFmtId="0" fontId="113" fillId="33" borderId="81" applyFill="0" applyAlignment="0"/>
    <xf numFmtId="0" fontId="113" fillId="33" borderId="81" applyFill="0" applyAlignment="0"/>
    <xf numFmtId="0" fontId="113" fillId="33" borderId="81" applyFill="0" applyAlignment="0"/>
    <xf numFmtId="0" fontId="113" fillId="33" borderId="81" applyFill="0" applyAlignment="0"/>
    <xf numFmtId="2" fontId="7" fillId="0" borderId="6" applyNumberFormat="0" applyFont="0" applyAlignment="0"/>
    <xf numFmtId="2" fontId="7" fillId="0" borderId="6" applyNumberFormat="0" applyFont="0" applyAlignment="0"/>
    <xf numFmtId="2" fontId="7" fillId="0" borderId="6" applyNumberFormat="0" applyFont="0" applyAlignment="0"/>
    <xf numFmtId="2" fontId="7" fillId="0" borderId="6" applyNumberFormat="0" applyFont="0" applyAlignment="0"/>
    <xf numFmtId="2" fontId="7" fillId="0" borderId="6" applyNumberFormat="0" applyFont="0" applyAlignment="0"/>
    <xf numFmtId="2" fontId="7" fillId="0" borderId="6" applyNumberFormat="0" applyFont="0" applyAlignment="0"/>
    <xf numFmtId="2" fontId="7" fillId="0" borderId="6" applyNumberFormat="0" applyFont="0" applyAlignment="0"/>
    <xf numFmtId="41" fontId="7" fillId="0" borderId="0" applyFont="0" applyFill="0" applyBorder="0" applyAlignment="0" applyProtection="0"/>
    <xf numFmtId="43" fontId="7" fillId="0" borderId="0" applyFont="0" applyFill="0" applyBorder="0" applyAlignment="0" applyProtection="0"/>
    <xf numFmtId="0" fontId="103" fillId="0" borderId="0" applyNumberFormat="0" applyFont="0" applyFill="0" applyBorder="0" applyAlignment="0" applyProtection="0">
      <alignment vertical="center"/>
    </xf>
    <xf numFmtId="0" fontId="104" fillId="0" borderId="0"/>
    <xf numFmtId="190" fontId="104" fillId="0" borderId="0"/>
    <xf numFmtId="190" fontId="104" fillId="0" borderId="0"/>
    <xf numFmtId="190" fontId="104" fillId="0" borderId="0"/>
    <xf numFmtId="190" fontId="104" fillId="0" borderId="0"/>
    <xf numFmtId="190" fontId="104" fillId="0" borderId="0"/>
    <xf numFmtId="0" fontId="104" fillId="0" borderId="0"/>
    <xf numFmtId="0" fontId="104" fillId="0" borderId="0"/>
    <xf numFmtId="0" fontId="104" fillId="0" borderId="0"/>
    <xf numFmtId="0" fontId="104" fillId="0" borderId="0"/>
    <xf numFmtId="0" fontId="114"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77" fillId="0" borderId="82">
      <protection locked="0"/>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0" fontId="103" fillId="0" borderId="0" applyNumberFormat="0" applyFont="0" applyFill="0" applyBorder="0" applyAlignment="0" applyProtection="0">
      <alignment vertical="center"/>
    </xf>
    <xf numFmtId="0" fontId="103" fillId="0" borderId="0" applyNumberFormat="0" applyFont="0" applyFill="0" applyBorder="0" applyAlignment="0" applyProtection="0">
      <alignment vertical="center"/>
    </xf>
    <xf numFmtId="0" fontId="103" fillId="0" borderId="0" applyNumberFormat="0" applyFont="0" applyFill="0" applyBorder="0" applyAlignment="0" applyProtection="0">
      <alignment vertical="center"/>
    </xf>
    <xf numFmtId="0" fontId="77" fillId="0" borderId="82">
      <protection locked="0"/>
    </xf>
    <xf numFmtId="0" fontId="77" fillId="0" borderId="82">
      <protection locked="0"/>
    </xf>
    <xf numFmtId="0" fontId="77" fillId="0" borderId="82">
      <protection locked="0"/>
    </xf>
    <xf numFmtId="0" fontId="77" fillId="0" borderId="82">
      <protection locked="0"/>
    </xf>
    <xf numFmtId="0" fontId="103" fillId="0" borderId="0" applyNumberFormat="0" applyFont="0" applyFill="0" applyBorder="0" applyAlignment="0" applyProtection="0">
      <alignment vertical="center"/>
    </xf>
    <xf numFmtId="0" fontId="103" fillId="0" borderId="0" applyNumberFormat="0" applyFont="0" applyFill="0" applyBorder="0" applyAlignment="0" applyProtection="0">
      <alignment vertical="center"/>
    </xf>
    <xf numFmtId="225" fontId="49" fillId="0" borderId="0" applyFont="0" applyFill="0" applyBorder="0" applyAlignment="0" applyProtection="0"/>
    <xf numFmtId="0" fontId="54" fillId="0" borderId="0" applyFont="0" applyFill="0" applyBorder="0" applyAlignment="0" applyProtection="0"/>
    <xf numFmtId="0" fontId="103" fillId="0" borderId="0" applyNumberFormat="0" applyFont="0" applyFill="0" applyBorder="0" applyAlignment="0" applyProtection="0">
      <alignment vertical="center"/>
    </xf>
    <xf numFmtId="0" fontId="103" fillId="0" borderId="0" applyNumberFormat="0" applyFont="0" applyFill="0" applyBorder="0" applyAlignment="0" applyProtection="0">
      <alignment vertical="center"/>
    </xf>
    <xf numFmtId="0" fontId="117"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58" fillId="37" borderId="0" applyNumberFormat="0" applyBorder="0" applyAlignment="0" applyProtection="0">
      <alignment vertical="center"/>
    </xf>
    <xf numFmtId="0" fontId="58" fillId="37" borderId="0" applyNumberFormat="0" applyBorder="0" applyAlignment="0" applyProtection="0">
      <alignment vertical="center"/>
    </xf>
    <xf numFmtId="190" fontId="58" fillId="28" borderId="0" applyNumberFormat="0" applyBorder="0" applyAlignment="0" applyProtection="0">
      <alignment vertical="center"/>
    </xf>
    <xf numFmtId="190" fontId="58" fillId="28" borderId="0" applyNumberFormat="0" applyBorder="0" applyAlignment="0" applyProtection="0">
      <alignment vertical="center"/>
    </xf>
    <xf numFmtId="190" fontId="58" fillId="28" borderId="0" applyNumberFormat="0" applyBorder="0" applyAlignment="0" applyProtection="0">
      <alignment vertical="center"/>
    </xf>
    <xf numFmtId="190" fontId="58" fillId="28" borderId="0" applyNumberFormat="0" applyBorder="0" applyAlignment="0" applyProtection="0">
      <alignment vertical="center"/>
    </xf>
    <xf numFmtId="190" fontId="58" fillId="28" borderId="0" applyNumberFormat="0" applyBorder="0" applyAlignment="0" applyProtection="0">
      <alignment vertical="center"/>
    </xf>
    <xf numFmtId="190" fontId="58" fillId="28" borderId="0" applyNumberFormat="0" applyBorder="0" applyAlignment="0" applyProtection="0">
      <alignment vertical="center"/>
    </xf>
    <xf numFmtId="190" fontId="58" fillId="28" borderId="0" applyNumberFormat="0" applyBorder="0" applyAlignment="0" applyProtection="0">
      <alignment vertical="center"/>
    </xf>
    <xf numFmtId="190" fontId="58" fillId="28" borderId="0" applyNumberFormat="0" applyBorder="0" applyAlignment="0" applyProtection="0">
      <alignment vertical="center"/>
    </xf>
    <xf numFmtId="0" fontId="58" fillId="37" borderId="0" applyNumberFormat="0" applyBorder="0" applyAlignment="0" applyProtection="0">
      <alignment vertical="center"/>
    </xf>
    <xf numFmtId="0" fontId="58" fillId="37" borderId="0" applyNumberFormat="0" applyBorder="0" applyAlignment="0" applyProtection="0">
      <alignment vertical="center"/>
    </xf>
    <xf numFmtId="0" fontId="58" fillId="37" borderId="0" applyNumberFormat="0" applyBorder="0" applyAlignment="0" applyProtection="0">
      <alignment vertical="center"/>
    </xf>
    <xf numFmtId="0" fontId="58" fillId="37" borderId="0" applyNumberFormat="0" applyBorder="0" applyAlignment="0" applyProtection="0">
      <alignment vertical="center"/>
    </xf>
    <xf numFmtId="0" fontId="58" fillId="37" borderId="0" applyNumberFormat="0" applyBorder="0" applyAlignment="0" applyProtection="0">
      <alignment vertical="center"/>
    </xf>
    <xf numFmtId="0" fontId="58" fillId="37" borderId="0" applyNumberFormat="0" applyBorder="0" applyAlignment="0" applyProtection="0">
      <alignment vertical="center"/>
    </xf>
    <xf numFmtId="0" fontId="58" fillId="37" borderId="0" applyNumberFormat="0" applyBorder="0" applyAlignment="0" applyProtection="0">
      <alignment vertical="center"/>
    </xf>
    <xf numFmtId="0" fontId="58" fillId="3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190" fontId="58" fillId="29" borderId="0" applyNumberFormat="0" applyBorder="0" applyAlignment="0" applyProtection="0">
      <alignment vertical="center"/>
    </xf>
    <xf numFmtId="190" fontId="58" fillId="29" borderId="0" applyNumberFormat="0" applyBorder="0" applyAlignment="0" applyProtection="0">
      <alignment vertical="center"/>
    </xf>
    <xf numFmtId="190" fontId="58" fillId="29" borderId="0" applyNumberFormat="0" applyBorder="0" applyAlignment="0" applyProtection="0">
      <alignment vertical="center"/>
    </xf>
    <xf numFmtId="190" fontId="58" fillId="29" borderId="0" applyNumberFormat="0" applyBorder="0" applyAlignment="0" applyProtection="0">
      <alignment vertical="center"/>
    </xf>
    <xf numFmtId="190" fontId="58" fillId="29" borderId="0" applyNumberFormat="0" applyBorder="0" applyAlignment="0" applyProtection="0">
      <alignment vertical="center"/>
    </xf>
    <xf numFmtId="190" fontId="58" fillId="29" borderId="0" applyNumberFormat="0" applyBorder="0" applyAlignment="0" applyProtection="0">
      <alignment vertical="center"/>
    </xf>
    <xf numFmtId="190" fontId="58" fillId="29" borderId="0" applyNumberFormat="0" applyBorder="0" applyAlignment="0" applyProtection="0">
      <alignment vertical="center"/>
    </xf>
    <xf numFmtId="190" fontId="58" fillId="29"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7"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190" fontId="58" fillId="30" borderId="0" applyNumberFormat="0" applyBorder="0" applyAlignment="0" applyProtection="0">
      <alignment vertical="center"/>
    </xf>
    <xf numFmtId="190" fontId="58" fillId="30" borderId="0" applyNumberFormat="0" applyBorder="0" applyAlignment="0" applyProtection="0">
      <alignment vertical="center"/>
    </xf>
    <xf numFmtId="190" fontId="58" fillId="30" borderId="0" applyNumberFormat="0" applyBorder="0" applyAlignment="0" applyProtection="0">
      <alignment vertical="center"/>
    </xf>
    <xf numFmtId="190" fontId="58" fillId="30" borderId="0" applyNumberFormat="0" applyBorder="0" applyAlignment="0" applyProtection="0">
      <alignment vertical="center"/>
    </xf>
    <xf numFmtId="190" fontId="58" fillId="30" borderId="0" applyNumberFormat="0" applyBorder="0" applyAlignment="0" applyProtection="0">
      <alignment vertical="center"/>
    </xf>
    <xf numFmtId="190" fontId="58" fillId="30" borderId="0" applyNumberFormat="0" applyBorder="0" applyAlignment="0" applyProtection="0">
      <alignment vertical="center"/>
    </xf>
    <xf numFmtId="190" fontId="58" fillId="30" borderId="0" applyNumberFormat="0" applyBorder="0" applyAlignment="0" applyProtection="0">
      <alignment vertical="center"/>
    </xf>
    <xf numFmtId="190" fontId="58" fillId="30"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21" borderId="0" applyNumberFormat="0" applyBorder="0" applyAlignment="0" applyProtection="0">
      <alignment vertical="center"/>
    </xf>
    <xf numFmtId="0" fontId="58" fillId="38" borderId="0" applyNumberFormat="0" applyBorder="0" applyAlignment="0" applyProtection="0">
      <alignment vertical="center"/>
    </xf>
    <xf numFmtId="0" fontId="58" fillId="38" borderId="0" applyNumberFormat="0" applyBorder="0" applyAlignment="0" applyProtection="0">
      <alignment vertical="center"/>
    </xf>
    <xf numFmtId="190" fontId="58" fillId="24" borderId="0" applyNumberFormat="0" applyBorder="0" applyAlignment="0" applyProtection="0">
      <alignment vertical="center"/>
    </xf>
    <xf numFmtId="190" fontId="58" fillId="24" borderId="0" applyNumberFormat="0" applyBorder="0" applyAlignment="0" applyProtection="0">
      <alignment vertical="center"/>
    </xf>
    <xf numFmtId="190" fontId="58" fillId="24" borderId="0" applyNumberFormat="0" applyBorder="0" applyAlignment="0" applyProtection="0">
      <alignment vertical="center"/>
    </xf>
    <xf numFmtId="190" fontId="58" fillId="24" borderId="0" applyNumberFormat="0" applyBorder="0" applyAlignment="0" applyProtection="0">
      <alignment vertical="center"/>
    </xf>
    <xf numFmtId="190" fontId="58" fillId="24" borderId="0" applyNumberFormat="0" applyBorder="0" applyAlignment="0" applyProtection="0">
      <alignment vertical="center"/>
    </xf>
    <xf numFmtId="190" fontId="58" fillId="24" borderId="0" applyNumberFormat="0" applyBorder="0" applyAlignment="0" applyProtection="0">
      <alignment vertical="center"/>
    </xf>
    <xf numFmtId="190" fontId="58" fillId="24" borderId="0" applyNumberFormat="0" applyBorder="0" applyAlignment="0" applyProtection="0">
      <alignment vertical="center"/>
    </xf>
    <xf numFmtId="190" fontId="58" fillId="24" borderId="0" applyNumberFormat="0" applyBorder="0" applyAlignment="0" applyProtection="0">
      <alignment vertical="center"/>
    </xf>
    <xf numFmtId="0" fontId="58" fillId="38" borderId="0" applyNumberFormat="0" applyBorder="0" applyAlignment="0" applyProtection="0">
      <alignment vertical="center"/>
    </xf>
    <xf numFmtId="0" fontId="58" fillId="38" borderId="0" applyNumberFormat="0" applyBorder="0" applyAlignment="0" applyProtection="0">
      <alignment vertical="center"/>
    </xf>
    <xf numFmtId="0" fontId="58" fillId="38" borderId="0" applyNumberFormat="0" applyBorder="0" applyAlignment="0" applyProtection="0">
      <alignment vertical="center"/>
    </xf>
    <xf numFmtId="0" fontId="58" fillId="38" borderId="0" applyNumberFormat="0" applyBorder="0" applyAlignment="0" applyProtection="0">
      <alignment vertical="center"/>
    </xf>
    <xf numFmtId="0" fontId="58" fillId="38" borderId="0" applyNumberFormat="0" applyBorder="0" applyAlignment="0" applyProtection="0">
      <alignment vertical="center"/>
    </xf>
    <xf numFmtId="0" fontId="58" fillId="38" borderId="0" applyNumberFormat="0" applyBorder="0" applyAlignment="0" applyProtection="0">
      <alignment vertical="center"/>
    </xf>
    <xf numFmtId="0" fontId="58" fillId="38" borderId="0" applyNumberFormat="0" applyBorder="0" applyAlignment="0" applyProtection="0">
      <alignment vertical="center"/>
    </xf>
    <xf numFmtId="0" fontId="58" fillId="38" borderId="0" applyNumberFormat="0" applyBorder="0" applyAlignment="0" applyProtection="0">
      <alignment vertical="center"/>
    </xf>
    <xf numFmtId="0" fontId="58" fillId="25" borderId="0" applyNumberFormat="0" applyBorder="0" applyAlignment="0" applyProtection="0">
      <alignment vertical="center"/>
    </xf>
    <xf numFmtId="0" fontId="58" fillId="25" borderId="0" applyNumberFormat="0" applyBorder="0" applyAlignment="0" applyProtection="0">
      <alignment vertical="center"/>
    </xf>
    <xf numFmtId="190" fontId="58" fillId="25" borderId="0" applyNumberFormat="0" applyBorder="0" applyAlignment="0" applyProtection="0">
      <alignment vertical="center"/>
    </xf>
    <xf numFmtId="190" fontId="58" fillId="25" borderId="0" applyNumberFormat="0" applyBorder="0" applyAlignment="0" applyProtection="0">
      <alignment vertical="center"/>
    </xf>
    <xf numFmtId="190" fontId="58" fillId="25" borderId="0" applyNumberFormat="0" applyBorder="0" applyAlignment="0" applyProtection="0">
      <alignment vertical="center"/>
    </xf>
    <xf numFmtId="190" fontId="58" fillId="25" borderId="0" applyNumberFormat="0" applyBorder="0" applyAlignment="0" applyProtection="0">
      <alignment vertical="center"/>
    </xf>
    <xf numFmtId="190" fontId="58" fillId="25" borderId="0" applyNumberFormat="0" applyBorder="0" applyAlignment="0" applyProtection="0">
      <alignment vertical="center"/>
    </xf>
    <xf numFmtId="190" fontId="58" fillId="25" borderId="0" applyNumberFormat="0" applyBorder="0" applyAlignment="0" applyProtection="0">
      <alignment vertical="center"/>
    </xf>
    <xf numFmtId="190" fontId="58" fillId="25" borderId="0" applyNumberFormat="0" applyBorder="0" applyAlignment="0" applyProtection="0">
      <alignment vertical="center"/>
    </xf>
    <xf numFmtId="190" fontId="58" fillId="25" borderId="0" applyNumberFormat="0" applyBorder="0" applyAlignment="0" applyProtection="0">
      <alignment vertical="center"/>
    </xf>
    <xf numFmtId="0" fontId="58" fillId="25" borderId="0" applyNumberFormat="0" applyBorder="0" applyAlignment="0" applyProtection="0">
      <alignment vertical="center"/>
    </xf>
    <xf numFmtId="0" fontId="58" fillId="25" borderId="0" applyNumberFormat="0" applyBorder="0" applyAlignment="0" applyProtection="0">
      <alignment vertical="center"/>
    </xf>
    <xf numFmtId="0" fontId="58" fillId="25" borderId="0" applyNumberFormat="0" applyBorder="0" applyAlignment="0" applyProtection="0">
      <alignment vertical="center"/>
    </xf>
    <xf numFmtId="0" fontId="58" fillId="25" borderId="0" applyNumberFormat="0" applyBorder="0" applyAlignment="0" applyProtection="0">
      <alignment vertical="center"/>
    </xf>
    <xf numFmtId="0" fontId="58" fillId="25" borderId="0" applyNumberFormat="0" applyBorder="0" applyAlignment="0" applyProtection="0">
      <alignment vertical="center"/>
    </xf>
    <xf numFmtId="0" fontId="58" fillId="25" borderId="0" applyNumberFormat="0" applyBorder="0" applyAlignment="0" applyProtection="0">
      <alignment vertical="center"/>
    </xf>
    <xf numFmtId="0" fontId="58" fillId="25" borderId="0" applyNumberFormat="0" applyBorder="0" applyAlignment="0" applyProtection="0">
      <alignment vertical="center"/>
    </xf>
    <xf numFmtId="0" fontId="58" fillId="25" borderId="0" applyNumberFormat="0" applyBorder="0" applyAlignment="0" applyProtection="0">
      <alignment vertical="center"/>
    </xf>
    <xf numFmtId="0" fontId="58" fillId="29" borderId="0" applyNumberFormat="0" applyBorder="0" applyAlignment="0" applyProtection="0">
      <alignment vertical="center"/>
    </xf>
    <xf numFmtId="0" fontId="58" fillId="29" borderId="0" applyNumberFormat="0" applyBorder="0" applyAlignment="0" applyProtection="0">
      <alignment vertical="center"/>
    </xf>
    <xf numFmtId="190" fontId="58" fillId="27" borderId="0" applyNumberFormat="0" applyBorder="0" applyAlignment="0" applyProtection="0">
      <alignment vertical="center"/>
    </xf>
    <xf numFmtId="190" fontId="58" fillId="27" borderId="0" applyNumberFormat="0" applyBorder="0" applyAlignment="0" applyProtection="0">
      <alignment vertical="center"/>
    </xf>
    <xf numFmtId="190" fontId="58" fillId="27" borderId="0" applyNumberFormat="0" applyBorder="0" applyAlignment="0" applyProtection="0">
      <alignment vertical="center"/>
    </xf>
    <xf numFmtId="190" fontId="58" fillId="27" borderId="0" applyNumberFormat="0" applyBorder="0" applyAlignment="0" applyProtection="0">
      <alignment vertical="center"/>
    </xf>
    <xf numFmtId="190" fontId="58" fillId="27" borderId="0" applyNumberFormat="0" applyBorder="0" applyAlignment="0" applyProtection="0">
      <alignment vertical="center"/>
    </xf>
    <xf numFmtId="190" fontId="58" fillId="27" borderId="0" applyNumberFormat="0" applyBorder="0" applyAlignment="0" applyProtection="0">
      <alignment vertical="center"/>
    </xf>
    <xf numFmtId="190" fontId="58" fillId="27" borderId="0" applyNumberFormat="0" applyBorder="0" applyAlignment="0" applyProtection="0">
      <alignment vertical="center"/>
    </xf>
    <xf numFmtId="190" fontId="58" fillId="27" borderId="0" applyNumberFormat="0" applyBorder="0" applyAlignment="0" applyProtection="0">
      <alignment vertical="center"/>
    </xf>
    <xf numFmtId="0" fontId="58" fillId="29" borderId="0" applyNumberFormat="0" applyBorder="0" applyAlignment="0" applyProtection="0">
      <alignment vertical="center"/>
    </xf>
    <xf numFmtId="0" fontId="58" fillId="29" borderId="0" applyNumberFormat="0" applyBorder="0" applyAlignment="0" applyProtection="0">
      <alignment vertical="center"/>
    </xf>
    <xf numFmtId="0" fontId="58" fillId="29" borderId="0" applyNumberFormat="0" applyBorder="0" applyAlignment="0" applyProtection="0">
      <alignment vertical="center"/>
    </xf>
    <xf numFmtId="0" fontId="58" fillId="29" borderId="0" applyNumberFormat="0" applyBorder="0" applyAlignment="0" applyProtection="0">
      <alignment vertical="center"/>
    </xf>
    <xf numFmtId="0" fontId="58" fillId="29" borderId="0" applyNumberFormat="0" applyBorder="0" applyAlignment="0" applyProtection="0">
      <alignment vertical="center"/>
    </xf>
    <xf numFmtId="0" fontId="58" fillId="29" borderId="0" applyNumberFormat="0" applyBorder="0" applyAlignment="0" applyProtection="0">
      <alignment vertical="center"/>
    </xf>
    <xf numFmtId="0" fontId="58" fillId="29" borderId="0" applyNumberFormat="0" applyBorder="0" applyAlignment="0" applyProtection="0">
      <alignment vertical="center"/>
    </xf>
    <xf numFmtId="0" fontId="58" fillId="29" borderId="0" applyNumberFormat="0" applyBorder="0" applyAlignment="0" applyProtection="0">
      <alignment vertical="center"/>
    </xf>
    <xf numFmtId="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19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119" fillId="10" borderId="73" applyNumberFormat="0" applyAlignment="0" applyProtection="0">
      <alignment vertical="center"/>
    </xf>
    <xf numFmtId="0" fontId="119" fillId="10"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190" fontId="73" fillId="31" borderId="73" applyNumberFormat="0" applyAlignment="0" applyProtection="0">
      <alignment vertical="center"/>
    </xf>
    <xf numFmtId="0" fontId="119" fillId="10" borderId="73" applyNumberFormat="0" applyAlignment="0" applyProtection="0">
      <alignment vertical="center"/>
    </xf>
    <xf numFmtId="190" fontId="73" fillId="31" borderId="73" applyNumberFormat="0" applyAlignment="0" applyProtection="0">
      <alignment vertical="center"/>
    </xf>
    <xf numFmtId="0" fontId="119" fillId="10" borderId="73" applyNumberFormat="0" applyAlignment="0" applyProtection="0">
      <alignment vertical="center"/>
    </xf>
    <xf numFmtId="190" fontId="73" fillId="31" borderId="73" applyNumberFormat="0" applyAlignment="0" applyProtection="0">
      <alignment vertical="center"/>
    </xf>
    <xf numFmtId="0" fontId="119" fillId="10" borderId="73" applyNumberFormat="0" applyAlignment="0" applyProtection="0">
      <alignment vertical="center"/>
    </xf>
    <xf numFmtId="190" fontId="73" fillId="31" borderId="73" applyNumberFormat="0" applyAlignment="0" applyProtection="0">
      <alignment vertical="center"/>
    </xf>
    <xf numFmtId="0" fontId="119" fillId="10" borderId="73" applyNumberFormat="0" applyAlignment="0" applyProtection="0">
      <alignment vertical="center"/>
    </xf>
    <xf numFmtId="0" fontId="119" fillId="10" borderId="73" applyNumberFormat="0" applyAlignment="0" applyProtection="0">
      <alignment vertical="center"/>
    </xf>
    <xf numFmtId="0" fontId="119" fillId="10" borderId="73" applyNumberFormat="0" applyAlignment="0" applyProtection="0">
      <alignment vertical="center"/>
    </xf>
    <xf numFmtId="0" fontId="119" fillId="10" borderId="73" applyNumberFormat="0" applyAlignment="0" applyProtection="0">
      <alignment vertical="center"/>
    </xf>
    <xf numFmtId="0" fontId="119" fillId="10" borderId="73" applyNumberFormat="0" applyAlignment="0" applyProtection="0">
      <alignment vertical="center"/>
    </xf>
    <xf numFmtId="0" fontId="119" fillId="10" borderId="73" applyNumberFormat="0" applyAlignment="0" applyProtection="0">
      <alignment vertical="center"/>
    </xf>
    <xf numFmtId="0" fontId="119" fillId="10" borderId="73" applyNumberFormat="0" applyAlignment="0" applyProtection="0">
      <alignment vertical="center"/>
    </xf>
    <xf numFmtId="0" fontId="119" fillId="10" borderId="73" applyNumberFormat="0" applyAlignment="0" applyProtection="0">
      <alignment vertical="center"/>
    </xf>
    <xf numFmtId="0" fontId="119" fillId="10" borderId="73" applyNumberFormat="0" applyAlignment="0" applyProtection="0">
      <alignment vertical="center"/>
    </xf>
    <xf numFmtId="0" fontId="119" fillId="10" borderId="73" applyNumberFormat="0" applyAlignment="0" applyProtection="0">
      <alignment vertical="center"/>
    </xf>
    <xf numFmtId="0" fontId="119" fillId="10" borderId="73" applyNumberFormat="0" applyAlignment="0" applyProtection="0">
      <alignment vertical="center"/>
    </xf>
    <xf numFmtId="226" fontId="6" fillId="0" borderId="0">
      <protection locked="0"/>
    </xf>
    <xf numFmtId="0" fontId="103" fillId="0" borderId="0" applyNumberFormat="0" applyFont="0" applyFill="0" applyBorder="0" applyAlignment="0" applyProtection="0">
      <alignment vertical="center"/>
    </xf>
    <xf numFmtId="226" fontId="6" fillId="0" borderId="0">
      <protection locked="0"/>
    </xf>
    <xf numFmtId="226" fontId="6" fillId="0" borderId="0">
      <protection locked="0"/>
    </xf>
    <xf numFmtId="226" fontId="6" fillId="0" borderId="0">
      <protection locked="0"/>
    </xf>
    <xf numFmtId="227" fontId="42" fillId="0" borderId="0">
      <protection locked="0"/>
    </xf>
    <xf numFmtId="227" fontId="42" fillId="0" borderId="0">
      <protection locked="0"/>
    </xf>
    <xf numFmtId="227" fontId="42" fillId="0" borderId="0">
      <protection locked="0"/>
    </xf>
    <xf numFmtId="226" fontId="6"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92" fillId="0" borderId="0">
      <protection locked="0"/>
    </xf>
    <xf numFmtId="0" fontId="67" fillId="14" borderId="0" applyNumberFormat="0" applyBorder="0" applyAlignment="0" applyProtection="0">
      <alignment vertical="center"/>
    </xf>
    <xf numFmtId="0" fontId="67" fillId="14" borderId="0" applyNumberFormat="0" applyBorder="0" applyAlignment="0" applyProtection="0">
      <alignment vertical="center"/>
    </xf>
    <xf numFmtId="190" fontId="67" fillId="12" borderId="0" applyNumberFormat="0" applyBorder="0" applyAlignment="0" applyProtection="0">
      <alignment vertical="center"/>
    </xf>
    <xf numFmtId="190" fontId="67" fillId="12" borderId="0" applyNumberFormat="0" applyBorder="0" applyAlignment="0" applyProtection="0">
      <alignment vertical="center"/>
    </xf>
    <xf numFmtId="190" fontId="67" fillId="12" borderId="0" applyNumberFormat="0" applyBorder="0" applyAlignment="0" applyProtection="0">
      <alignment vertical="center"/>
    </xf>
    <xf numFmtId="190" fontId="67" fillId="12" borderId="0" applyNumberFormat="0" applyBorder="0" applyAlignment="0" applyProtection="0">
      <alignment vertical="center"/>
    </xf>
    <xf numFmtId="190" fontId="67" fillId="12" borderId="0" applyNumberFormat="0" applyBorder="0" applyAlignment="0" applyProtection="0">
      <alignment vertical="center"/>
    </xf>
    <xf numFmtId="190" fontId="67" fillId="12" borderId="0" applyNumberFormat="0" applyBorder="0" applyAlignment="0" applyProtection="0">
      <alignment vertical="center"/>
    </xf>
    <xf numFmtId="190" fontId="67" fillId="12" borderId="0" applyNumberFormat="0" applyBorder="0" applyAlignment="0" applyProtection="0">
      <alignment vertical="center"/>
    </xf>
    <xf numFmtId="190" fontId="67" fillId="12" borderId="0" applyNumberFormat="0" applyBorder="0" applyAlignment="0" applyProtection="0">
      <alignment vertical="center"/>
    </xf>
    <xf numFmtId="0" fontId="67" fillId="14" borderId="0" applyNumberFormat="0" applyBorder="0" applyAlignment="0" applyProtection="0">
      <alignment vertical="center"/>
    </xf>
    <xf numFmtId="0" fontId="67" fillId="14" borderId="0" applyNumberFormat="0" applyBorder="0" applyAlignment="0" applyProtection="0">
      <alignment vertical="center"/>
    </xf>
    <xf numFmtId="0" fontId="67" fillId="14" borderId="0" applyNumberFormat="0" applyBorder="0" applyAlignment="0" applyProtection="0">
      <alignment vertical="center"/>
    </xf>
    <xf numFmtId="0" fontId="67" fillId="14" borderId="0" applyNumberFormat="0" applyBorder="0" applyAlignment="0" applyProtection="0">
      <alignment vertical="center"/>
    </xf>
    <xf numFmtId="0" fontId="67" fillId="14" borderId="0" applyNumberFormat="0" applyBorder="0" applyAlignment="0" applyProtection="0">
      <alignment vertical="center"/>
    </xf>
    <xf numFmtId="0" fontId="67" fillId="14" borderId="0" applyNumberFormat="0" applyBorder="0" applyAlignment="0" applyProtection="0">
      <alignment vertical="center"/>
    </xf>
    <xf numFmtId="0" fontId="67" fillId="14" borderId="0" applyNumberFormat="0" applyBorder="0" applyAlignment="0" applyProtection="0">
      <alignment vertical="center"/>
    </xf>
    <xf numFmtId="0" fontId="67" fillId="14" borderId="0" applyNumberFormat="0" applyBorder="0" applyAlignment="0" applyProtection="0">
      <alignment vertical="center"/>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77" fillId="0" borderId="0">
      <protection locked="0"/>
    </xf>
    <xf numFmtId="0" fontId="120" fillId="0" borderId="0" applyNumberFormat="0" applyFill="0" applyBorder="0" applyAlignment="0" applyProtection="0">
      <alignment vertical="top"/>
      <protection locked="0"/>
    </xf>
    <xf numFmtId="190" fontId="120" fillId="0" borderId="0" applyNumberFormat="0" applyFill="0" applyBorder="0" applyAlignment="0" applyProtection="0">
      <alignment vertical="top"/>
      <protection locked="0"/>
    </xf>
    <xf numFmtId="190" fontId="120" fillId="0" borderId="0" applyNumberFormat="0" applyFill="0" applyBorder="0" applyAlignment="0" applyProtection="0">
      <alignment vertical="top"/>
      <protection locked="0"/>
    </xf>
    <xf numFmtId="190" fontId="120" fillId="0" borderId="0" applyNumberFormat="0" applyFill="0" applyBorder="0" applyAlignment="0" applyProtection="0">
      <alignment vertical="top"/>
      <protection locked="0"/>
    </xf>
    <xf numFmtId="190" fontId="120" fillId="0" borderId="0" applyNumberFormat="0" applyFill="0" applyBorder="0" applyAlignment="0" applyProtection="0">
      <alignment vertical="top"/>
      <protection locked="0"/>
    </xf>
    <xf numFmtId="19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40" fontId="121" fillId="0" borderId="0" applyFont="0" applyFill="0" applyBorder="0" applyAlignment="0" applyProtection="0"/>
    <xf numFmtId="38" fontId="121" fillId="0" borderId="0" applyFont="0" applyFill="0" applyBorder="0" applyAlignment="0" applyProtection="0"/>
    <xf numFmtId="0" fontId="122" fillId="19" borderId="79" applyNumberFormat="0" applyFont="0" applyAlignment="0" applyProtection="0">
      <alignment vertical="center"/>
    </xf>
    <xf numFmtId="0" fontId="122"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190" fontId="49" fillId="19" borderId="79" applyNumberFormat="0" applyFont="0" applyAlignment="0" applyProtection="0">
      <alignment vertical="center"/>
    </xf>
    <xf numFmtId="0" fontId="122" fillId="19" borderId="79" applyNumberFormat="0" applyFont="0" applyAlignment="0" applyProtection="0">
      <alignment vertical="center"/>
    </xf>
    <xf numFmtId="190" fontId="49" fillId="19" borderId="79" applyNumberFormat="0" applyFont="0" applyAlignment="0" applyProtection="0">
      <alignment vertical="center"/>
    </xf>
    <xf numFmtId="0" fontId="122" fillId="19" borderId="79" applyNumberFormat="0" applyFont="0" applyAlignment="0" applyProtection="0">
      <alignment vertical="center"/>
    </xf>
    <xf numFmtId="190" fontId="49" fillId="19" borderId="79" applyNumberFormat="0" applyFont="0" applyAlignment="0" applyProtection="0">
      <alignment vertical="center"/>
    </xf>
    <xf numFmtId="0" fontId="122" fillId="19" borderId="79" applyNumberFormat="0" applyFont="0" applyAlignment="0" applyProtection="0">
      <alignment vertical="center"/>
    </xf>
    <xf numFmtId="190" fontId="49" fillId="19" borderId="79" applyNumberFormat="0" applyFont="0" applyAlignment="0" applyProtection="0">
      <alignment vertical="center"/>
    </xf>
    <xf numFmtId="0" fontId="122" fillId="19" borderId="79" applyNumberFormat="0" applyFont="0" applyAlignment="0" applyProtection="0">
      <alignment vertical="center"/>
    </xf>
    <xf numFmtId="0" fontId="122" fillId="19" borderId="79" applyNumberFormat="0" applyFont="0" applyAlignment="0" applyProtection="0">
      <alignment vertical="center"/>
    </xf>
    <xf numFmtId="0" fontId="122" fillId="19" borderId="79" applyNumberFormat="0" applyFont="0" applyAlignment="0" applyProtection="0">
      <alignment vertical="center"/>
    </xf>
    <xf numFmtId="0" fontId="122" fillId="19" borderId="79" applyNumberFormat="0" applyFont="0" applyAlignment="0" applyProtection="0">
      <alignment vertical="center"/>
    </xf>
    <xf numFmtId="0" fontId="122" fillId="19" borderId="79" applyNumberFormat="0" applyFont="0" applyAlignment="0" applyProtection="0">
      <alignment vertical="center"/>
    </xf>
    <xf numFmtId="0" fontId="122" fillId="19" borderId="79" applyNumberFormat="0" applyFont="0" applyAlignment="0" applyProtection="0">
      <alignment vertical="center"/>
    </xf>
    <xf numFmtId="0" fontId="122" fillId="19" borderId="79" applyNumberFormat="0" applyFont="0" applyAlignment="0" applyProtection="0">
      <alignment vertical="center"/>
    </xf>
    <xf numFmtId="0" fontId="122" fillId="19" borderId="79" applyNumberFormat="0" applyFont="0" applyAlignment="0" applyProtection="0">
      <alignment vertical="center"/>
    </xf>
    <xf numFmtId="0" fontId="122" fillId="19" borderId="79" applyNumberFormat="0" applyFont="0" applyAlignment="0" applyProtection="0">
      <alignment vertical="center"/>
    </xf>
    <xf numFmtId="0" fontId="122" fillId="19" borderId="79" applyNumberFormat="0" applyFont="0" applyAlignment="0" applyProtection="0">
      <alignment vertical="center"/>
    </xf>
    <xf numFmtId="0" fontId="122" fillId="19" borderId="79" applyNumberFormat="0" applyFont="0" applyAlignment="0" applyProtection="0">
      <alignment vertical="center"/>
    </xf>
    <xf numFmtId="0" fontId="121" fillId="0" borderId="0" applyFont="0" applyFill="0" applyBorder="0" applyAlignment="0" applyProtection="0"/>
    <xf numFmtId="0" fontId="121" fillId="0" borderId="0" applyFont="0" applyFill="0" applyBorder="0" applyAlignment="0" applyProtection="0"/>
    <xf numFmtId="9" fontId="7" fillId="0" borderId="0" applyFont="0" applyFill="0" applyBorder="0" applyAlignment="0" applyProtection="0"/>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9" fontId="8" fillId="0" borderId="0" applyFont="0" applyFill="0" applyBorder="0" applyAlignment="0" applyProtection="0"/>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9" fontId="49" fillId="0" borderId="0" applyFont="0" applyFill="0" applyBorder="0" applyAlignment="0" applyProtection="0">
      <alignment vertical="center"/>
    </xf>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78" fillId="0" borderId="0" applyFont="0" applyFill="0" applyBorder="0" applyAlignment="0" applyProtection="0">
      <alignment vertical="center"/>
    </xf>
    <xf numFmtId="9" fontId="78" fillId="0" borderId="0" applyFont="0" applyFill="0" applyBorder="0" applyAlignment="0" applyProtection="0">
      <alignment vertical="center"/>
    </xf>
    <xf numFmtId="9" fontId="78" fillId="0" borderId="0" applyFont="0" applyFill="0" applyBorder="0" applyAlignment="0" applyProtection="0">
      <alignment vertical="center"/>
    </xf>
    <xf numFmtId="9" fontId="78" fillId="0" borderId="0" applyFont="0" applyFill="0" applyBorder="0" applyAlignment="0" applyProtection="0">
      <alignment vertical="center"/>
    </xf>
    <xf numFmtId="9" fontId="78" fillId="0" borderId="0" applyFont="0" applyFill="0" applyBorder="0" applyAlignment="0" applyProtection="0">
      <alignment vertical="center"/>
    </xf>
    <xf numFmtId="9" fontId="56" fillId="0" borderId="0" applyFont="0" applyFill="0" applyBorder="0" applyAlignment="0" applyProtection="0">
      <alignment vertical="center"/>
    </xf>
    <xf numFmtId="9" fontId="6" fillId="0" borderId="0" applyFont="0" applyFill="0" applyBorder="0" applyAlignment="0" applyProtection="0"/>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56" fillId="0" borderId="0" applyFont="0" applyFill="0" applyBorder="0" applyAlignment="0" applyProtection="0">
      <alignment vertical="center"/>
    </xf>
    <xf numFmtId="9" fontId="7" fillId="0" borderId="0" applyFont="0" applyFill="0" applyBorder="0" applyAlignment="0" applyProtection="0"/>
    <xf numFmtId="9" fontId="6" fillId="0" borderId="0" applyFont="0" applyFill="0" applyBorder="0" applyAlignment="0" applyProtection="0"/>
    <xf numFmtId="9" fontId="78" fillId="0" borderId="0" applyFont="0" applyFill="0" applyBorder="0" applyAlignment="0" applyProtection="0">
      <alignment vertical="center"/>
    </xf>
    <xf numFmtId="9" fontId="78" fillId="0" borderId="0" applyFont="0" applyFill="0" applyBorder="0" applyAlignment="0" applyProtection="0">
      <alignment vertical="center"/>
    </xf>
    <xf numFmtId="9" fontId="78" fillId="0" borderId="0" applyFont="0" applyFill="0" applyBorder="0" applyAlignment="0" applyProtection="0">
      <alignment vertical="center"/>
    </xf>
    <xf numFmtId="9" fontId="78" fillId="0" borderId="0" applyFont="0" applyFill="0" applyBorder="0" applyAlignment="0" applyProtection="0">
      <alignment vertical="center"/>
    </xf>
    <xf numFmtId="9" fontId="78" fillId="0" borderId="0" applyFont="0" applyFill="0" applyBorder="0" applyAlignment="0" applyProtection="0">
      <alignment vertical="center"/>
    </xf>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23" fillId="22" borderId="0" applyNumberFormat="0" applyBorder="0" applyAlignment="0" applyProtection="0">
      <alignment vertical="center"/>
    </xf>
    <xf numFmtId="0" fontId="123" fillId="22" borderId="0" applyNumberFormat="0" applyBorder="0" applyAlignment="0" applyProtection="0">
      <alignment vertical="center"/>
    </xf>
    <xf numFmtId="190" fontId="108" fillId="22" borderId="0" applyNumberFormat="0" applyBorder="0" applyAlignment="0" applyProtection="0">
      <alignment vertical="center"/>
    </xf>
    <xf numFmtId="190" fontId="108" fillId="22" borderId="0" applyNumberFormat="0" applyBorder="0" applyAlignment="0" applyProtection="0">
      <alignment vertical="center"/>
    </xf>
    <xf numFmtId="190" fontId="108" fillId="22" borderId="0" applyNumberFormat="0" applyBorder="0" applyAlignment="0" applyProtection="0">
      <alignment vertical="center"/>
    </xf>
    <xf numFmtId="190" fontId="108" fillId="22" borderId="0" applyNumberFormat="0" applyBorder="0" applyAlignment="0" applyProtection="0">
      <alignment vertical="center"/>
    </xf>
    <xf numFmtId="190" fontId="108" fillId="22" borderId="0" applyNumberFormat="0" applyBorder="0" applyAlignment="0" applyProtection="0">
      <alignment vertical="center"/>
    </xf>
    <xf numFmtId="190" fontId="108" fillId="22" borderId="0" applyNumberFormat="0" applyBorder="0" applyAlignment="0" applyProtection="0">
      <alignment vertical="center"/>
    </xf>
    <xf numFmtId="190" fontId="108" fillId="22" borderId="0" applyNumberFormat="0" applyBorder="0" applyAlignment="0" applyProtection="0">
      <alignment vertical="center"/>
    </xf>
    <xf numFmtId="190" fontId="108" fillId="22" borderId="0" applyNumberFormat="0" applyBorder="0" applyAlignment="0" applyProtection="0">
      <alignment vertical="center"/>
    </xf>
    <xf numFmtId="0" fontId="123" fillId="22" borderId="0" applyNumberFormat="0" applyBorder="0" applyAlignment="0" applyProtection="0">
      <alignment vertical="center"/>
    </xf>
    <xf numFmtId="0" fontId="123" fillId="22" borderId="0" applyNumberFormat="0" applyBorder="0" applyAlignment="0" applyProtection="0">
      <alignment vertical="center"/>
    </xf>
    <xf numFmtId="0" fontId="123" fillId="22" borderId="0" applyNumberFormat="0" applyBorder="0" applyAlignment="0" applyProtection="0">
      <alignment vertical="center"/>
    </xf>
    <xf numFmtId="0" fontId="123" fillId="22" borderId="0" applyNumberFormat="0" applyBorder="0" applyAlignment="0" applyProtection="0">
      <alignment vertical="center"/>
    </xf>
    <xf numFmtId="0" fontId="123" fillId="22" borderId="0" applyNumberFormat="0" applyBorder="0" applyAlignment="0" applyProtection="0">
      <alignment vertical="center"/>
    </xf>
    <xf numFmtId="0" fontId="123" fillId="22" borderId="0" applyNumberFormat="0" applyBorder="0" applyAlignment="0" applyProtection="0">
      <alignment vertical="center"/>
    </xf>
    <xf numFmtId="0" fontId="123" fillId="22" borderId="0" applyNumberFormat="0" applyBorder="0" applyAlignment="0" applyProtection="0">
      <alignment vertical="center"/>
    </xf>
    <xf numFmtId="0" fontId="123" fillId="22" borderId="0" applyNumberFormat="0" applyBorder="0" applyAlignment="0" applyProtection="0">
      <alignment vertical="center"/>
    </xf>
    <xf numFmtId="0" fontId="124" fillId="0" borderId="0"/>
    <xf numFmtId="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190" fontId="80" fillId="0" borderId="0" applyNumberFormat="0" applyFill="0" applyBorder="0" applyAlignment="0" applyProtection="0">
      <alignment vertical="center"/>
    </xf>
    <xf numFmtId="190" fontId="80" fillId="0" borderId="0" applyNumberFormat="0" applyFill="0" applyBorder="0" applyAlignment="0" applyProtection="0">
      <alignment vertical="center"/>
    </xf>
    <xf numFmtId="190" fontId="80" fillId="0" borderId="0" applyNumberFormat="0" applyFill="0" applyBorder="0" applyAlignment="0" applyProtection="0">
      <alignment vertical="center"/>
    </xf>
    <xf numFmtId="190" fontId="80" fillId="0" borderId="0" applyNumberFormat="0" applyFill="0" applyBorder="0" applyAlignment="0" applyProtection="0">
      <alignment vertical="center"/>
    </xf>
    <xf numFmtId="190" fontId="80" fillId="0" borderId="0" applyNumberFormat="0" applyFill="0" applyBorder="0" applyAlignment="0" applyProtection="0">
      <alignment vertical="center"/>
    </xf>
    <xf numFmtId="190" fontId="80" fillId="0" borderId="0" applyNumberFormat="0" applyFill="0" applyBorder="0" applyAlignment="0" applyProtection="0">
      <alignment vertical="center"/>
    </xf>
    <xf numFmtId="190" fontId="80" fillId="0" borderId="0" applyNumberFormat="0" applyFill="0" applyBorder="0" applyAlignment="0" applyProtection="0">
      <alignment vertical="center"/>
    </xf>
    <xf numFmtId="19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76" fillId="32" borderId="74" applyNumberFormat="0" applyAlignment="0" applyProtection="0">
      <alignment vertical="center"/>
    </xf>
    <xf numFmtId="0" fontId="76" fillId="32" borderId="74" applyNumberFormat="0" applyAlignment="0" applyProtection="0">
      <alignment vertical="center"/>
    </xf>
    <xf numFmtId="190" fontId="76" fillId="32" borderId="74" applyNumberFormat="0" applyAlignment="0" applyProtection="0">
      <alignment vertical="center"/>
    </xf>
    <xf numFmtId="190" fontId="76" fillId="32" borderId="74" applyNumberFormat="0" applyAlignment="0" applyProtection="0">
      <alignment vertical="center"/>
    </xf>
    <xf numFmtId="190" fontId="76" fillId="32" borderId="74" applyNumberFormat="0" applyAlignment="0" applyProtection="0">
      <alignment vertical="center"/>
    </xf>
    <xf numFmtId="190" fontId="76" fillId="32" borderId="74" applyNumberFormat="0" applyAlignment="0" applyProtection="0">
      <alignment vertical="center"/>
    </xf>
    <xf numFmtId="190" fontId="76" fillId="32" borderId="74" applyNumberFormat="0" applyAlignment="0" applyProtection="0">
      <alignment vertical="center"/>
    </xf>
    <xf numFmtId="190" fontId="76" fillId="32" borderId="74" applyNumberFormat="0" applyAlignment="0" applyProtection="0">
      <alignment vertical="center"/>
    </xf>
    <xf numFmtId="190" fontId="76" fillId="32" borderId="74" applyNumberFormat="0" applyAlignment="0" applyProtection="0">
      <alignment vertical="center"/>
    </xf>
    <xf numFmtId="190" fontId="76" fillId="32" borderId="74" applyNumberFormat="0" applyAlignment="0" applyProtection="0">
      <alignment vertical="center"/>
    </xf>
    <xf numFmtId="0" fontId="76" fillId="32" borderId="74" applyNumberFormat="0" applyAlignment="0" applyProtection="0">
      <alignment vertical="center"/>
    </xf>
    <xf numFmtId="0" fontId="76" fillId="32" borderId="74" applyNumberFormat="0" applyAlignment="0" applyProtection="0">
      <alignment vertical="center"/>
    </xf>
    <xf numFmtId="0" fontId="76" fillId="32" borderId="74" applyNumberFormat="0" applyAlignment="0" applyProtection="0">
      <alignment vertical="center"/>
    </xf>
    <xf numFmtId="0" fontId="76" fillId="32" borderId="74" applyNumberFormat="0" applyAlignment="0" applyProtection="0">
      <alignment vertical="center"/>
    </xf>
    <xf numFmtId="0" fontId="76" fillId="32" borderId="74" applyNumberFormat="0" applyAlignment="0" applyProtection="0">
      <alignment vertical="center"/>
    </xf>
    <xf numFmtId="0" fontId="76" fillId="32" borderId="74" applyNumberFormat="0" applyAlignment="0" applyProtection="0">
      <alignment vertical="center"/>
    </xf>
    <xf numFmtId="0" fontId="76" fillId="32" borderId="74" applyNumberFormat="0" applyAlignment="0" applyProtection="0">
      <alignment vertical="center"/>
    </xf>
    <xf numFmtId="0" fontId="76" fillId="32" borderId="74" applyNumberFormat="0" applyAlignment="0" applyProtection="0">
      <alignment vertical="center"/>
    </xf>
    <xf numFmtId="228" fontId="125" fillId="0" borderId="0">
      <alignment vertical="center"/>
    </xf>
    <xf numFmtId="0" fontId="103" fillId="0" borderId="0" applyNumberFormat="0" applyFont="0" applyFill="0" applyBorder="0" applyAlignment="0" applyProtection="0">
      <alignment vertical="center"/>
    </xf>
    <xf numFmtId="228" fontId="125" fillId="0" borderId="0">
      <alignment vertical="center"/>
    </xf>
    <xf numFmtId="228" fontId="125" fillId="0" borderId="0">
      <alignment vertical="center"/>
    </xf>
    <xf numFmtId="228" fontId="125" fillId="0" borderId="0">
      <alignment vertical="center"/>
    </xf>
    <xf numFmtId="229" fontId="42" fillId="0" borderId="0">
      <alignment vertical="center"/>
    </xf>
    <xf numFmtId="229" fontId="42" fillId="0" borderId="0">
      <alignment vertical="center"/>
    </xf>
    <xf numFmtId="229" fontId="42" fillId="0" borderId="0">
      <alignment vertical="center"/>
    </xf>
    <xf numFmtId="228" fontId="125" fillId="0" borderId="0">
      <alignment vertical="center"/>
    </xf>
    <xf numFmtId="41" fontId="7" fillId="0" borderId="0" applyFont="0" applyFill="0" applyBorder="0" applyAlignment="0" applyProtection="0"/>
    <xf numFmtId="41" fontId="17" fillId="0" borderId="0" applyFont="0" applyFill="0" applyBorder="0" applyAlignment="0" applyProtection="0"/>
    <xf numFmtId="0" fontId="7" fillId="0" borderId="0" applyFont="0" applyFill="0" applyBorder="0" applyAlignment="0" applyProtection="0"/>
    <xf numFmtId="41" fontId="7" fillId="0" borderId="0" applyFont="0" applyFill="0" applyBorder="0" applyAlignment="0" applyProtection="0"/>
    <xf numFmtId="41" fontId="7" fillId="0" borderId="0" applyFont="0" applyFill="0" applyBorder="0" applyAlignment="0" applyProtection="0"/>
    <xf numFmtId="41" fontId="49" fillId="0" borderId="0" applyFont="0" applyFill="0" applyBorder="0" applyAlignment="0" applyProtection="0">
      <alignment vertical="center"/>
    </xf>
    <xf numFmtId="41" fontId="49" fillId="0" borderId="0" applyFont="0" applyFill="0" applyBorder="0" applyAlignment="0" applyProtection="0">
      <alignment vertical="center"/>
    </xf>
    <xf numFmtId="41" fontId="49" fillId="0" borderId="0" applyFont="0" applyFill="0" applyBorder="0" applyAlignment="0" applyProtection="0">
      <alignment vertical="center"/>
    </xf>
    <xf numFmtId="41" fontId="49" fillId="0" borderId="0" applyFont="0" applyFill="0" applyBorder="0" applyAlignment="0" applyProtection="0">
      <alignment vertical="center"/>
    </xf>
    <xf numFmtId="41" fontId="49" fillId="0" borderId="0" applyFont="0" applyFill="0" applyBorder="0" applyAlignment="0" applyProtection="0">
      <alignment vertical="center"/>
    </xf>
    <xf numFmtId="41" fontId="49" fillId="0" borderId="0" applyFont="0" applyFill="0" applyBorder="0" applyAlignment="0" applyProtection="0"/>
    <xf numFmtId="41" fontId="49" fillId="0" borderId="0" applyFont="0" applyFill="0" applyBorder="0" applyAlignment="0" applyProtection="0"/>
    <xf numFmtId="41" fontId="49"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41" fontId="49" fillId="0" borderId="0" applyFont="0" applyFill="0" applyBorder="0" applyAlignment="0" applyProtection="0"/>
    <xf numFmtId="41" fontId="49" fillId="0" borderId="0" applyFont="0" applyFill="0" applyBorder="0" applyAlignment="0" applyProtection="0"/>
    <xf numFmtId="41" fontId="49" fillId="0" borderId="0" applyFont="0" applyFill="0" applyBorder="0" applyAlignment="0" applyProtection="0"/>
    <xf numFmtId="41" fontId="49" fillId="0" borderId="0" applyFont="0" applyFill="0" applyBorder="0" applyAlignment="0" applyProtection="0"/>
    <xf numFmtId="41" fontId="49" fillId="0" borderId="0" applyFont="0" applyFill="0" applyBorder="0" applyAlignment="0" applyProtection="0"/>
    <xf numFmtId="41" fontId="49" fillId="0" borderId="0" applyFont="0" applyFill="0" applyBorder="0" applyAlignment="0" applyProtection="0"/>
    <xf numFmtId="0" fontId="7" fillId="0" borderId="0" applyFont="0" applyFill="0" applyBorder="0" applyAlignment="0" applyProtection="0"/>
    <xf numFmtId="41" fontId="7" fillId="0" borderId="0" applyFont="0" applyFill="0" applyBorder="0" applyAlignment="0" applyProtection="0"/>
    <xf numFmtId="41" fontId="8" fillId="0" borderId="0" applyFont="0" applyFill="0" applyBorder="0" applyAlignment="0" applyProtection="0"/>
    <xf numFmtId="41" fontId="8" fillId="0" borderId="0" applyFont="0" applyFill="0" applyBorder="0" applyAlignment="0" applyProtection="0"/>
    <xf numFmtId="41" fontId="8" fillId="0" borderId="0" applyFont="0" applyFill="0" applyBorder="0" applyAlignment="0" applyProtection="0"/>
    <xf numFmtId="41" fontId="8" fillId="0" borderId="0" applyFont="0" applyFill="0" applyBorder="0" applyAlignment="0" applyProtection="0"/>
    <xf numFmtId="41" fontId="8" fillId="0" borderId="0" applyFont="0" applyFill="0" applyBorder="0" applyAlignment="0" applyProtection="0"/>
    <xf numFmtId="41" fontId="17" fillId="0" borderId="0" applyFont="0" applyFill="0" applyBorder="0" applyAlignment="0" applyProtection="0"/>
    <xf numFmtId="41" fontId="17" fillId="0" borderId="0" applyFont="0" applyFill="0" applyBorder="0" applyAlignment="0" applyProtection="0"/>
    <xf numFmtId="41" fontId="17" fillId="0" borderId="0" applyFont="0" applyFill="0" applyBorder="0" applyAlignment="0" applyProtection="0"/>
    <xf numFmtId="41" fontId="17" fillId="0" borderId="0" applyFont="0" applyFill="0" applyBorder="0" applyAlignment="0" applyProtection="0"/>
    <xf numFmtId="41" fontId="8" fillId="0" borderId="0" applyFont="0" applyFill="0" applyBorder="0" applyAlignment="0" applyProtection="0"/>
    <xf numFmtId="41" fontId="49" fillId="0" borderId="0" applyFont="0" applyFill="0" applyBorder="0" applyAlignment="0" applyProtection="0">
      <alignment vertical="center"/>
    </xf>
    <xf numFmtId="41" fontId="49" fillId="0" borderId="0" applyFont="0" applyFill="0" applyBorder="0" applyAlignment="0" applyProtection="0">
      <alignment vertical="center"/>
    </xf>
    <xf numFmtId="41" fontId="49" fillId="0" borderId="0" applyFont="0" applyFill="0" applyBorder="0" applyAlignment="0" applyProtection="0">
      <alignment vertical="center"/>
    </xf>
    <xf numFmtId="41" fontId="49" fillId="0" borderId="0" applyFont="0" applyFill="0" applyBorder="0" applyAlignment="0" applyProtection="0">
      <alignment vertical="center"/>
    </xf>
    <xf numFmtId="41" fontId="49" fillId="0" borderId="0" applyFont="0" applyFill="0" applyBorder="0" applyAlignment="0" applyProtection="0">
      <alignment vertical="center"/>
    </xf>
    <xf numFmtId="0" fontId="7" fillId="0" borderId="0" applyFont="0" applyFill="0" applyBorder="0" applyAlignment="0" applyProtection="0"/>
    <xf numFmtId="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xf numFmtId="190" fontId="7" fillId="0" borderId="0"/>
    <xf numFmtId="0" fontId="103" fillId="0" borderId="0" applyNumberFormat="0" applyFont="0" applyFill="0" applyBorder="0" applyAlignment="0" applyProtection="0">
      <alignment vertical="center"/>
    </xf>
    <xf numFmtId="190" fontId="7" fillId="0" borderId="0"/>
    <xf numFmtId="190" fontId="7" fillId="0" borderId="0"/>
    <xf numFmtId="190" fontId="7" fillId="0" borderId="0"/>
    <xf numFmtId="0" fontId="49" fillId="0" borderId="0"/>
    <xf numFmtId="0" fontId="49" fillId="0" borderId="0"/>
    <xf numFmtId="0" fontId="49" fillId="0" borderId="0"/>
    <xf numFmtId="190" fontId="7" fillId="0" borderId="0"/>
    <xf numFmtId="0" fontId="35" fillId="0" borderId="0"/>
    <xf numFmtId="0" fontId="35" fillId="0" borderId="0"/>
    <xf numFmtId="0" fontId="35"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190" fontId="51" fillId="0" borderId="0"/>
    <xf numFmtId="0" fontId="103" fillId="0" borderId="0" applyNumberFormat="0" applyFont="0" applyFill="0" applyBorder="0" applyAlignment="0" applyProtection="0">
      <alignment vertical="center"/>
    </xf>
    <xf numFmtId="190" fontId="51" fillId="0" borderId="0"/>
    <xf numFmtId="190" fontId="51" fillId="0" borderId="0"/>
    <xf numFmtId="190" fontId="51" fillId="0" borderId="0"/>
    <xf numFmtId="0" fontId="49" fillId="0" borderId="0"/>
    <xf numFmtId="0" fontId="49" fillId="0" borderId="0"/>
    <xf numFmtId="0" fontId="49" fillId="0" borderId="0"/>
    <xf numFmtId="190" fontId="51" fillId="0" borderId="0"/>
    <xf numFmtId="0" fontId="35" fillId="0" borderId="0"/>
    <xf numFmtId="0" fontId="35" fillId="0" borderId="0"/>
    <xf numFmtId="0" fontId="35" fillId="0" borderId="0"/>
    <xf numFmtId="0" fontId="49" fillId="0" borderId="0"/>
    <xf numFmtId="0" fontId="49" fillId="0" borderId="0"/>
    <xf numFmtId="190" fontId="51" fillId="0" borderId="0"/>
    <xf numFmtId="0" fontId="103" fillId="0" borderId="0" applyNumberFormat="0" applyFont="0" applyFill="0" applyBorder="0" applyAlignment="0" applyProtection="0">
      <alignment vertical="center"/>
    </xf>
    <xf numFmtId="190" fontId="51" fillId="0" borderId="0"/>
    <xf numFmtId="190" fontId="51" fillId="0" borderId="0"/>
    <xf numFmtId="190" fontId="51" fillId="0" borderId="0"/>
    <xf numFmtId="0" fontId="49" fillId="0" borderId="0"/>
    <xf numFmtId="0" fontId="49" fillId="0" borderId="0"/>
    <xf numFmtId="0" fontId="49" fillId="0" borderId="0"/>
    <xf numFmtId="190" fontId="51" fillId="0" borderId="0"/>
    <xf numFmtId="0" fontId="35" fillId="0" borderId="0"/>
    <xf numFmtId="0" fontId="35" fillId="0" borderId="0"/>
    <xf numFmtId="0" fontId="35" fillId="0" borderId="0"/>
    <xf numFmtId="0" fontId="49" fillId="0" borderId="0"/>
    <xf numFmtId="0" fontId="49" fillId="0" borderId="0"/>
    <xf numFmtId="190" fontId="51" fillId="0" borderId="0"/>
    <xf numFmtId="190" fontId="51" fillId="0" borderId="0"/>
    <xf numFmtId="190" fontId="51" fillId="0" borderId="0"/>
    <xf numFmtId="190" fontId="51" fillId="0" borderId="0"/>
    <xf numFmtId="190" fontId="51" fillId="0" borderId="0"/>
    <xf numFmtId="0" fontId="49" fillId="0" borderId="0"/>
    <xf numFmtId="0" fontId="49" fillId="0" borderId="0"/>
    <xf numFmtId="0" fontId="49" fillId="0" borderId="0"/>
    <xf numFmtId="0" fontId="49" fillId="0" borderId="0"/>
    <xf numFmtId="0" fontId="49" fillId="0" borderId="0"/>
    <xf numFmtId="190" fontId="51" fillId="0" borderId="0"/>
    <xf numFmtId="190" fontId="51" fillId="0" borderId="0"/>
    <xf numFmtId="190" fontId="51" fillId="0" borderId="0"/>
    <xf numFmtId="190" fontId="51" fillId="0" borderId="0"/>
    <xf numFmtId="190" fontId="51" fillId="0" borderId="0"/>
    <xf numFmtId="0" fontId="49" fillId="0" borderId="0"/>
    <xf numFmtId="0" fontId="49" fillId="0" borderId="0"/>
    <xf numFmtId="0" fontId="49" fillId="0" borderId="0"/>
    <xf numFmtId="0" fontId="49" fillId="0" borderId="0"/>
    <xf numFmtId="0" fontId="49" fillId="0" borderId="0"/>
    <xf numFmtId="190" fontId="51" fillId="0" borderId="0"/>
    <xf numFmtId="190" fontId="51" fillId="0" borderId="0"/>
    <xf numFmtId="190" fontId="51" fillId="0" borderId="0"/>
    <xf numFmtId="190" fontId="51" fillId="0" borderId="0"/>
    <xf numFmtId="190" fontId="51"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197" fontId="7" fillId="0" borderId="0" applyFont="0" applyFill="0" applyBorder="0" applyAlignment="0" applyProtection="0"/>
    <xf numFmtId="197" fontId="7" fillId="0" borderId="0" applyFont="0" applyFill="0" applyBorder="0" applyAlignment="0" applyProtection="0"/>
    <xf numFmtId="197" fontId="7" fillId="0" borderId="0" applyFont="0" applyFill="0" applyBorder="0" applyAlignment="0" applyProtection="0"/>
    <xf numFmtId="197" fontId="7" fillId="0" borderId="0" applyFont="0" applyFill="0" applyBorder="0" applyAlignment="0" applyProtection="0"/>
    <xf numFmtId="197" fontId="7" fillId="0" borderId="0" applyFont="0" applyFill="0" applyBorder="0" applyAlignment="0" applyProtection="0"/>
    <xf numFmtId="0" fontId="118" fillId="0" borderId="84" applyNumberFormat="0" applyFill="0" applyAlignment="0" applyProtection="0">
      <alignment vertical="center"/>
    </xf>
    <xf numFmtId="0" fontId="118" fillId="0" borderId="84" applyNumberFormat="0" applyFill="0" applyAlignment="0" applyProtection="0">
      <alignment vertical="center"/>
    </xf>
    <xf numFmtId="190" fontId="101" fillId="0" borderId="78" applyNumberFormat="0" applyFill="0" applyAlignment="0" applyProtection="0">
      <alignment vertical="center"/>
    </xf>
    <xf numFmtId="190" fontId="101" fillId="0" borderId="78" applyNumberFormat="0" applyFill="0" applyAlignment="0" applyProtection="0">
      <alignment vertical="center"/>
    </xf>
    <xf numFmtId="190" fontId="101" fillId="0" borderId="78" applyNumberFormat="0" applyFill="0" applyAlignment="0" applyProtection="0">
      <alignment vertical="center"/>
    </xf>
    <xf numFmtId="190" fontId="101" fillId="0" borderId="78" applyNumberFormat="0" applyFill="0" applyAlignment="0" applyProtection="0">
      <alignment vertical="center"/>
    </xf>
    <xf numFmtId="190" fontId="101" fillId="0" borderId="78" applyNumberFormat="0" applyFill="0" applyAlignment="0" applyProtection="0">
      <alignment vertical="center"/>
    </xf>
    <xf numFmtId="190" fontId="101" fillId="0" borderId="78" applyNumberFormat="0" applyFill="0" applyAlignment="0" applyProtection="0">
      <alignment vertical="center"/>
    </xf>
    <xf numFmtId="190" fontId="101" fillId="0" borderId="78" applyNumberFormat="0" applyFill="0" applyAlignment="0" applyProtection="0">
      <alignment vertical="center"/>
    </xf>
    <xf numFmtId="190" fontId="101" fillId="0" borderId="78" applyNumberFormat="0" applyFill="0" applyAlignment="0" applyProtection="0">
      <alignment vertical="center"/>
    </xf>
    <xf numFmtId="0" fontId="118" fillId="0" borderId="84" applyNumberFormat="0" applyFill="0" applyAlignment="0" applyProtection="0">
      <alignment vertical="center"/>
    </xf>
    <xf numFmtId="0" fontId="118" fillId="0" borderId="84" applyNumberFormat="0" applyFill="0" applyAlignment="0" applyProtection="0">
      <alignment vertical="center"/>
    </xf>
    <xf numFmtId="0" fontId="118" fillId="0" borderId="84" applyNumberFormat="0" applyFill="0" applyAlignment="0" applyProtection="0">
      <alignment vertical="center"/>
    </xf>
    <xf numFmtId="0" fontId="118" fillId="0" borderId="84" applyNumberFormat="0" applyFill="0" applyAlignment="0" applyProtection="0">
      <alignment vertical="center"/>
    </xf>
    <xf numFmtId="0" fontId="118" fillId="0" borderId="84" applyNumberFormat="0" applyFill="0" applyAlignment="0" applyProtection="0">
      <alignment vertical="center"/>
    </xf>
    <xf numFmtId="0" fontId="118" fillId="0" borderId="84" applyNumberFormat="0" applyFill="0" applyAlignment="0" applyProtection="0">
      <alignment vertical="center"/>
    </xf>
    <xf numFmtId="0" fontId="118" fillId="0" borderId="84" applyNumberFormat="0" applyFill="0" applyAlignment="0" applyProtection="0">
      <alignment vertical="center"/>
    </xf>
    <xf numFmtId="0" fontId="118" fillId="0" borderId="84" applyNumberFormat="0" applyFill="0" applyAlignment="0" applyProtection="0">
      <alignment vertical="center"/>
    </xf>
    <xf numFmtId="0" fontId="126" fillId="0" borderId="0" applyNumberFormat="0" applyFill="0" applyBorder="0" applyAlignment="0" applyProtection="0">
      <alignment vertical="top"/>
      <protection locked="0"/>
    </xf>
    <xf numFmtId="0" fontId="126" fillId="0" borderId="0" applyNumberFormat="0" applyFill="0" applyBorder="0" applyAlignment="0" applyProtection="0">
      <alignment vertical="top"/>
      <protection locked="0"/>
    </xf>
    <xf numFmtId="0" fontId="126" fillId="0" borderId="0" applyNumberFormat="0" applyFill="0" applyBorder="0" applyAlignment="0" applyProtection="0">
      <alignment vertical="top"/>
      <protection locked="0"/>
    </xf>
    <xf numFmtId="0" fontId="126" fillId="0" borderId="0" applyNumberFormat="0" applyFill="0" applyBorder="0" applyAlignment="0" applyProtection="0">
      <alignment vertical="top"/>
      <protection locked="0"/>
    </xf>
    <xf numFmtId="0" fontId="126" fillId="0" borderId="0" applyNumberFormat="0" applyFill="0" applyBorder="0" applyAlignment="0" applyProtection="0">
      <alignment vertical="top"/>
      <protection locked="0"/>
    </xf>
    <xf numFmtId="0" fontId="116" fillId="0" borderId="85" applyNumberFormat="0" applyFill="0" applyAlignment="0" applyProtection="0">
      <alignment vertical="center"/>
    </xf>
    <xf numFmtId="0" fontId="116" fillId="0" borderId="85" applyNumberFormat="0" applyFill="0" applyAlignment="0" applyProtection="0">
      <alignment vertical="center"/>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190" fontId="116" fillId="0" borderId="83" applyNumberFormat="0" applyFill="0" applyAlignment="0" applyProtection="0">
      <alignment vertical="center"/>
    </xf>
    <xf numFmtId="0" fontId="116" fillId="0" borderId="85" applyNumberFormat="0" applyFill="0" applyAlignment="0" applyProtection="0">
      <alignment vertical="center"/>
    </xf>
    <xf numFmtId="190" fontId="116" fillId="0" borderId="83" applyNumberFormat="0" applyFill="0" applyAlignment="0" applyProtection="0">
      <alignment vertical="center"/>
    </xf>
    <xf numFmtId="0" fontId="116" fillId="0" borderId="85" applyNumberFormat="0" applyFill="0" applyAlignment="0" applyProtection="0">
      <alignment vertical="center"/>
    </xf>
    <xf numFmtId="190" fontId="116" fillId="0" borderId="83" applyNumberFormat="0" applyFill="0" applyAlignment="0" applyProtection="0">
      <alignment vertical="center"/>
    </xf>
    <xf numFmtId="0" fontId="116" fillId="0" borderId="85" applyNumberFormat="0" applyFill="0" applyAlignment="0" applyProtection="0">
      <alignment vertical="center"/>
    </xf>
    <xf numFmtId="190" fontId="116" fillId="0" borderId="83" applyNumberFormat="0" applyFill="0" applyAlignment="0" applyProtection="0">
      <alignment vertical="center"/>
    </xf>
    <xf numFmtId="0" fontId="116" fillId="0" borderId="85" applyNumberFormat="0" applyFill="0" applyAlignment="0" applyProtection="0">
      <alignment vertical="center"/>
    </xf>
    <xf numFmtId="0" fontId="116" fillId="0" borderId="85" applyNumberFormat="0" applyFill="0" applyAlignment="0" applyProtection="0">
      <alignment vertical="center"/>
    </xf>
    <xf numFmtId="0" fontId="116" fillId="0" borderId="85" applyNumberFormat="0" applyFill="0" applyAlignment="0" applyProtection="0">
      <alignment vertical="center"/>
    </xf>
    <xf numFmtId="0" fontId="116" fillId="0" borderId="85" applyNumberFormat="0" applyFill="0" applyAlignment="0" applyProtection="0">
      <alignment vertical="center"/>
    </xf>
    <xf numFmtId="0" fontId="116" fillId="0" borderId="85" applyNumberFormat="0" applyFill="0" applyAlignment="0" applyProtection="0">
      <alignment vertical="center"/>
    </xf>
    <xf numFmtId="0" fontId="116" fillId="0" borderId="85" applyNumberFormat="0" applyFill="0" applyAlignment="0" applyProtection="0">
      <alignment vertical="center"/>
    </xf>
    <xf numFmtId="0" fontId="116" fillId="0" borderId="85" applyNumberFormat="0" applyFill="0" applyAlignment="0" applyProtection="0">
      <alignment vertical="center"/>
    </xf>
    <xf numFmtId="0" fontId="116" fillId="0" borderId="85" applyNumberFormat="0" applyFill="0" applyAlignment="0" applyProtection="0">
      <alignment vertical="center"/>
    </xf>
    <xf numFmtId="0" fontId="116" fillId="0" borderId="85" applyNumberFormat="0" applyFill="0" applyAlignment="0" applyProtection="0">
      <alignment vertical="center"/>
    </xf>
    <xf numFmtId="0" fontId="116" fillId="0" borderId="85" applyNumberFormat="0" applyFill="0" applyAlignment="0" applyProtection="0">
      <alignment vertical="center"/>
    </xf>
    <xf numFmtId="0" fontId="116" fillId="0" borderId="85" applyNumberFormat="0" applyFill="0" applyAlignment="0" applyProtection="0">
      <alignment vertical="center"/>
    </xf>
    <xf numFmtId="0" fontId="99" fillId="22" borderId="73" applyNumberFormat="0" applyAlignment="0" applyProtection="0">
      <alignment vertical="center"/>
    </xf>
    <xf numFmtId="0" fontId="99" fillId="22"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190" fontId="99" fillId="16" borderId="73" applyNumberFormat="0" applyAlignment="0" applyProtection="0">
      <alignment vertical="center"/>
    </xf>
    <xf numFmtId="0" fontId="99" fillId="22" borderId="73" applyNumberFormat="0" applyAlignment="0" applyProtection="0">
      <alignment vertical="center"/>
    </xf>
    <xf numFmtId="190" fontId="99" fillId="16" borderId="73" applyNumberFormat="0" applyAlignment="0" applyProtection="0">
      <alignment vertical="center"/>
    </xf>
    <xf numFmtId="0" fontId="99" fillId="22" borderId="73" applyNumberFormat="0" applyAlignment="0" applyProtection="0">
      <alignment vertical="center"/>
    </xf>
    <xf numFmtId="190" fontId="99" fillId="16" borderId="73" applyNumberFormat="0" applyAlignment="0" applyProtection="0">
      <alignment vertical="center"/>
    </xf>
    <xf numFmtId="0" fontId="99" fillId="22" borderId="73" applyNumberFormat="0" applyAlignment="0" applyProtection="0">
      <alignment vertical="center"/>
    </xf>
    <xf numFmtId="190" fontId="99" fillId="16" borderId="73" applyNumberFormat="0" applyAlignment="0" applyProtection="0">
      <alignment vertical="center"/>
    </xf>
    <xf numFmtId="0" fontId="99" fillId="22" borderId="73" applyNumberFormat="0" applyAlignment="0" applyProtection="0">
      <alignment vertical="center"/>
    </xf>
    <xf numFmtId="0" fontId="99" fillId="22" borderId="73" applyNumberFormat="0" applyAlignment="0" applyProtection="0">
      <alignment vertical="center"/>
    </xf>
    <xf numFmtId="0" fontId="99" fillId="22" borderId="73" applyNumberFormat="0" applyAlignment="0" applyProtection="0">
      <alignment vertical="center"/>
    </xf>
    <xf numFmtId="0" fontId="99" fillId="22" borderId="73" applyNumberFormat="0" applyAlignment="0" applyProtection="0">
      <alignment vertical="center"/>
    </xf>
    <xf numFmtId="0" fontId="99" fillId="22" borderId="73" applyNumberFormat="0" applyAlignment="0" applyProtection="0">
      <alignment vertical="center"/>
    </xf>
    <xf numFmtId="0" fontId="99" fillId="22" borderId="73" applyNumberFormat="0" applyAlignment="0" applyProtection="0">
      <alignment vertical="center"/>
    </xf>
    <xf numFmtId="0" fontId="99" fillId="22" borderId="73" applyNumberFormat="0" applyAlignment="0" applyProtection="0">
      <alignment vertical="center"/>
    </xf>
    <xf numFmtId="0" fontId="99" fillId="22" borderId="73" applyNumberFormat="0" applyAlignment="0" applyProtection="0">
      <alignment vertical="center"/>
    </xf>
    <xf numFmtId="0" fontId="99" fillId="22" borderId="73" applyNumberFormat="0" applyAlignment="0" applyProtection="0">
      <alignment vertical="center"/>
    </xf>
    <xf numFmtId="0" fontId="99" fillId="22" borderId="73" applyNumberFormat="0" applyAlignment="0" applyProtection="0">
      <alignment vertical="center"/>
    </xf>
    <xf numFmtId="0" fontId="99" fillId="22" borderId="73" applyNumberFormat="0" applyAlignment="0" applyProtection="0">
      <alignment vertical="center"/>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4" fontId="77" fillId="0" borderId="0">
      <protection locked="0"/>
    </xf>
    <xf numFmtId="230" fontId="6" fillId="0" borderId="0">
      <protection locked="0"/>
    </xf>
    <xf numFmtId="0" fontId="103" fillId="0" borderId="0" applyNumberFormat="0" applyFont="0" applyFill="0" applyBorder="0" applyAlignment="0" applyProtection="0">
      <alignment vertical="center"/>
    </xf>
    <xf numFmtId="230" fontId="6" fillId="0" borderId="0">
      <protection locked="0"/>
    </xf>
    <xf numFmtId="230" fontId="6" fillId="0" borderId="0">
      <protection locked="0"/>
    </xf>
    <xf numFmtId="230" fontId="6" fillId="0" borderId="0">
      <protection locked="0"/>
    </xf>
    <xf numFmtId="231" fontId="42" fillId="0" borderId="0">
      <protection locked="0"/>
    </xf>
    <xf numFmtId="231" fontId="42" fillId="0" borderId="0">
      <protection locked="0"/>
    </xf>
    <xf numFmtId="231" fontId="42" fillId="0" borderId="0">
      <protection locked="0"/>
    </xf>
    <xf numFmtId="230" fontId="6" fillId="0" borderId="0">
      <protection locked="0"/>
    </xf>
    <xf numFmtId="0" fontId="127" fillId="0" borderId="86" applyNumberFormat="0" applyFill="0" applyAlignment="0" applyProtection="0">
      <alignment vertical="center"/>
    </xf>
    <xf numFmtId="0" fontId="127" fillId="0" borderId="86"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190" fontId="93" fillId="0" borderId="75" applyNumberFormat="0" applyFill="0" applyAlignment="0" applyProtection="0">
      <alignment vertical="center"/>
    </xf>
    <xf numFmtId="0" fontId="127" fillId="0" borderId="86" applyNumberFormat="0" applyFill="0" applyAlignment="0" applyProtection="0">
      <alignment vertical="center"/>
    </xf>
    <xf numFmtId="0" fontId="127" fillId="0" borderId="86" applyNumberFormat="0" applyFill="0" applyAlignment="0" applyProtection="0">
      <alignment vertical="center"/>
    </xf>
    <xf numFmtId="0" fontId="127" fillId="0" borderId="86" applyNumberFormat="0" applyFill="0" applyAlignment="0" applyProtection="0">
      <alignment vertical="center"/>
    </xf>
    <xf numFmtId="0" fontId="127" fillId="0" borderId="86" applyNumberFormat="0" applyFill="0" applyAlignment="0" applyProtection="0">
      <alignment vertical="center"/>
    </xf>
    <xf numFmtId="0" fontId="127" fillId="0" borderId="86" applyNumberFormat="0" applyFill="0" applyAlignment="0" applyProtection="0">
      <alignment vertical="center"/>
    </xf>
    <xf numFmtId="0" fontId="127" fillId="0" borderId="86" applyNumberFormat="0" applyFill="0" applyAlignment="0" applyProtection="0">
      <alignment vertical="center"/>
    </xf>
    <xf numFmtId="0" fontId="127" fillId="0" borderId="86" applyNumberFormat="0" applyFill="0" applyAlignment="0" applyProtection="0">
      <alignment vertical="center"/>
    </xf>
    <xf numFmtId="0" fontId="127" fillId="0" borderId="86" applyNumberFormat="0" applyFill="0" applyAlignment="0" applyProtection="0">
      <alignment vertical="center"/>
    </xf>
    <xf numFmtId="0" fontId="128" fillId="0" borderId="0" applyNumberFormat="0" applyFill="0" applyBorder="0" applyAlignment="0" applyProtection="0">
      <alignment vertical="center"/>
    </xf>
    <xf numFmtId="0" fontId="129" fillId="0" borderId="87" applyNumberFormat="0" applyFill="0" applyAlignment="0" applyProtection="0">
      <alignment vertical="center"/>
    </xf>
    <xf numFmtId="0" fontId="129" fillId="0" borderId="87"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190" fontId="94" fillId="0" borderId="76" applyNumberFormat="0" applyFill="0" applyAlignment="0" applyProtection="0">
      <alignment vertical="center"/>
    </xf>
    <xf numFmtId="0" fontId="129" fillId="0" borderId="87" applyNumberFormat="0" applyFill="0" applyAlignment="0" applyProtection="0">
      <alignment vertical="center"/>
    </xf>
    <xf numFmtId="0" fontId="129" fillId="0" borderId="87" applyNumberFormat="0" applyFill="0" applyAlignment="0" applyProtection="0">
      <alignment vertical="center"/>
    </xf>
    <xf numFmtId="0" fontId="129" fillId="0" borderId="87" applyNumberFormat="0" applyFill="0" applyAlignment="0" applyProtection="0">
      <alignment vertical="center"/>
    </xf>
    <xf numFmtId="0" fontId="129" fillId="0" borderId="87" applyNumberFormat="0" applyFill="0" applyAlignment="0" applyProtection="0">
      <alignment vertical="center"/>
    </xf>
    <xf numFmtId="0" fontId="129" fillId="0" borderId="87" applyNumberFormat="0" applyFill="0" applyAlignment="0" applyProtection="0">
      <alignment vertical="center"/>
    </xf>
    <xf numFmtId="0" fontId="129" fillId="0" borderId="87" applyNumberFormat="0" applyFill="0" applyAlignment="0" applyProtection="0">
      <alignment vertical="center"/>
    </xf>
    <xf numFmtId="0" fontId="129" fillId="0" borderId="87" applyNumberFormat="0" applyFill="0" applyAlignment="0" applyProtection="0">
      <alignment vertical="center"/>
    </xf>
    <xf numFmtId="0" fontId="129" fillId="0" borderId="87" applyNumberFormat="0" applyFill="0" applyAlignment="0" applyProtection="0">
      <alignment vertical="center"/>
    </xf>
    <xf numFmtId="0" fontId="130" fillId="0" borderId="88" applyNumberFormat="0" applyFill="0" applyAlignment="0" applyProtection="0">
      <alignment vertical="center"/>
    </xf>
    <xf numFmtId="0" fontId="130" fillId="0" borderId="88" applyNumberFormat="0" applyFill="0" applyAlignment="0" applyProtection="0">
      <alignment vertical="center"/>
    </xf>
    <xf numFmtId="190" fontId="96" fillId="0" borderId="77" applyNumberFormat="0" applyFill="0" applyAlignment="0" applyProtection="0">
      <alignment vertical="center"/>
    </xf>
    <xf numFmtId="190" fontId="96" fillId="0" borderId="77" applyNumberFormat="0" applyFill="0" applyAlignment="0" applyProtection="0">
      <alignment vertical="center"/>
    </xf>
    <xf numFmtId="190" fontId="96" fillId="0" borderId="77" applyNumberFormat="0" applyFill="0" applyAlignment="0" applyProtection="0">
      <alignment vertical="center"/>
    </xf>
    <xf numFmtId="190" fontId="96" fillId="0" borderId="77" applyNumberFormat="0" applyFill="0" applyAlignment="0" applyProtection="0">
      <alignment vertical="center"/>
    </xf>
    <xf numFmtId="190" fontId="96" fillId="0" borderId="77" applyNumberFormat="0" applyFill="0" applyAlignment="0" applyProtection="0">
      <alignment vertical="center"/>
    </xf>
    <xf numFmtId="190" fontId="96" fillId="0" borderId="77" applyNumberFormat="0" applyFill="0" applyAlignment="0" applyProtection="0">
      <alignment vertical="center"/>
    </xf>
    <xf numFmtId="190" fontId="96" fillId="0" borderId="77" applyNumberFormat="0" applyFill="0" applyAlignment="0" applyProtection="0">
      <alignment vertical="center"/>
    </xf>
    <xf numFmtId="190" fontId="96" fillId="0" borderId="77" applyNumberFormat="0" applyFill="0" applyAlignment="0" applyProtection="0">
      <alignment vertical="center"/>
    </xf>
    <xf numFmtId="0" fontId="130" fillId="0" borderId="88" applyNumberFormat="0" applyFill="0" applyAlignment="0" applyProtection="0">
      <alignment vertical="center"/>
    </xf>
    <xf numFmtId="0" fontId="130" fillId="0" borderId="88" applyNumberFormat="0" applyFill="0" applyAlignment="0" applyProtection="0">
      <alignment vertical="center"/>
    </xf>
    <xf numFmtId="0" fontId="130" fillId="0" borderId="88" applyNumberFormat="0" applyFill="0" applyAlignment="0" applyProtection="0">
      <alignment vertical="center"/>
    </xf>
    <xf numFmtId="0" fontId="130" fillId="0" borderId="88" applyNumberFormat="0" applyFill="0" applyAlignment="0" applyProtection="0">
      <alignment vertical="center"/>
    </xf>
    <xf numFmtId="0" fontId="130" fillId="0" borderId="88" applyNumberFormat="0" applyFill="0" applyAlignment="0" applyProtection="0">
      <alignment vertical="center"/>
    </xf>
    <xf numFmtId="0" fontId="130" fillId="0" borderId="88" applyNumberFormat="0" applyFill="0" applyAlignment="0" applyProtection="0">
      <alignment vertical="center"/>
    </xf>
    <xf numFmtId="0" fontId="130" fillId="0" borderId="88" applyNumberFormat="0" applyFill="0" applyAlignment="0" applyProtection="0">
      <alignment vertical="center"/>
    </xf>
    <xf numFmtId="0" fontId="130" fillId="0" borderId="88" applyNumberFormat="0" applyFill="0" applyAlignment="0" applyProtection="0">
      <alignment vertical="center"/>
    </xf>
    <xf numFmtId="0" fontId="130" fillId="0" borderId="0" applyNumberFormat="0" applyFill="0" applyBorder="0" applyAlignment="0" applyProtection="0">
      <alignment vertical="center"/>
    </xf>
    <xf numFmtId="0" fontId="130" fillId="0" borderId="0" applyNumberFormat="0" applyFill="0" applyBorder="0" applyAlignment="0" applyProtection="0">
      <alignment vertical="center"/>
    </xf>
    <xf numFmtId="190" fontId="96" fillId="0" borderId="0" applyNumberFormat="0" applyFill="0" applyBorder="0" applyAlignment="0" applyProtection="0">
      <alignment vertical="center"/>
    </xf>
    <xf numFmtId="190" fontId="96" fillId="0" borderId="0" applyNumberFormat="0" applyFill="0" applyBorder="0" applyAlignment="0" applyProtection="0">
      <alignment vertical="center"/>
    </xf>
    <xf numFmtId="190" fontId="96" fillId="0" borderId="0" applyNumberFormat="0" applyFill="0" applyBorder="0" applyAlignment="0" applyProtection="0">
      <alignment vertical="center"/>
    </xf>
    <xf numFmtId="190" fontId="96" fillId="0" borderId="0" applyNumberFormat="0" applyFill="0" applyBorder="0" applyAlignment="0" applyProtection="0">
      <alignment vertical="center"/>
    </xf>
    <xf numFmtId="190" fontId="96" fillId="0" borderId="0" applyNumberFormat="0" applyFill="0" applyBorder="0" applyAlignment="0" applyProtection="0">
      <alignment vertical="center"/>
    </xf>
    <xf numFmtId="190" fontId="96" fillId="0" borderId="0" applyNumberFormat="0" applyFill="0" applyBorder="0" applyAlignment="0" applyProtection="0">
      <alignment vertical="center"/>
    </xf>
    <xf numFmtId="190" fontId="96" fillId="0" borderId="0" applyNumberFormat="0" applyFill="0" applyBorder="0" applyAlignment="0" applyProtection="0">
      <alignment vertical="center"/>
    </xf>
    <xf numFmtId="190" fontId="96" fillId="0" borderId="0" applyNumberFormat="0" applyFill="0" applyBorder="0" applyAlignment="0" applyProtection="0">
      <alignment vertical="center"/>
    </xf>
    <xf numFmtId="0" fontId="130" fillId="0" borderId="0" applyNumberFormat="0" applyFill="0" applyBorder="0" applyAlignment="0" applyProtection="0">
      <alignment vertical="center"/>
    </xf>
    <xf numFmtId="0" fontId="130" fillId="0" borderId="0" applyNumberFormat="0" applyFill="0" applyBorder="0" applyAlignment="0" applyProtection="0">
      <alignment vertical="center"/>
    </xf>
    <xf numFmtId="0" fontId="130" fillId="0" borderId="0" applyNumberFormat="0" applyFill="0" applyBorder="0" applyAlignment="0" applyProtection="0">
      <alignment vertical="center"/>
    </xf>
    <xf numFmtId="0" fontId="130" fillId="0" borderId="0" applyNumberFormat="0" applyFill="0" applyBorder="0" applyAlignment="0" applyProtection="0">
      <alignment vertical="center"/>
    </xf>
    <xf numFmtId="0" fontId="130" fillId="0" borderId="0" applyNumberFormat="0" applyFill="0" applyBorder="0" applyAlignment="0" applyProtection="0">
      <alignment vertical="center"/>
    </xf>
    <xf numFmtId="0" fontId="130" fillId="0" borderId="0" applyNumberFormat="0" applyFill="0" applyBorder="0" applyAlignment="0" applyProtection="0">
      <alignment vertical="center"/>
    </xf>
    <xf numFmtId="0" fontId="130" fillId="0" borderId="0" applyNumberFormat="0" applyFill="0" applyBorder="0" applyAlignment="0" applyProtection="0">
      <alignment vertical="center"/>
    </xf>
    <xf numFmtId="0" fontId="130"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19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15"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128" fillId="0" borderId="0" applyNumberFormat="0" applyFill="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190" fontId="88" fillId="13" borderId="0" applyNumberFormat="0" applyBorder="0" applyAlignment="0" applyProtection="0">
      <alignment vertical="center"/>
    </xf>
    <xf numFmtId="190" fontId="88" fillId="13" borderId="0" applyNumberFormat="0" applyBorder="0" applyAlignment="0" applyProtection="0">
      <alignment vertical="center"/>
    </xf>
    <xf numFmtId="190" fontId="88" fillId="13" borderId="0" applyNumberFormat="0" applyBorder="0" applyAlignment="0" applyProtection="0">
      <alignment vertical="center"/>
    </xf>
    <xf numFmtId="190" fontId="88" fillId="13" borderId="0" applyNumberFormat="0" applyBorder="0" applyAlignment="0" applyProtection="0">
      <alignment vertical="center"/>
    </xf>
    <xf numFmtId="190" fontId="88" fillId="13" borderId="0" applyNumberFormat="0" applyBorder="0" applyAlignment="0" applyProtection="0">
      <alignment vertical="center"/>
    </xf>
    <xf numFmtId="190" fontId="88" fillId="13" borderId="0" applyNumberFormat="0" applyBorder="0" applyAlignment="0" applyProtection="0">
      <alignment vertical="center"/>
    </xf>
    <xf numFmtId="190" fontId="88" fillId="13" borderId="0" applyNumberFormat="0" applyBorder="0" applyAlignment="0" applyProtection="0">
      <alignment vertical="center"/>
    </xf>
    <xf numFmtId="190" fontId="88" fillId="13" borderId="0" applyNumberFormat="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88" fillId="15" borderId="0" applyNumberFormat="0" applyBorder="0" applyAlignment="0" applyProtection="0">
      <alignment vertical="center"/>
    </xf>
    <xf numFmtId="0" fontId="6" fillId="0" borderId="0"/>
    <xf numFmtId="190" fontId="6" fillId="0" borderId="0"/>
    <xf numFmtId="190" fontId="6" fillId="0" borderId="0"/>
    <xf numFmtId="190" fontId="6" fillId="0" borderId="0"/>
    <xf numFmtId="190" fontId="6" fillId="0" borderId="0"/>
    <xf numFmtId="190" fontId="6" fillId="0" borderId="0"/>
    <xf numFmtId="0" fontId="6" fillId="0" borderId="0"/>
    <xf numFmtId="0" fontId="6" fillId="0" borderId="0"/>
    <xf numFmtId="0" fontId="6" fillId="0" borderId="0"/>
    <xf numFmtId="0" fontId="6" fillId="0" borderId="0"/>
    <xf numFmtId="0" fontId="112" fillId="10" borderId="80" applyNumberFormat="0" applyAlignment="0" applyProtection="0">
      <alignment vertical="center"/>
    </xf>
    <xf numFmtId="0" fontId="112" fillId="10"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190" fontId="112" fillId="31" borderId="80" applyNumberFormat="0" applyAlignment="0" applyProtection="0">
      <alignment vertical="center"/>
    </xf>
    <xf numFmtId="0" fontId="112" fillId="10" borderId="80" applyNumberFormat="0" applyAlignment="0" applyProtection="0">
      <alignment vertical="center"/>
    </xf>
    <xf numFmtId="190" fontId="112" fillId="31" borderId="80" applyNumberFormat="0" applyAlignment="0" applyProtection="0">
      <alignment vertical="center"/>
    </xf>
    <xf numFmtId="0" fontId="112" fillId="10" borderId="80" applyNumberFormat="0" applyAlignment="0" applyProtection="0">
      <alignment vertical="center"/>
    </xf>
    <xf numFmtId="190" fontId="112" fillId="31" borderId="80" applyNumberFormat="0" applyAlignment="0" applyProtection="0">
      <alignment vertical="center"/>
    </xf>
    <xf numFmtId="0" fontId="112" fillId="10" borderId="80" applyNumberFormat="0" applyAlignment="0" applyProtection="0">
      <alignment vertical="center"/>
    </xf>
    <xf numFmtId="190" fontId="112" fillId="31" borderId="80" applyNumberFormat="0" applyAlignment="0" applyProtection="0">
      <alignment vertical="center"/>
    </xf>
    <xf numFmtId="0" fontId="112" fillId="10" borderId="80" applyNumberFormat="0" applyAlignment="0" applyProtection="0">
      <alignment vertical="center"/>
    </xf>
    <xf numFmtId="0" fontId="112" fillId="10" borderId="80" applyNumberFormat="0" applyAlignment="0" applyProtection="0">
      <alignment vertical="center"/>
    </xf>
    <xf numFmtId="0" fontId="112" fillId="10" borderId="80" applyNumberFormat="0" applyAlignment="0" applyProtection="0">
      <alignment vertical="center"/>
    </xf>
    <xf numFmtId="0" fontId="112" fillId="10" borderId="80" applyNumberFormat="0" applyAlignment="0" applyProtection="0">
      <alignment vertical="center"/>
    </xf>
    <xf numFmtId="0" fontId="112" fillId="10" borderId="80" applyNumberFormat="0" applyAlignment="0" applyProtection="0">
      <alignment vertical="center"/>
    </xf>
    <xf numFmtId="0" fontId="112" fillId="10" borderId="80" applyNumberFormat="0" applyAlignment="0" applyProtection="0">
      <alignment vertical="center"/>
    </xf>
    <xf numFmtId="0" fontId="112" fillId="10" borderId="80" applyNumberFormat="0" applyAlignment="0" applyProtection="0">
      <alignment vertical="center"/>
    </xf>
    <xf numFmtId="0" fontId="112" fillId="10" borderId="80" applyNumberFormat="0" applyAlignment="0" applyProtection="0">
      <alignment vertical="center"/>
    </xf>
    <xf numFmtId="0" fontId="112" fillId="10" borderId="80" applyNumberFormat="0" applyAlignment="0" applyProtection="0">
      <alignment vertical="center"/>
    </xf>
    <xf numFmtId="0" fontId="112" fillId="10" borderId="80" applyNumberFormat="0" applyAlignment="0" applyProtection="0">
      <alignment vertical="center"/>
    </xf>
    <xf numFmtId="0" fontId="112" fillId="10" borderId="80" applyNumberFormat="0" applyAlignment="0" applyProtection="0">
      <alignment vertical="center"/>
    </xf>
    <xf numFmtId="0" fontId="6" fillId="0" borderId="0" applyFont="0" applyFill="0" applyBorder="0" applyAlignment="0" applyProtection="0"/>
    <xf numFmtId="0" fontId="6" fillId="0" borderId="0" applyFont="0" applyFill="0" applyBorder="0" applyAlignment="0" applyProtection="0"/>
    <xf numFmtId="8" fontId="131" fillId="0" borderId="0" applyFont="0" applyFill="0" applyBorder="0" applyAlignment="0" applyProtection="0"/>
    <xf numFmtId="42" fontId="49" fillId="0" borderId="0" applyFont="0" applyFill="0" applyBorder="0" applyAlignment="0" applyProtection="0">
      <alignment vertical="center"/>
    </xf>
    <xf numFmtId="6" fontId="131" fillId="0" borderId="0" applyFont="0" applyFill="0" applyBorder="0" applyAlignment="0" applyProtection="0"/>
    <xf numFmtId="232" fontId="6" fillId="0" borderId="0">
      <protection locked="0"/>
    </xf>
    <xf numFmtId="0" fontId="103" fillId="0" borderId="0" applyNumberFormat="0" applyFont="0" applyFill="0" applyBorder="0" applyAlignment="0" applyProtection="0">
      <alignment vertical="center"/>
    </xf>
    <xf numFmtId="232" fontId="6" fillId="0" borderId="0">
      <protection locked="0"/>
    </xf>
    <xf numFmtId="232" fontId="6" fillId="0" borderId="0">
      <protection locked="0"/>
    </xf>
    <xf numFmtId="232" fontId="6" fillId="0" borderId="0">
      <protection locked="0"/>
    </xf>
    <xf numFmtId="227" fontId="42" fillId="0" borderId="0">
      <protection locked="0"/>
    </xf>
    <xf numFmtId="227" fontId="42" fillId="0" borderId="0">
      <protection locked="0"/>
    </xf>
    <xf numFmtId="227" fontId="42" fillId="0" borderId="0">
      <protection locked="0"/>
    </xf>
    <xf numFmtId="232" fontId="6" fillId="0" borderId="0">
      <protection locked="0"/>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03" fillId="0" borderId="0">
      <alignment vertical="center"/>
    </xf>
    <xf numFmtId="0" fontId="103" fillId="0" borderId="0">
      <alignment vertical="center"/>
    </xf>
    <xf numFmtId="0" fontId="7" fillId="0" borderId="0" applyFill="0" applyProtection="0"/>
    <xf numFmtId="0" fontId="132" fillId="0" borderId="0">
      <alignment vertical="center"/>
    </xf>
    <xf numFmtId="0" fontId="49" fillId="0" borderId="0"/>
    <xf numFmtId="0" fontId="49"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20" fillId="0" borderId="0"/>
    <xf numFmtId="0" fontId="49" fillId="0" borderId="0">
      <alignment vertical="center"/>
    </xf>
    <xf numFmtId="190" fontId="49" fillId="0" borderId="0">
      <alignment vertical="center"/>
    </xf>
    <xf numFmtId="190" fontId="49" fillId="0" borderId="0">
      <alignment vertical="center"/>
    </xf>
    <xf numFmtId="190" fontId="49" fillId="0" borderId="0">
      <alignment vertical="center"/>
    </xf>
    <xf numFmtId="190" fontId="49" fillId="0" borderId="0">
      <alignment vertical="center"/>
    </xf>
    <xf numFmtId="19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133" fillId="0" borderId="0"/>
    <xf numFmtId="190" fontId="48" fillId="0" borderId="0">
      <alignment vertical="center"/>
    </xf>
    <xf numFmtId="0" fontId="49" fillId="0" borderId="0">
      <alignment vertical="center"/>
    </xf>
    <xf numFmtId="0" fontId="49" fillId="0" borderId="0">
      <alignment vertical="center"/>
    </xf>
    <xf numFmtId="0" fontId="49" fillId="0" borderId="0">
      <alignment vertical="center"/>
    </xf>
    <xf numFmtId="0" fontId="133" fillId="0" borderId="0"/>
    <xf numFmtId="0" fontId="133" fillId="0" borderId="0"/>
    <xf numFmtId="0" fontId="133" fillId="0" borderId="0"/>
    <xf numFmtId="0" fontId="20" fillId="0" borderId="0"/>
    <xf numFmtId="0" fontId="20" fillId="0" borderId="0"/>
    <xf numFmtId="190" fontId="48" fillId="0" borderId="0">
      <alignment vertical="center"/>
    </xf>
    <xf numFmtId="190" fontId="48" fillId="0" borderId="0">
      <alignment vertical="center"/>
    </xf>
    <xf numFmtId="190" fontId="48" fillId="0" borderId="0">
      <alignment vertical="center"/>
    </xf>
    <xf numFmtId="190" fontId="48"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8" fillId="0" borderId="0"/>
    <xf numFmtId="0" fontId="8" fillId="0" borderId="0"/>
    <xf numFmtId="0" fontId="8" fillId="0" borderId="0"/>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49" fillId="0" borderId="0">
      <alignment vertical="center"/>
    </xf>
    <xf numFmtId="0" fontId="56" fillId="0" borderId="0">
      <alignment vertical="center"/>
    </xf>
    <xf numFmtId="0" fontId="56" fillId="0" borderId="0">
      <alignment vertical="center"/>
    </xf>
    <xf numFmtId="0" fontId="56" fillId="0" borderId="0">
      <alignment vertical="center"/>
    </xf>
    <xf numFmtId="0" fontId="56" fillId="0" borderId="0">
      <alignment vertical="center"/>
    </xf>
    <xf numFmtId="0" fontId="56" fillId="0" borderId="0">
      <alignment vertical="center"/>
    </xf>
    <xf numFmtId="0" fontId="56" fillId="0" borderId="0">
      <alignment vertical="center"/>
    </xf>
    <xf numFmtId="0" fontId="56" fillId="0" borderId="0">
      <alignment vertical="center"/>
    </xf>
    <xf numFmtId="0" fontId="49" fillId="0" borderId="0">
      <alignment vertical="center"/>
    </xf>
    <xf numFmtId="0" fontId="20" fillId="0" borderId="0"/>
    <xf numFmtId="0" fontId="8" fillId="0" borderId="0"/>
    <xf numFmtId="0" fontId="8" fillId="0" borderId="0"/>
    <xf numFmtId="0" fontId="134" fillId="0" borderId="0" applyNumberFormat="0" applyFill="0" applyBorder="0" applyProtection="0">
      <alignment vertical="top" wrapText="1"/>
    </xf>
    <xf numFmtId="0" fontId="134" fillId="0" borderId="0" applyNumberFormat="0" applyFill="0" applyBorder="0" applyProtection="0">
      <alignment vertical="top" wrapText="1"/>
    </xf>
    <xf numFmtId="0" fontId="134" fillId="0" borderId="0" applyNumberFormat="0" applyFill="0" applyBorder="0" applyProtection="0">
      <alignment vertical="top" wrapText="1"/>
    </xf>
    <xf numFmtId="0" fontId="134" fillId="0" borderId="0" applyNumberFormat="0" applyFill="0" applyBorder="0" applyProtection="0">
      <alignment vertical="top" wrapText="1"/>
    </xf>
    <xf numFmtId="0" fontId="134" fillId="0" borderId="0" applyNumberFormat="0" applyFill="0" applyBorder="0" applyProtection="0">
      <alignment vertical="top" wrapText="1"/>
    </xf>
    <xf numFmtId="0" fontId="49" fillId="0" borderId="0">
      <alignment vertical="center"/>
    </xf>
    <xf numFmtId="0" fontId="49" fillId="0" borderId="0">
      <alignment vertical="center"/>
    </xf>
    <xf numFmtId="0" fontId="49" fillId="0" borderId="0">
      <alignment vertical="center"/>
    </xf>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7" fillId="0" borderId="0" applyProtection="0"/>
    <xf numFmtId="0" fontId="56" fillId="0" borderId="0">
      <alignment vertical="center"/>
    </xf>
    <xf numFmtId="0" fontId="56" fillId="0" borderId="0">
      <alignment vertical="center"/>
    </xf>
    <xf numFmtId="0" fontId="7" fillId="0" borderId="0" applyProtection="0"/>
    <xf numFmtId="0" fontId="8" fillId="0" borderId="0"/>
    <xf numFmtId="0" fontId="8" fillId="0" borderId="0"/>
    <xf numFmtId="190" fontId="49" fillId="0" borderId="0">
      <alignment vertical="center"/>
    </xf>
    <xf numFmtId="190" fontId="49" fillId="0" borderId="0">
      <alignment vertical="center"/>
    </xf>
    <xf numFmtId="190" fontId="49" fillId="0" borderId="0">
      <alignment vertical="center"/>
    </xf>
    <xf numFmtId="190" fontId="49" fillId="0" borderId="0">
      <alignment vertical="center"/>
    </xf>
    <xf numFmtId="190" fontId="49" fillId="0" borderId="0">
      <alignment vertical="center"/>
    </xf>
    <xf numFmtId="0" fontId="78" fillId="0" borderId="0">
      <alignment vertical="center"/>
    </xf>
    <xf numFmtId="0" fontId="78" fillId="0" borderId="0">
      <alignment vertical="center"/>
    </xf>
    <xf numFmtId="0" fontId="78" fillId="0" borderId="0">
      <alignment vertical="center"/>
    </xf>
    <xf numFmtId="0" fontId="7" fillId="0" borderId="0" applyProtection="0"/>
    <xf numFmtId="0" fontId="7" fillId="0" borderId="0" applyProtection="0"/>
    <xf numFmtId="0" fontId="49" fillId="0" borderId="0"/>
    <xf numFmtId="0" fontId="8" fillId="0" borderId="0"/>
    <xf numFmtId="0" fontId="8" fillId="0" borderId="0"/>
    <xf numFmtId="0" fontId="8" fillId="0" borderId="0"/>
    <xf numFmtId="0" fontId="49" fillId="0" borderId="0"/>
    <xf numFmtId="0" fontId="56" fillId="0" borderId="0">
      <alignment vertical="center"/>
    </xf>
    <xf numFmtId="0" fontId="56" fillId="0" borderId="0">
      <alignment vertical="center"/>
    </xf>
    <xf numFmtId="0" fontId="56" fillId="0" borderId="0">
      <alignment vertical="center"/>
    </xf>
    <xf numFmtId="0" fontId="56" fillId="0" borderId="0">
      <alignment vertical="center"/>
    </xf>
    <xf numFmtId="0" fontId="56" fillId="0" borderId="0">
      <alignment vertical="center"/>
    </xf>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03" fillId="0" borderId="0"/>
    <xf numFmtId="0" fontId="49" fillId="0" borderId="0">
      <alignment vertical="center"/>
    </xf>
    <xf numFmtId="0" fontId="49" fillId="0" borderId="0">
      <alignment vertical="center"/>
    </xf>
    <xf numFmtId="0" fontId="49" fillId="0" borderId="0"/>
    <xf numFmtId="0" fontId="49" fillId="0" borderId="0"/>
    <xf numFmtId="0" fontId="49" fillId="0" borderId="0"/>
    <xf numFmtId="0" fontId="103" fillId="0" borderId="0"/>
    <xf numFmtId="0" fontId="103" fillId="0" borderId="0"/>
    <xf numFmtId="0" fontId="49" fillId="0" borderId="0"/>
    <xf numFmtId="0" fontId="103" fillId="0" borderId="0"/>
    <xf numFmtId="0" fontId="8" fillId="0" borderId="0"/>
    <xf numFmtId="0" fontId="8" fillId="0" borderId="0"/>
    <xf numFmtId="0" fontId="49" fillId="0" borderId="0">
      <alignment vertical="center"/>
    </xf>
    <xf numFmtId="0" fontId="49" fillId="0" borderId="0">
      <alignment vertical="center"/>
    </xf>
    <xf numFmtId="0" fontId="49" fillId="0" borderId="0">
      <alignment vertical="center"/>
    </xf>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5" fillId="0" borderId="0"/>
    <xf numFmtId="0" fontId="49" fillId="0" borderId="0"/>
    <xf numFmtId="0" fontId="49" fillId="0" borderId="0"/>
    <xf numFmtId="0" fontId="49" fillId="0" borderId="0"/>
    <xf numFmtId="0" fontId="135" fillId="0" borderId="0"/>
    <xf numFmtId="0" fontId="135" fillId="0" borderId="0"/>
    <xf numFmtId="0" fontId="49" fillId="0" borderId="0"/>
    <xf numFmtId="0" fontId="135" fillId="0" borderId="0"/>
    <xf numFmtId="0" fontId="8" fillId="0" borderId="0"/>
    <xf numFmtId="0" fontId="8"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133" fillId="0" borderId="0"/>
    <xf numFmtId="0" fontId="49" fillId="0" borderId="0"/>
    <xf numFmtId="0" fontId="133" fillId="0" borderId="0"/>
    <xf numFmtId="0" fontId="133" fillId="0" borderId="0"/>
    <xf numFmtId="0" fontId="78" fillId="0" borderId="0">
      <alignment vertical="center"/>
    </xf>
    <xf numFmtId="0" fontId="7" fillId="0" borderId="0" applyProtection="0"/>
    <xf numFmtId="0" fontId="49" fillId="0" borderId="0"/>
    <xf numFmtId="0" fontId="134" fillId="0" borderId="0" applyNumberFormat="0" applyFill="0" applyBorder="0" applyProtection="0">
      <alignment vertical="top" wrapText="1"/>
    </xf>
    <xf numFmtId="0" fontId="134" fillId="0" borderId="0" applyNumberFormat="0" applyFill="0" applyBorder="0" applyProtection="0">
      <alignment vertical="top" wrapText="1"/>
    </xf>
    <xf numFmtId="0" fontId="134" fillId="0" borderId="0" applyNumberFormat="0" applyFill="0" applyBorder="0" applyProtection="0">
      <alignment vertical="top" wrapText="1"/>
    </xf>
    <xf numFmtId="0" fontId="134" fillId="0" borderId="0" applyNumberFormat="0" applyFill="0" applyBorder="0" applyProtection="0">
      <alignment vertical="top" wrapText="1"/>
    </xf>
    <xf numFmtId="0" fontId="134" fillId="0" borderId="0" applyNumberFormat="0" applyFill="0" applyBorder="0" applyProtection="0">
      <alignment vertical="top" wrapText="1"/>
    </xf>
    <xf numFmtId="0" fontId="49" fillId="0" borderId="0"/>
    <xf numFmtId="0" fontId="49" fillId="0" borderId="0"/>
    <xf numFmtId="0" fontId="136" fillId="0" borderId="0">
      <alignment vertical="center"/>
    </xf>
    <xf numFmtId="0" fontId="136" fillId="0" borderId="0">
      <alignment vertical="center"/>
    </xf>
    <xf numFmtId="0" fontId="7" fillId="0" borderId="0"/>
    <xf numFmtId="0" fontId="7" fillId="0" borderId="0" applyProtection="0"/>
    <xf numFmtId="0" fontId="7" fillId="0" borderId="0"/>
    <xf numFmtId="0" fontId="78" fillId="0" borderId="0">
      <alignment vertical="center"/>
    </xf>
    <xf numFmtId="0" fontId="78" fillId="0" borderId="0">
      <alignment vertical="center"/>
    </xf>
    <xf numFmtId="0" fontId="56" fillId="0" borderId="0">
      <alignment vertical="center"/>
    </xf>
    <xf numFmtId="0" fontId="56" fillId="0" borderId="0">
      <alignment vertical="center"/>
    </xf>
    <xf numFmtId="0" fontId="56" fillId="0" borderId="0">
      <alignment vertical="center"/>
    </xf>
    <xf numFmtId="0" fontId="56" fillId="0" borderId="0">
      <alignment vertical="center"/>
    </xf>
    <xf numFmtId="0" fontId="56" fillId="0" borderId="0">
      <alignment vertical="center"/>
    </xf>
    <xf numFmtId="0" fontId="78" fillId="0" borderId="0">
      <alignment vertical="center"/>
    </xf>
    <xf numFmtId="0" fontId="56" fillId="0" borderId="0">
      <alignment vertical="center"/>
    </xf>
    <xf numFmtId="0" fontId="56" fillId="0" borderId="0">
      <alignment vertical="center"/>
    </xf>
    <xf numFmtId="0" fontId="49" fillId="0" borderId="0">
      <alignment vertical="center"/>
    </xf>
    <xf numFmtId="190" fontId="78" fillId="0" borderId="0">
      <alignment vertical="center"/>
    </xf>
    <xf numFmtId="0" fontId="49" fillId="0" borderId="0">
      <alignment vertical="center"/>
    </xf>
    <xf numFmtId="0" fontId="137" fillId="0" borderId="0" applyNumberFormat="0" applyFill="0" applyBorder="0" applyAlignment="0" applyProtection="0">
      <alignment vertical="center"/>
    </xf>
    <xf numFmtId="0" fontId="137" fillId="0" borderId="0" applyNumberFormat="0" applyFill="0" applyBorder="0" applyAlignment="0" applyProtection="0">
      <alignment vertical="center"/>
    </xf>
    <xf numFmtId="190" fontId="78" fillId="0" borderId="0">
      <alignment vertical="center"/>
    </xf>
    <xf numFmtId="190" fontId="78" fillId="0" borderId="0">
      <alignment vertical="center"/>
    </xf>
    <xf numFmtId="190" fontId="78" fillId="0" borderId="0">
      <alignment vertical="center"/>
    </xf>
    <xf numFmtId="0" fontId="49" fillId="0" borderId="0">
      <alignment vertical="center"/>
    </xf>
    <xf numFmtId="0" fontId="78" fillId="0" borderId="0">
      <alignment vertical="center"/>
    </xf>
    <xf numFmtId="0" fontId="78" fillId="0" borderId="0">
      <alignment vertical="center"/>
    </xf>
    <xf numFmtId="190" fontId="78" fillId="0" borderId="0">
      <alignment vertical="center"/>
    </xf>
    <xf numFmtId="190" fontId="78" fillId="0" borderId="0">
      <alignment vertical="center"/>
    </xf>
    <xf numFmtId="190" fontId="78" fillId="0" borderId="0">
      <alignment vertical="center"/>
    </xf>
    <xf numFmtId="190" fontId="78" fillId="0" borderId="0">
      <alignment vertical="center"/>
    </xf>
    <xf numFmtId="0" fontId="49" fillId="0" borderId="0">
      <alignment vertical="center"/>
    </xf>
    <xf numFmtId="0" fontId="7" fillId="0" borderId="0"/>
    <xf numFmtId="0" fontId="7" fillId="0" borderId="0"/>
    <xf numFmtId="0" fontId="7" fillId="0" borderId="0"/>
    <xf numFmtId="0" fontId="78" fillId="0" borderId="0">
      <alignment vertical="center"/>
    </xf>
    <xf numFmtId="0" fontId="7" fillId="0" borderId="0"/>
    <xf numFmtId="0" fontId="7" fillId="0" borderId="0"/>
    <xf numFmtId="0" fontId="56" fillId="0" borderId="0">
      <alignment vertical="center"/>
    </xf>
    <xf numFmtId="0" fontId="56" fillId="0" borderId="0">
      <alignment vertical="center"/>
    </xf>
    <xf numFmtId="0" fontId="56" fillId="0" borderId="0">
      <alignment vertical="center"/>
    </xf>
    <xf numFmtId="0" fontId="78" fillId="0" borderId="0">
      <alignment vertical="center"/>
    </xf>
    <xf numFmtId="190" fontId="49" fillId="0" borderId="0"/>
    <xf numFmtId="0" fontId="78" fillId="0" borderId="0">
      <alignment vertical="center"/>
    </xf>
    <xf numFmtId="190" fontId="49" fillId="0" borderId="0"/>
    <xf numFmtId="190" fontId="49" fillId="0" borderId="0"/>
    <xf numFmtId="190" fontId="49" fillId="0" borderId="0"/>
    <xf numFmtId="0" fontId="78" fillId="0" borderId="0">
      <alignment vertical="center"/>
    </xf>
    <xf numFmtId="0" fontId="7" fillId="0" borderId="0"/>
    <xf numFmtId="0" fontId="7" fillId="0" borderId="0"/>
    <xf numFmtId="190" fontId="49" fillId="0" borderId="0"/>
    <xf numFmtId="190" fontId="49" fillId="0" borderId="0"/>
    <xf numFmtId="190" fontId="49" fillId="0" borderId="0"/>
    <xf numFmtId="190" fontId="49" fillId="0" borderId="0"/>
    <xf numFmtId="0" fontId="7" fillId="0" borderId="0" applyProtection="0"/>
    <xf numFmtId="0" fontId="78" fillId="0" borderId="0">
      <alignment vertical="center"/>
    </xf>
    <xf numFmtId="0" fontId="78" fillId="0" borderId="0">
      <alignment vertical="center"/>
    </xf>
    <xf numFmtId="0" fontId="78" fillId="0" borderId="0">
      <alignment vertical="center"/>
    </xf>
    <xf numFmtId="0" fontId="7" fillId="0" borderId="0" applyProtection="0"/>
    <xf numFmtId="0" fontId="7" fillId="0" borderId="0" applyProtection="0"/>
    <xf numFmtId="0" fontId="7" fillId="0" borderId="0" applyProtection="0"/>
    <xf numFmtId="0" fontId="7" fillId="0" borderId="0" applyProtection="0"/>
    <xf numFmtId="0" fontId="7" fillId="0" borderId="0" applyProtection="0"/>
    <xf numFmtId="0" fontId="7" fillId="0" borderId="0" applyProtection="0"/>
    <xf numFmtId="0" fontId="6" fillId="0" borderId="0"/>
    <xf numFmtId="0" fontId="6" fillId="0" borderId="0"/>
    <xf numFmtId="0" fontId="6" fillId="0" borderId="0"/>
    <xf numFmtId="0" fontId="6" fillId="0" borderId="0"/>
    <xf numFmtId="0" fontId="6" fillId="0" borderId="0"/>
    <xf numFmtId="0" fontId="8" fillId="0" borderId="0"/>
    <xf numFmtId="183" fontId="42" fillId="0" borderId="0"/>
    <xf numFmtId="0" fontId="8" fillId="0" borderId="0"/>
    <xf numFmtId="0" fontId="8" fillId="0" borderId="0"/>
    <xf numFmtId="0" fontId="7" fillId="0" borderId="0" applyProtection="0"/>
    <xf numFmtId="0" fontId="7" fillId="0" borderId="0" applyProtection="0"/>
    <xf numFmtId="183" fontId="42" fillId="0" borderId="0"/>
    <xf numFmtId="183" fontId="42" fillId="0" borderId="0"/>
    <xf numFmtId="183" fontId="42" fillId="0" borderId="0"/>
    <xf numFmtId="183" fontId="42" fillId="0" borderId="0"/>
    <xf numFmtId="0" fontId="8" fillId="0" borderId="0"/>
    <xf numFmtId="190" fontId="78" fillId="0" borderId="0">
      <alignment vertical="center"/>
    </xf>
    <xf numFmtId="190" fontId="78" fillId="0" borderId="0">
      <alignment vertical="center"/>
    </xf>
    <xf numFmtId="190" fontId="78" fillId="0" borderId="0">
      <alignment vertical="center"/>
    </xf>
    <xf numFmtId="190" fontId="78" fillId="0" borderId="0">
      <alignment vertical="center"/>
    </xf>
    <xf numFmtId="190" fontId="78"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7" fillId="0" borderId="0" applyProtection="0"/>
    <xf numFmtId="0" fontId="8" fillId="0" borderId="0"/>
    <xf numFmtId="0" fontId="8" fillId="0" borderId="0"/>
    <xf numFmtId="0" fontId="8"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90" fontId="49" fillId="0" borderId="0">
      <alignment vertical="center"/>
    </xf>
    <xf numFmtId="190" fontId="49" fillId="0" borderId="0">
      <alignment vertical="center"/>
    </xf>
    <xf numFmtId="190" fontId="49" fillId="0" borderId="0">
      <alignment vertical="center"/>
    </xf>
    <xf numFmtId="190" fontId="49" fillId="0" borderId="0">
      <alignment vertical="center"/>
    </xf>
    <xf numFmtId="190" fontId="49"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8" fillId="0" borderId="0"/>
    <xf numFmtId="0" fontId="1" fillId="0" borderId="0">
      <alignment vertical="center"/>
    </xf>
    <xf numFmtId="0" fontId="8" fillId="0" borderId="0"/>
    <xf numFmtId="0" fontId="1" fillId="0" borderId="0">
      <alignment vertical="center"/>
    </xf>
    <xf numFmtId="0" fontId="8"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90" fontId="78"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78" fillId="0" borderId="0">
      <alignment vertical="center"/>
    </xf>
    <xf numFmtId="190" fontId="78" fillId="0" borderId="0">
      <alignment vertical="center"/>
    </xf>
    <xf numFmtId="190" fontId="78" fillId="0" borderId="0">
      <alignment vertical="center"/>
    </xf>
    <xf numFmtId="190" fontId="78" fillId="0" borderId="0">
      <alignment vertical="center"/>
    </xf>
    <xf numFmtId="190" fontId="78"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1" fillId="0" borderId="0">
      <alignment vertical="center"/>
    </xf>
    <xf numFmtId="190" fontId="78" fillId="0" borderId="0">
      <alignment vertical="center"/>
    </xf>
    <xf numFmtId="190" fontId="78" fillId="0" borderId="0">
      <alignment vertical="center"/>
    </xf>
    <xf numFmtId="190" fontId="78" fillId="0" borderId="0">
      <alignment vertical="center"/>
    </xf>
    <xf numFmtId="190" fontId="78" fillId="0" borderId="0">
      <alignment vertical="center"/>
    </xf>
    <xf numFmtId="0" fontId="6" fillId="0" borderId="0"/>
    <xf numFmtId="0" fontId="78" fillId="0" borderId="0">
      <alignment vertical="center"/>
    </xf>
    <xf numFmtId="0" fontId="78" fillId="0" borderId="0">
      <alignment vertical="center"/>
    </xf>
    <xf numFmtId="0" fontId="78" fillId="0" borderId="0">
      <alignment vertical="center"/>
    </xf>
    <xf numFmtId="0" fontId="78" fillId="0" borderId="0">
      <alignment vertical="center"/>
    </xf>
    <xf numFmtId="0" fontId="78" fillId="0" borderId="0">
      <alignment vertical="center"/>
    </xf>
    <xf numFmtId="0" fontId="6" fillId="0" borderId="0"/>
    <xf numFmtId="0" fontId="6" fillId="0" borderId="0"/>
    <xf numFmtId="0" fontId="6" fillId="0" borderId="0"/>
    <xf numFmtId="0" fontId="6" fillId="0" borderId="0"/>
    <xf numFmtId="0" fontId="131" fillId="0" borderId="0"/>
    <xf numFmtId="0" fontId="7" fillId="0" borderId="0">
      <alignment vertical="center"/>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0" fontId="77" fillId="0" borderId="82">
      <protection locked="0"/>
    </xf>
    <xf numFmtId="40" fontId="131" fillId="0" borderId="0" applyFont="0" applyFill="0" applyBorder="0" applyAlignment="0" applyProtection="0"/>
    <xf numFmtId="38" fontId="131" fillId="0" borderId="0" applyFont="0" applyFill="0" applyBorder="0" applyAlignment="0" applyProtection="0"/>
    <xf numFmtId="233" fontId="6" fillId="0" borderId="0">
      <protection locked="0"/>
    </xf>
    <xf numFmtId="0" fontId="103" fillId="0" borderId="0" applyNumberFormat="0" applyFont="0" applyFill="0" applyBorder="0" applyAlignment="0" applyProtection="0">
      <alignment vertical="center"/>
    </xf>
    <xf numFmtId="233" fontId="6" fillId="0" borderId="0">
      <protection locked="0"/>
    </xf>
    <xf numFmtId="233" fontId="6" fillId="0" borderId="0">
      <protection locked="0"/>
    </xf>
    <xf numFmtId="233" fontId="6" fillId="0" borderId="0">
      <protection locked="0"/>
    </xf>
    <xf numFmtId="234" fontId="42" fillId="0" borderId="0">
      <protection locked="0"/>
    </xf>
    <xf numFmtId="234" fontId="42" fillId="0" borderId="0">
      <protection locked="0"/>
    </xf>
    <xf numFmtId="234" fontId="42" fillId="0" borderId="0">
      <protection locked="0"/>
    </xf>
    <xf numFmtId="233" fontId="6" fillId="0" borderId="0">
      <protection locked="0"/>
    </xf>
    <xf numFmtId="235" fontId="6" fillId="0" borderId="0">
      <protection locked="0"/>
    </xf>
    <xf numFmtId="0" fontId="103" fillId="0" borderId="0" applyNumberFormat="0" applyFont="0" applyFill="0" applyBorder="0" applyAlignment="0" applyProtection="0">
      <alignment vertical="center"/>
    </xf>
    <xf numFmtId="235" fontId="6" fillId="0" borderId="0">
      <protection locked="0"/>
    </xf>
    <xf numFmtId="235" fontId="6" fillId="0" borderId="0">
      <protection locked="0"/>
    </xf>
    <xf numFmtId="235" fontId="6" fillId="0" borderId="0">
      <protection locked="0"/>
    </xf>
    <xf numFmtId="236" fontId="42" fillId="0" borderId="0">
      <protection locked="0"/>
    </xf>
    <xf numFmtId="236" fontId="42" fillId="0" borderId="0">
      <protection locked="0"/>
    </xf>
    <xf numFmtId="236" fontId="42" fillId="0" borderId="0">
      <protection locked="0"/>
    </xf>
    <xf numFmtId="235" fontId="6" fillId="0" borderId="0">
      <protection locked="0"/>
    </xf>
    <xf numFmtId="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19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xf numFmtId="0" fontId="49" fillId="0" borderId="0" applyFont="0" applyFill="0" applyBorder="0" applyAlignment="0" applyProtection="0"/>
  </cellStyleXfs>
  <cellXfs count="510">
    <xf numFmtId="0" fontId="0" fillId="0" borderId="0" xfId="0"/>
    <xf numFmtId="0" fontId="0" fillId="0" borderId="0" xfId="0" applyNumberFormat="1" applyProtection="1">
      <protection locked="0"/>
    </xf>
    <xf numFmtId="0" fontId="4" fillId="0" borderId="0" xfId="0" applyNumberFormat="1" applyFont="1" applyProtection="1">
      <protection locked="0"/>
    </xf>
    <xf numFmtId="0" fontId="5" fillId="2" borderId="1" xfId="0" applyNumberFormat="1" applyFont="1" applyFill="1" applyBorder="1" applyAlignment="1" applyProtection="1">
      <alignment horizontal="center"/>
      <protection locked="0"/>
    </xf>
    <xf numFmtId="0" fontId="5" fillId="2" borderId="2" xfId="0" applyNumberFormat="1" applyFont="1" applyFill="1" applyBorder="1" applyAlignment="1" applyProtection="1">
      <alignment horizontal="center"/>
      <protection locked="0"/>
    </xf>
    <xf numFmtId="0" fontId="5" fillId="2" borderId="3"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horizontal="center"/>
      <protection locked="0"/>
    </xf>
    <xf numFmtId="0" fontId="5" fillId="2" borderId="5" xfId="0" applyNumberFormat="1" applyFont="1" applyFill="1" applyBorder="1" applyAlignment="1" applyProtection="1">
      <protection locked="0"/>
    </xf>
    <xf numFmtId="0" fontId="5" fillId="0" borderId="6"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0" fontId="5" fillId="2" borderId="8" xfId="0" applyNumberFormat="1" applyFont="1" applyFill="1" applyBorder="1" applyAlignment="1" applyProtection="1">
      <protection locked="0"/>
    </xf>
    <xf numFmtId="0" fontId="5" fillId="0" borderId="9" xfId="0" applyNumberFormat="1" applyFont="1" applyFill="1" applyBorder="1" applyAlignment="1" applyProtection="1">
      <protection locked="0"/>
    </xf>
    <xf numFmtId="0" fontId="0" fillId="0" borderId="22" xfId="0" applyBorder="1"/>
    <xf numFmtId="0" fontId="0" fillId="0" borderId="0" xfId="0" applyBorder="1"/>
    <xf numFmtId="0" fontId="0" fillId="3" borderId="0" xfId="0" applyFill="1" applyBorder="1" applyProtection="1">
      <protection locked="0"/>
    </xf>
    <xf numFmtId="0" fontId="10" fillId="3" borderId="0" xfId="0" applyFont="1" applyFill="1" applyBorder="1" applyProtection="1">
      <protection locked="0"/>
    </xf>
    <xf numFmtId="177" fontId="11" fillId="0" borderId="0" xfId="0" applyNumberFormat="1" applyFont="1" applyFill="1" applyBorder="1" applyAlignment="1" applyProtection="1">
      <alignment horizontal="center"/>
      <protection locked="0"/>
    </xf>
    <xf numFmtId="0" fontId="0" fillId="0" borderId="18" xfId="0" applyBorder="1" applyAlignment="1"/>
    <xf numFmtId="0" fontId="0" fillId="0" borderId="19" xfId="0" applyBorder="1" applyAlignment="1"/>
    <xf numFmtId="0" fontId="0" fillId="0" borderId="4" xfId="0" applyFill="1" applyBorder="1" applyAlignment="1"/>
    <xf numFmtId="0" fontId="0" fillId="0" borderId="38" xfId="0" applyBorder="1"/>
    <xf numFmtId="0" fontId="0" fillId="0" borderId="27" xfId="0" applyBorder="1"/>
    <xf numFmtId="0" fontId="23" fillId="0" borderId="0" xfId="0" applyFont="1"/>
    <xf numFmtId="0" fontId="0" fillId="0" borderId="0" xfId="0" applyNumberFormat="1" applyAlignment="1" applyProtection="1">
      <protection locked="0"/>
    </xf>
    <xf numFmtId="0" fontId="3" fillId="0" borderId="0" xfId="0" applyNumberFormat="1" applyFont="1" applyAlignment="1" applyProtection="1">
      <protection locked="0"/>
    </xf>
    <xf numFmtId="0" fontId="24" fillId="0" borderId="7" xfId="0" applyNumberFormat="1" applyFont="1" applyBorder="1" applyProtection="1">
      <protection locked="0"/>
    </xf>
    <xf numFmtId="178" fontId="0" fillId="0" borderId="0" xfId="0" applyNumberFormat="1"/>
    <xf numFmtId="0" fontId="10" fillId="0" borderId="0" xfId="0" applyFont="1" applyFill="1" applyBorder="1" applyProtection="1">
      <protection locked="0"/>
    </xf>
    <xf numFmtId="0" fontId="0" fillId="0" borderId="0" xfId="0" applyFill="1" applyBorder="1" applyProtection="1">
      <protection locked="0"/>
    </xf>
    <xf numFmtId="0" fontId="18" fillId="0" borderId="0" xfId="0" applyFont="1" applyFill="1" applyBorder="1" applyAlignment="1">
      <alignment horizontal="center"/>
    </xf>
    <xf numFmtId="180" fontId="18" fillId="0" borderId="0" xfId="5" applyNumberFormat="1" applyFont="1" applyFill="1" applyBorder="1" applyAlignment="1">
      <alignment horizontal="center"/>
    </xf>
    <xf numFmtId="180" fontId="18" fillId="0" borderId="0" xfId="6" applyNumberFormat="1" applyFont="1" applyFill="1" applyBorder="1" applyAlignment="1">
      <alignment horizontal="center"/>
    </xf>
    <xf numFmtId="180" fontId="18" fillId="0" borderId="0" xfId="0" applyNumberFormat="1" applyFont="1" applyFill="1" applyBorder="1" applyAlignment="1">
      <alignment horizontal="center"/>
    </xf>
    <xf numFmtId="0" fontId="25" fillId="0" borderId="0" xfId="0" applyFont="1"/>
    <xf numFmtId="0" fontId="26" fillId="0" borderId="0" xfId="0" applyFont="1"/>
    <xf numFmtId="0" fontId="27" fillId="0" borderId="0" xfId="0" applyFont="1"/>
    <xf numFmtId="0" fontId="28" fillId="0" borderId="0" xfId="0" applyFont="1"/>
    <xf numFmtId="0" fontId="0" fillId="0" borderId="0" xfId="0"/>
    <xf numFmtId="0" fontId="0" fillId="0" borderId="0" xfId="0"/>
    <xf numFmtId="0" fontId="0" fillId="0" borderId="0" xfId="0"/>
    <xf numFmtId="0" fontId="0" fillId="0" borderId="6" xfId="0" applyBorder="1"/>
    <xf numFmtId="0" fontId="0" fillId="0" borderId="4" xfId="0" applyFont="1" applyBorder="1" applyAlignment="1">
      <alignment horizontal="left"/>
    </xf>
    <xf numFmtId="0" fontId="0" fillId="0" borderId="45" xfId="0" applyFont="1" applyBorder="1" applyAlignment="1">
      <alignment horizontal="center"/>
    </xf>
    <xf numFmtId="0" fontId="0" fillId="0" borderId="45" xfId="0" applyFont="1" applyFill="1" applyBorder="1"/>
    <xf numFmtId="0" fontId="0" fillId="0" borderId="45" xfId="0" applyFont="1" applyBorder="1"/>
    <xf numFmtId="0" fontId="0" fillId="0" borderId="28" xfId="0" applyFont="1" applyBorder="1"/>
    <xf numFmtId="0" fontId="0" fillId="0" borderId="28" xfId="0" applyFont="1" applyFill="1" applyBorder="1"/>
    <xf numFmtId="0" fontId="0" fillId="0" borderId="0" xfId="0"/>
    <xf numFmtId="0" fontId="0" fillId="0" borderId="24" xfId="0" applyBorder="1"/>
    <xf numFmtId="0" fontId="0" fillId="0" borderId="17" xfId="0" applyBorder="1"/>
    <xf numFmtId="0" fontId="0" fillId="0" borderId="49" xfId="0" applyBorder="1"/>
    <xf numFmtId="0" fontId="0" fillId="0" borderId="48" xfId="0" applyBorder="1"/>
    <xf numFmtId="0" fontId="0" fillId="0" borderId="26" xfId="0" applyBorder="1"/>
    <xf numFmtId="0" fontId="0" fillId="0" borderId="0" xfId="0" applyFont="1" applyBorder="1"/>
    <xf numFmtId="0" fontId="14" fillId="0" borderId="0" xfId="0" applyFont="1" applyFill="1" applyBorder="1" applyAlignment="1">
      <alignment horizontal="center"/>
    </xf>
    <xf numFmtId="0" fontId="0" fillId="0" borderId="16" xfId="0" applyBorder="1"/>
    <xf numFmtId="0" fontId="0" fillId="0" borderId="0" xfId="0" applyFill="1" applyBorder="1"/>
    <xf numFmtId="0" fontId="0" fillId="0" borderId="6" xfId="0" applyBorder="1" applyAlignment="1">
      <alignment horizontal="center"/>
    </xf>
    <xf numFmtId="0" fontId="0" fillId="0" borderId="4" xfId="0" applyFill="1" applyBorder="1"/>
    <xf numFmtId="0" fontId="0" fillId="0" borderId="6" xfId="0" applyFont="1" applyBorder="1" applyAlignment="1">
      <alignment horizontal="center"/>
    </xf>
    <xf numFmtId="0" fontId="17" fillId="0" borderId="0" xfId="0" applyFont="1" applyFill="1" applyBorder="1" applyAlignment="1" applyProtection="1">
      <alignment horizontal="center" vertical="center"/>
      <protection locked="0"/>
    </xf>
    <xf numFmtId="0" fontId="0" fillId="0" borderId="4" xfId="0" applyBorder="1"/>
    <xf numFmtId="0" fontId="0" fillId="0" borderId="18" xfId="0" applyBorder="1"/>
    <xf numFmtId="0" fontId="0" fillId="0" borderId="19" xfId="0" applyBorder="1"/>
    <xf numFmtId="0" fontId="0" fillId="0" borderId="0" xfId="0"/>
    <xf numFmtId="0" fontId="0" fillId="0" borderId="45" xfId="0" applyBorder="1"/>
    <xf numFmtId="0" fontId="0" fillId="0" borderId="0" xfId="0" applyBorder="1"/>
    <xf numFmtId="0" fontId="0" fillId="0" borderId="28" xfId="0" applyBorder="1"/>
    <xf numFmtId="0" fontId="0" fillId="0" borderId="28" xfId="0" applyNumberFormat="1" applyBorder="1"/>
    <xf numFmtId="0" fontId="0" fillId="0" borderId="28" xfId="0" applyFill="1" applyBorder="1"/>
    <xf numFmtId="0" fontId="0" fillId="0" borderId="28" xfId="0" applyNumberFormat="1" applyFont="1" applyFill="1" applyBorder="1"/>
    <xf numFmtId="0" fontId="0" fillId="0" borderId="28" xfId="0" applyNumberFormat="1" applyBorder="1" applyAlignment="1"/>
    <xf numFmtId="0" fontId="0" fillId="0" borderId="45" xfId="0" applyFill="1" applyBorder="1"/>
    <xf numFmtId="0" fontId="9" fillId="0" borderId="0" xfId="0" applyFont="1" applyFill="1" applyBorder="1" applyAlignment="1">
      <alignment vertical="center"/>
    </xf>
    <xf numFmtId="0" fontId="0" fillId="0" borderId="0" xfId="0" applyBorder="1" applyAlignment="1"/>
    <xf numFmtId="0" fontId="0" fillId="0" borderId="18" xfId="0" applyFont="1" applyBorder="1" applyAlignment="1">
      <alignment horizontal="left"/>
    </xf>
    <xf numFmtId="11" fontId="0" fillId="0" borderId="28" xfId="0" applyNumberFormat="1" applyBorder="1"/>
    <xf numFmtId="0" fontId="0" fillId="0" borderId="26" xfId="0" applyNumberFormat="1" applyBorder="1"/>
    <xf numFmtId="0" fontId="0" fillId="0" borderId="0" xfId="0"/>
    <xf numFmtId="0" fontId="28" fillId="0" borderId="0" xfId="0" applyFont="1" applyAlignment="1">
      <alignment horizontal="center"/>
    </xf>
    <xf numFmtId="0" fontId="28" fillId="0" borderId="24" xfId="0" applyFont="1" applyBorder="1" applyAlignment="1">
      <alignment horizontal="center"/>
    </xf>
    <xf numFmtId="0" fontId="28" fillId="0" borderId="0" xfId="0" applyFont="1"/>
    <xf numFmtId="0" fontId="35" fillId="0" borderId="0" xfId="0" applyFont="1" applyAlignment="1">
      <alignment horizontal="center"/>
    </xf>
    <xf numFmtId="0" fontId="28" fillId="0" borderId="0" xfId="0" applyFont="1" applyBorder="1" applyAlignment="1">
      <alignment horizontal="center" vertical="center"/>
    </xf>
    <xf numFmtId="0" fontId="28" fillId="0" borderId="0" xfId="0" applyFont="1" applyBorder="1" applyAlignment="1">
      <alignment horizontal="center"/>
    </xf>
    <xf numFmtId="0" fontId="35" fillId="0" borderId="0" xfId="0" applyFont="1" applyBorder="1" applyAlignment="1">
      <alignment horizontal="center"/>
    </xf>
    <xf numFmtId="0" fontId="28" fillId="0" borderId="0" xfId="0" applyFont="1" applyAlignment="1">
      <alignment horizontal="center" vertical="center"/>
    </xf>
    <xf numFmtId="0" fontId="28" fillId="0" borderId="0" xfId="0" applyFont="1" applyBorder="1" applyAlignment="1">
      <alignment horizontal="left"/>
    </xf>
    <xf numFmtId="0" fontId="0" fillId="0" borderId="0" xfId="0"/>
    <xf numFmtId="0" fontId="0" fillId="0" borderId="0" xfId="0" applyFill="1" applyBorder="1" applyAlignment="1">
      <alignment horizontal="center"/>
    </xf>
    <xf numFmtId="0" fontId="5" fillId="2" borderId="53" xfId="0" applyNumberFormat="1" applyFont="1" applyFill="1" applyBorder="1" applyAlignment="1" applyProtection="1">
      <alignment horizontal="center"/>
      <protection locked="0"/>
    </xf>
    <xf numFmtId="0" fontId="5" fillId="0" borderId="18" xfId="0" applyNumberFormat="1" applyFont="1" applyFill="1" applyBorder="1" applyAlignment="1" applyProtection="1">
      <protection locked="0"/>
    </xf>
    <xf numFmtId="0" fontId="5" fillId="0" borderId="54" xfId="0" applyNumberFormat="1" applyFont="1" applyFill="1" applyBorder="1" applyAlignment="1" applyProtection="1">
      <protection locked="0"/>
    </xf>
    <xf numFmtId="0" fontId="24" fillId="0" borderId="55" xfId="0" applyNumberFormat="1" applyFont="1" applyBorder="1" applyProtection="1">
      <protection locked="0"/>
    </xf>
    <xf numFmtId="0" fontId="0" fillId="0" borderId="7" xfId="0" applyNumberFormat="1" applyFont="1" applyFill="1" applyBorder="1" applyAlignment="1" applyProtection="1">
      <protection locked="0"/>
    </xf>
    <xf numFmtId="0" fontId="0" fillId="0" borderId="10" xfId="0" applyNumberFormat="1" applyFont="1" applyFill="1" applyBorder="1" applyAlignment="1" applyProtection="1">
      <protection locked="0"/>
    </xf>
    <xf numFmtId="0" fontId="0" fillId="0" borderId="0" xfId="0" applyFill="1" applyBorder="1" applyAlignment="1"/>
    <xf numFmtId="0" fontId="0" fillId="4" borderId="12" xfId="0" applyFont="1" applyFill="1" applyBorder="1" applyAlignment="1">
      <alignment vertical="center"/>
    </xf>
    <xf numFmtId="0" fontId="0" fillId="4" borderId="39" xfId="0" applyFont="1" applyFill="1" applyBorder="1" applyAlignment="1">
      <alignment vertical="center"/>
    </xf>
    <xf numFmtId="0" fontId="0" fillId="4" borderId="16" xfId="0" applyFont="1" applyFill="1" applyBorder="1" applyAlignment="1">
      <alignment vertical="center"/>
    </xf>
    <xf numFmtId="0" fontId="0" fillId="4" borderId="29" xfId="0" applyFont="1" applyFill="1" applyBorder="1" applyAlignment="1">
      <alignment vertical="center"/>
    </xf>
    <xf numFmtId="0" fontId="0" fillId="0" borderId="0" xfId="0" applyFill="1" applyBorder="1" applyAlignment="1">
      <alignment horizontal="left"/>
    </xf>
    <xf numFmtId="0" fontId="9" fillId="0" borderId="0" xfId="0" applyFont="1" applyFill="1" applyBorder="1"/>
    <xf numFmtId="0" fontId="11" fillId="0" borderId="0" xfId="0" applyFont="1" applyFill="1" applyBorder="1" applyAlignment="1" applyProtection="1">
      <alignment horizontal="center"/>
      <protection locked="0"/>
    </xf>
    <xf numFmtId="0" fontId="0" fillId="0" borderId="27" xfId="0" applyFill="1" applyBorder="1" applyAlignment="1">
      <alignment horizontal="center"/>
    </xf>
    <xf numFmtId="0" fontId="17" fillId="0" borderId="22" xfId="0" applyFont="1" applyFill="1" applyBorder="1" applyAlignment="1">
      <alignment horizontal="left" vertical="center" indent="1"/>
    </xf>
    <xf numFmtId="0" fontId="17" fillId="0" borderId="0" xfId="0" applyFont="1" applyFill="1" applyBorder="1" applyAlignment="1" applyProtection="1">
      <alignment horizontal="center"/>
      <protection locked="0"/>
    </xf>
    <xf numFmtId="0" fontId="17" fillId="0" borderId="27" xfId="0" applyFont="1" applyFill="1" applyBorder="1" applyAlignment="1" applyProtection="1">
      <alignment horizontal="center" vertical="center"/>
      <protection locked="0"/>
    </xf>
    <xf numFmtId="0" fontId="0" fillId="0" borderId="22" xfId="0" applyFill="1" applyBorder="1" applyAlignment="1">
      <alignment horizontal="left" vertical="center" indent="1"/>
    </xf>
    <xf numFmtId="0" fontId="17" fillId="0" borderId="27" xfId="0" applyFont="1" applyFill="1" applyBorder="1" applyAlignment="1" applyProtection="1">
      <alignment horizontal="center"/>
      <protection locked="0"/>
    </xf>
    <xf numFmtId="0" fontId="15" fillId="0" borderId="22" xfId="0" applyFont="1" applyFill="1" applyBorder="1" applyAlignment="1">
      <alignment horizontal="left" indent="1"/>
    </xf>
    <xf numFmtId="0" fontId="15" fillId="0" borderId="0" xfId="0" applyFont="1" applyFill="1" applyBorder="1" applyAlignment="1" applyProtection="1">
      <alignment horizontal="right"/>
      <protection locked="0"/>
    </xf>
    <xf numFmtId="0" fontId="0" fillId="0" borderId="22" xfId="0" applyFill="1" applyBorder="1" applyAlignment="1">
      <alignment horizontal="left" indent="1"/>
    </xf>
    <xf numFmtId="0" fontId="7" fillId="0" borderId="0" xfId="0" applyFont="1" applyFill="1" applyBorder="1" applyAlignment="1">
      <alignment horizontal="right"/>
    </xf>
    <xf numFmtId="2" fontId="7" fillId="0" borderId="0" xfId="0" applyNumberFormat="1" applyFont="1" applyFill="1" applyBorder="1" applyAlignment="1">
      <alignment horizontal="center"/>
    </xf>
    <xf numFmtId="2" fontId="13" fillId="0" borderId="0" xfId="0" applyNumberFormat="1" applyFont="1" applyFill="1" applyBorder="1" applyAlignment="1">
      <alignment horizontal="center"/>
    </xf>
    <xf numFmtId="0" fontId="0" fillId="0" borderId="27" xfId="0" applyFill="1" applyBorder="1"/>
    <xf numFmtId="2" fontId="15" fillId="0" borderId="0" xfId="0" applyNumberFormat="1" applyFont="1" applyFill="1" applyBorder="1" applyAlignment="1">
      <alignment horizontal="right"/>
    </xf>
    <xf numFmtId="178" fontId="7" fillId="0" borderId="0" xfId="0" applyNumberFormat="1" applyFont="1" applyFill="1" applyBorder="1" applyAlignment="1">
      <alignment horizontal="center"/>
    </xf>
    <xf numFmtId="178" fontId="7" fillId="0" borderId="27" xfId="0" applyNumberFormat="1" applyFont="1" applyFill="1" applyBorder="1" applyAlignment="1">
      <alignment horizontal="center"/>
    </xf>
    <xf numFmtId="0" fontId="18" fillId="0" borderId="22" xfId="0" applyFont="1" applyFill="1" applyBorder="1" applyAlignment="1">
      <alignment horizontal="left" indent="1"/>
    </xf>
    <xf numFmtId="0" fontId="7" fillId="0" borderId="0" xfId="0" applyFont="1" applyFill="1" applyBorder="1" applyAlignment="1">
      <alignment horizontal="center"/>
    </xf>
    <xf numFmtId="0" fontId="7" fillId="0" borderId="27" xfId="0" applyFont="1" applyFill="1" applyBorder="1" applyAlignment="1">
      <alignment horizontal="center"/>
    </xf>
    <xf numFmtId="180" fontId="7" fillId="0" borderId="0" xfId="0" applyNumberFormat="1" applyFont="1" applyFill="1" applyBorder="1" applyAlignment="1">
      <alignment horizontal="center"/>
    </xf>
    <xf numFmtId="180" fontId="7" fillId="0" borderId="27" xfId="0" applyNumberFormat="1" applyFont="1" applyFill="1" applyBorder="1" applyAlignment="1">
      <alignment horizontal="center"/>
    </xf>
    <xf numFmtId="1" fontId="15" fillId="0" borderId="0" xfId="5" applyNumberFormat="1" applyFont="1" applyFill="1" applyBorder="1" applyAlignment="1">
      <alignment horizontal="right"/>
    </xf>
    <xf numFmtId="2" fontId="7" fillId="0" borderId="27" xfId="0" applyNumberFormat="1" applyFont="1" applyFill="1" applyBorder="1" applyAlignment="1">
      <alignment horizontal="center"/>
    </xf>
    <xf numFmtId="3" fontId="15" fillId="0" borderId="0" xfId="6" applyNumberFormat="1" applyFont="1" applyFill="1" applyBorder="1" applyAlignment="1">
      <alignment horizontal="right"/>
    </xf>
    <xf numFmtId="0" fontId="18" fillId="0" borderId="27" xfId="0" applyFont="1" applyFill="1" applyBorder="1" applyAlignment="1">
      <alignment horizontal="center"/>
    </xf>
    <xf numFmtId="3" fontId="34" fillId="0" borderId="0" xfId="6" applyNumberFormat="1" applyFont="1" applyFill="1" applyBorder="1" applyAlignment="1">
      <alignment horizontal="right"/>
    </xf>
    <xf numFmtId="0" fontId="12" fillId="0" borderId="0" xfId="6" applyNumberFormat="1" applyFont="1" applyFill="1" applyBorder="1" applyAlignment="1">
      <alignment horizontal="center"/>
    </xf>
    <xf numFmtId="0" fontId="12" fillId="0" borderId="27" xfId="6" applyNumberFormat="1" applyFont="1" applyFill="1" applyBorder="1" applyAlignment="1">
      <alignment horizontal="center"/>
    </xf>
    <xf numFmtId="179" fontId="12" fillId="0" borderId="0" xfId="6" applyNumberFormat="1" applyFont="1" applyFill="1" applyBorder="1" applyAlignment="1">
      <alignment horizontal="center"/>
    </xf>
    <xf numFmtId="179" fontId="18" fillId="0" borderId="0" xfId="6" applyNumberFormat="1" applyFont="1" applyFill="1" applyBorder="1" applyAlignment="1">
      <alignment horizontal="center"/>
    </xf>
    <xf numFmtId="179" fontId="18" fillId="0" borderId="27" xfId="6" applyNumberFormat="1" applyFont="1" applyFill="1" applyBorder="1" applyAlignment="1">
      <alignment horizontal="center"/>
    </xf>
    <xf numFmtId="0" fontId="9" fillId="0" borderId="22" xfId="0" applyFont="1" applyFill="1" applyBorder="1" applyAlignment="1">
      <alignment horizontal="left" indent="1"/>
    </xf>
    <xf numFmtId="2" fontId="38" fillId="0" borderId="0" xfId="0" applyNumberFormat="1" applyFont="1" applyFill="1" applyBorder="1" applyAlignment="1">
      <alignment horizontal="right"/>
    </xf>
    <xf numFmtId="181" fontId="12" fillId="0" borderId="0" xfId="6" applyNumberFormat="1" applyFont="1" applyFill="1" applyBorder="1" applyAlignment="1">
      <alignment horizontal="center"/>
    </xf>
    <xf numFmtId="181" fontId="12" fillId="0" borderId="27" xfId="6" applyNumberFormat="1" applyFont="1" applyFill="1" applyBorder="1" applyAlignment="1">
      <alignment horizontal="center"/>
    </xf>
    <xf numFmtId="0" fontId="9" fillId="0" borderId="34" xfId="0" applyFont="1" applyFill="1" applyBorder="1" applyAlignment="1">
      <alignment horizontal="left" indent="1"/>
    </xf>
    <xf numFmtId="178" fontId="12" fillId="0" borderId="35" xfId="6" applyNumberFormat="1" applyFont="1" applyFill="1" applyBorder="1" applyAlignment="1">
      <alignment horizontal="center"/>
    </xf>
    <xf numFmtId="0" fontId="12" fillId="0" borderId="35" xfId="5" applyNumberFormat="1" applyFont="1" applyFill="1" applyBorder="1" applyAlignment="1">
      <alignment horizontal="center"/>
    </xf>
    <xf numFmtId="0" fontId="12" fillId="0" borderId="41" xfId="5" applyNumberFormat="1" applyFont="1" applyFill="1" applyBorder="1" applyAlignment="1">
      <alignment horizontal="center"/>
    </xf>
    <xf numFmtId="0" fontId="0" fillId="3" borderId="27" xfId="0" applyFill="1" applyBorder="1" applyProtection="1">
      <protection locked="0"/>
    </xf>
    <xf numFmtId="0" fontId="0" fillId="0" borderId="27" xfId="0" applyFill="1" applyBorder="1" applyProtection="1">
      <protection locked="0"/>
    </xf>
    <xf numFmtId="14" fontId="23" fillId="0" borderId="0" xfId="0" applyNumberFormat="1" applyFont="1" applyFill="1" applyBorder="1" applyAlignment="1">
      <alignment vertical="center"/>
    </xf>
    <xf numFmtId="0" fontId="0" fillId="0" borderId="22" xfId="0" applyFill="1" applyBorder="1" applyProtection="1">
      <protection locked="0"/>
    </xf>
    <xf numFmtId="0" fontId="0" fillId="0" borderId="22" xfId="0" applyFill="1" applyBorder="1"/>
    <xf numFmtId="0" fontId="14" fillId="0" borderId="22" xfId="0" applyFont="1" applyFill="1" applyBorder="1"/>
    <xf numFmtId="0" fontId="17" fillId="0" borderId="22" xfId="0" applyFont="1" applyFill="1" applyBorder="1" applyAlignment="1" applyProtection="1">
      <alignment horizontal="center" vertical="center"/>
      <protection locked="0"/>
    </xf>
    <xf numFmtId="0" fontId="17" fillId="0" borderId="22" xfId="0" applyFont="1" applyFill="1" applyBorder="1" applyAlignment="1" applyProtection="1">
      <alignment horizontal="center"/>
      <protection locked="0"/>
    </xf>
    <xf numFmtId="0" fontId="0" fillId="0" borderId="22" xfId="0" applyFill="1" applyBorder="1" applyAlignment="1">
      <alignment horizontal="center"/>
    </xf>
    <xf numFmtId="178" fontId="7" fillId="0" borderId="22" xfId="0" applyNumberFormat="1" applyFont="1" applyFill="1" applyBorder="1" applyAlignment="1">
      <alignment horizontal="center"/>
    </xf>
    <xf numFmtId="0" fontId="7" fillId="0" borderId="22" xfId="0" applyFont="1" applyFill="1" applyBorder="1" applyAlignment="1">
      <alignment horizontal="center"/>
    </xf>
    <xf numFmtId="180" fontId="7" fillId="0" borderId="22" xfId="0" applyNumberFormat="1" applyFont="1" applyFill="1" applyBorder="1" applyAlignment="1">
      <alignment horizontal="center"/>
    </xf>
    <xf numFmtId="2" fontId="7" fillId="0" borderId="22" xfId="0" applyNumberFormat="1" applyFont="1" applyFill="1" applyBorder="1" applyAlignment="1">
      <alignment horizontal="center"/>
    </xf>
    <xf numFmtId="0" fontId="18" fillId="0" borderId="22" xfId="0" applyFont="1" applyFill="1" applyBorder="1" applyAlignment="1">
      <alignment horizontal="center"/>
    </xf>
    <xf numFmtId="0" fontId="12" fillId="0" borderId="22" xfId="6" applyNumberFormat="1" applyFont="1" applyFill="1" applyBorder="1" applyAlignment="1">
      <alignment horizontal="center"/>
    </xf>
    <xf numFmtId="179" fontId="18" fillId="0" borderId="22" xfId="6" applyNumberFormat="1" applyFont="1" applyFill="1" applyBorder="1" applyAlignment="1">
      <alignment horizontal="center"/>
    </xf>
    <xf numFmtId="181" fontId="12" fillId="0" borderId="22" xfId="6" applyNumberFormat="1" applyFont="1" applyFill="1" applyBorder="1" applyAlignment="1">
      <alignment horizontal="center"/>
    </xf>
    <xf numFmtId="0" fontId="12" fillId="0" borderId="22" xfId="5" applyNumberFormat="1" applyFont="1" applyFill="1" applyBorder="1" applyAlignment="1">
      <alignment horizontal="center"/>
    </xf>
    <xf numFmtId="0" fontId="12" fillId="0" borderId="0" xfId="5" applyNumberFormat="1" applyFont="1" applyFill="1" applyBorder="1" applyAlignment="1">
      <alignment horizontal="center"/>
    </xf>
    <xf numFmtId="0" fontId="23" fillId="0" borderId="22" xfId="0" applyFont="1" applyFill="1" applyBorder="1" applyAlignment="1">
      <alignment vertical="center"/>
    </xf>
    <xf numFmtId="0" fontId="23" fillId="0" borderId="0" xfId="0" applyFont="1" applyFill="1" applyBorder="1" applyAlignment="1">
      <alignment vertical="center"/>
    </xf>
    <xf numFmtId="0" fontId="0" fillId="0" borderId="22" xfId="0" applyFill="1" applyBorder="1" applyAlignment="1"/>
    <xf numFmtId="0" fontId="14" fillId="0" borderId="0" xfId="0" applyFont="1" applyBorder="1" applyAlignment="1">
      <alignment horizontal="right"/>
    </xf>
    <xf numFmtId="183" fontId="8" fillId="0" borderId="0" xfId="7" applyNumberFormat="1" applyFont="1" applyFill="1" applyAlignment="1">
      <alignment horizontal="left" vertical="center"/>
    </xf>
    <xf numFmtId="183" fontId="39" fillId="8" borderId="0" xfId="7" applyNumberFormat="1" applyFont="1" applyFill="1" applyBorder="1" applyAlignment="1">
      <alignment vertical="center"/>
    </xf>
    <xf numFmtId="183" fontId="40" fillId="8" borderId="0" xfId="7" applyNumberFormat="1" applyFont="1" applyFill="1" applyBorder="1" applyAlignment="1">
      <alignment vertical="center" wrapText="1"/>
    </xf>
    <xf numFmtId="183" fontId="20" fillId="8" borderId="0" xfId="7" applyNumberFormat="1" applyFont="1" applyFill="1" applyBorder="1" applyAlignment="1">
      <alignment horizontal="center" vertical="center"/>
    </xf>
    <xf numFmtId="183" fontId="40" fillId="8" borderId="11" xfId="7" applyNumberFormat="1" applyFont="1" applyFill="1" applyBorder="1" applyAlignment="1">
      <alignment vertical="center" wrapText="1"/>
    </xf>
    <xf numFmtId="183" fontId="40" fillId="8" borderId="12" xfId="7" applyNumberFormat="1" applyFont="1" applyFill="1" applyBorder="1" applyAlignment="1">
      <alignment vertical="center" wrapText="1"/>
    </xf>
    <xf numFmtId="183" fontId="41" fillId="8" borderId="13" xfId="7" applyNumberFormat="1" applyFont="1" applyFill="1" applyBorder="1" applyAlignment="1">
      <alignment vertical="center"/>
    </xf>
    <xf numFmtId="183" fontId="41" fillId="8" borderId="12" xfId="7" applyNumberFormat="1" applyFont="1" applyFill="1" applyBorder="1" applyAlignment="1">
      <alignment vertical="center"/>
    </xf>
    <xf numFmtId="183" fontId="41" fillId="8" borderId="12" xfId="7" applyNumberFormat="1" applyFont="1" applyFill="1" applyBorder="1" applyAlignment="1">
      <alignment horizontal="center" vertical="center"/>
    </xf>
    <xf numFmtId="183" fontId="20" fillId="0" borderId="12" xfId="9" applyNumberFormat="1" applyFont="1" applyFill="1" applyBorder="1" applyAlignment="1">
      <alignment vertical="center"/>
    </xf>
    <xf numFmtId="183" fontId="41" fillId="8" borderId="14" xfId="7" applyNumberFormat="1" applyFont="1" applyFill="1" applyBorder="1" applyAlignment="1">
      <alignment vertical="center"/>
    </xf>
    <xf numFmtId="183" fontId="40" fillId="8" borderId="22" xfId="7" applyNumberFormat="1" applyFont="1" applyFill="1" applyBorder="1" applyAlignment="1">
      <alignment vertical="center" wrapText="1"/>
    </xf>
    <xf numFmtId="183" fontId="20" fillId="8" borderId="4" xfId="7" applyNumberFormat="1" applyFont="1" applyFill="1" applyBorder="1" applyAlignment="1">
      <alignment vertical="center"/>
    </xf>
    <xf numFmtId="183" fontId="20" fillId="8" borderId="0" xfId="7" applyNumberFormat="1" applyFont="1" applyFill="1" applyBorder="1" applyAlignment="1">
      <alignment vertical="center"/>
    </xf>
    <xf numFmtId="183" fontId="20" fillId="8" borderId="0" xfId="12" applyNumberFormat="1" applyFont="1" applyFill="1" applyBorder="1" applyAlignment="1" applyProtection="1">
      <alignment horizontal="left" vertical="center"/>
    </xf>
    <xf numFmtId="183" fontId="8" fillId="0" borderId="0" xfId="12" applyNumberFormat="1" applyFont="1" applyFill="1" applyAlignment="1">
      <alignment horizontal="left" vertical="center"/>
    </xf>
    <xf numFmtId="183" fontId="20" fillId="8" borderId="17" xfId="7" applyNumberFormat="1" applyFont="1" applyFill="1" applyBorder="1" applyAlignment="1">
      <alignment vertical="center"/>
    </xf>
    <xf numFmtId="183" fontId="20" fillId="8" borderId="16" xfId="7" applyNumberFormat="1" applyFont="1" applyFill="1" applyBorder="1" applyAlignment="1">
      <alignment vertical="center"/>
    </xf>
    <xf numFmtId="183" fontId="20" fillId="8" borderId="21" xfId="12" applyNumberFormat="1" applyFont="1" applyFill="1" applyBorder="1" applyAlignment="1" applyProtection="1">
      <alignment horizontal="left" vertical="center"/>
    </xf>
    <xf numFmtId="183" fontId="20" fillId="8" borderId="19" xfId="12" applyNumberFormat="1" applyFont="1" applyFill="1" applyBorder="1" applyAlignment="1" applyProtection="1">
      <alignment horizontal="left" vertical="center"/>
    </xf>
    <xf numFmtId="183" fontId="20" fillId="8" borderId="19" xfId="12" applyNumberFormat="1" applyFont="1" applyFill="1" applyBorder="1" applyAlignment="1" applyProtection="1">
      <alignment horizontal="left" vertical="center"/>
      <protection locked="0"/>
    </xf>
    <xf numFmtId="183" fontId="44" fillId="8" borderId="19" xfId="12" applyNumberFormat="1" applyFont="1" applyFill="1" applyBorder="1" applyAlignment="1" applyProtection="1">
      <alignment horizontal="center" vertical="center"/>
      <protection locked="0"/>
    </xf>
    <xf numFmtId="183" fontId="44" fillId="8" borderId="19" xfId="12" applyNumberFormat="1" applyFont="1" applyFill="1" applyBorder="1" applyAlignment="1" applyProtection="1">
      <alignment horizontal="left" vertical="center"/>
      <protection locked="0"/>
    </xf>
    <xf numFmtId="183" fontId="41" fillId="8" borderId="19" xfId="12" applyNumberFormat="1" applyFont="1" applyFill="1" applyBorder="1" applyAlignment="1" applyProtection="1">
      <alignment horizontal="left" vertical="center"/>
    </xf>
    <xf numFmtId="183" fontId="41" fillId="8" borderId="19" xfId="12" applyNumberFormat="1" applyFont="1" applyFill="1" applyBorder="1" applyAlignment="1">
      <alignment horizontal="left" vertical="center"/>
    </xf>
    <xf numFmtId="183" fontId="44" fillId="8" borderId="19" xfId="12" quotePrefix="1" applyNumberFormat="1" applyFont="1" applyFill="1" applyBorder="1" applyAlignment="1" applyProtection="1">
      <alignment vertical="center"/>
      <protection locked="0"/>
    </xf>
    <xf numFmtId="183" fontId="20" fillId="8" borderId="19" xfId="12" applyNumberFormat="1" applyFont="1" applyFill="1" applyBorder="1" applyAlignment="1">
      <alignment horizontal="left" vertical="center"/>
    </xf>
    <xf numFmtId="183" fontId="20" fillId="8" borderId="20" xfId="12" applyNumberFormat="1" applyFont="1" applyFill="1" applyBorder="1" applyAlignment="1">
      <alignment horizontal="left" vertical="center"/>
    </xf>
    <xf numFmtId="49" fontId="21" fillId="8" borderId="27" xfId="7" applyNumberFormat="1" applyFont="1" applyFill="1" applyBorder="1" applyAlignment="1" applyProtection="1">
      <alignment horizontal="center" vertical="center"/>
    </xf>
    <xf numFmtId="49" fontId="21" fillId="8" borderId="42" xfId="7" applyNumberFormat="1" applyFont="1" applyFill="1" applyBorder="1" applyAlignment="1" applyProtection="1">
      <alignment horizontal="center" vertical="center"/>
    </xf>
    <xf numFmtId="183" fontId="41" fillId="8" borderId="59" xfId="7" applyNumberFormat="1" applyFont="1" applyFill="1" applyBorder="1" applyAlignment="1" applyProtection="1">
      <alignment vertical="center"/>
    </xf>
    <xf numFmtId="183" fontId="1" fillId="0" borderId="0" xfId="7" applyNumberFormat="1" applyFill="1" applyAlignment="1"/>
    <xf numFmtId="49" fontId="21" fillId="8" borderId="33" xfId="7" applyNumberFormat="1" applyFont="1" applyFill="1" applyBorder="1" applyAlignment="1" applyProtection="1">
      <alignment horizontal="center" vertical="center"/>
    </xf>
    <xf numFmtId="183" fontId="41" fillId="8" borderId="61" xfId="7" applyNumberFormat="1" applyFont="1" applyFill="1" applyBorder="1" applyAlignment="1" applyProtection="1">
      <alignment vertical="center"/>
    </xf>
    <xf numFmtId="183" fontId="22" fillId="8" borderId="59" xfId="7" applyNumberFormat="1" applyFont="1" applyFill="1" applyBorder="1" applyAlignment="1" applyProtection="1">
      <alignment vertical="center"/>
    </xf>
    <xf numFmtId="183" fontId="21" fillId="8" borderId="59" xfId="7" applyNumberFormat="1" applyFont="1" applyFill="1" applyBorder="1" applyAlignment="1" applyProtection="1">
      <alignment vertical="center"/>
    </xf>
    <xf numFmtId="49" fontId="21" fillId="8" borderId="70" xfId="7" applyNumberFormat="1" applyFont="1" applyFill="1" applyBorder="1" applyAlignment="1" applyProtection="1">
      <alignment horizontal="center" vertical="center"/>
    </xf>
    <xf numFmtId="183" fontId="21" fillId="8" borderId="71" xfId="7" applyNumberFormat="1" applyFont="1" applyFill="1" applyBorder="1" applyAlignment="1" applyProtection="1">
      <alignment vertical="center"/>
    </xf>
    <xf numFmtId="183" fontId="1" fillId="0" borderId="0" xfId="7" applyNumberFormat="1" applyFill="1" applyBorder="1" applyAlignment="1"/>
    <xf numFmtId="183" fontId="1" fillId="0" borderId="0" xfId="7" applyNumberFormat="1" applyFill="1" applyBorder="1" applyAlignment="1">
      <alignment horizontal="right"/>
    </xf>
    <xf numFmtId="0" fontId="7" fillId="0" borderId="0" xfId="14" applyFont="1" applyBorder="1"/>
    <xf numFmtId="0" fontId="7" fillId="0" borderId="0" xfId="15" applyFont="1" applyBorder="1"/>
    <xf numFmtId="0" fontId="7" fillId="0" borderId="0" xfId="17" applyFont="1" applyBorder="1"/>
    <xf numFmtId="0" fontId="7" fillId="0" borderId="0" xfId="18" applyFont="1" applyBorder="1"/>
    <xf numFmtId="188" fontId="7" fillId="0" borderId="0" xfId="14" applyNumberFormat="1" applyFont="1" applyBorder="1" applyAlignment="1" applyProtection="1"/>
    <xf numFmtId="183" fontId="44" fillId="9" borderId="20" xfId="12" applyNumberFormat="1" applyFont="1" applyFill="1" applyBorder="1" applyAlignment="1" applyProtection="1">
      <alignment vertical="center"/>
      <protection locked="0"/>
    </xf>
    <xf numFmtId="183" fontId="21" fillId="8" borderId="61" xfId="7" applyNumberFormat="1" applyFont="1" applyFill="1" applyBorder="1" applyAlignment="1" applyProtection="1">
      <alignment horizontal="left" vertical="center"/>
    </xf>
    <xf numFmtId="237" fontId="21" fillId="8" borderId="61" xfId="7" applyNumberFormat="1" applyFont="1" applyFill="1" applyBorder="1" applyAlignment="1" applyProtection="1">
      <alignment horizontal="left" vertical="center"/>
    </xf>
    <xf numFmtId="183" fontId="8" fillId="0" borderId="12" xfId="7" applyNumberFormat="1" applyFont="1" applyFill="1" applyBorder="1" applyAlignment="1">
      <alignment horizontal="left" vertical="center"/>
    </xf>
    <xf numFmtId="183" fontId="8" fillId="0" borderId="0" xfId="7" applyNumberFormat="1" applyFont="1" applyFill="1" applyBorder="1" applyAlignment="1">
      <alignment horizontal="left" vertical="center"/>
    </xf>
    <xf numFmtId="183" fontId="45" fillId="8" borderId="0" xfId="12" applyNumberFormat="1" applyFont="1" applyFill="1" applyBorder="1" applyAlignment="1" applyProtection="1">
      <alignment vertical="center"/>
    </xf>
    <xf numFmtId="183" fontId="45" fillId="8" borderId="16" xfId="12" applyNumberFormat="1" applyFont="1" applyFill="1" applyBorder="1" applyAlignment="1" applyProtection="1">
      <alignment vertical="center"/>
    </xf>
    <xf numFmtId="183" fontId="8" fillId="0" borderId="0" xfId="12" applyNumberFormat="1" applyFont="1" applyFill="1" applyBorder="1" applyAlignment="1">
      <alignment horizontal="left" vertical="center"/>
    </xf>
    <xf numFmtId="183" fontId="8" fillId="0" borderId="16" xfId="12" applyNumberFormat="1" applyFont="1" applyFill="1" applyBorder="1" applyAlignment="1">
      <alignment horizontal="left" vertical="center"/>
    </xf>
    <xf numFmtId="0" fontId="21" fillId="8" borderId="18" xfId="7" applyNumberFormat="1" applyFont="1" applyFill="1" applyBorder="1" applyAlignment="1" applyProtection="1">
      <alignment vertical="center"/>
    </xf>
    <xf numFmtId="0" fontId="21" fillId="8" borderId="19" xfId="7" applyNumberFormat="1" applyFont="1" applyFill="1" applyBorder="1" applyAlignment="1" applyProtection="1">
      <alignment vertical="center"/>
    </xf>
    <xf numFmtId="183" fontId="20" fillId="8" borderId="19" xfId="7" applyNumberFormat="1" applyFont="1" applyFill="1" applyBorder="1" applyAlignment="1" applyProtection="1">
      <alignment vertical="center"/>
    </xf>
    <xf numFmtId="1" fontId="46" fillId="8" borderId="19" xfId="7" applyNumberFormat="1" applyFont="1" applyFill="1" applyBorder="1" applyAlignment="1" applyProtection="1">
      <alignment vertical="center"/>
      <protection locked="0"/>
    </xf>
    <xf numFmtId="1" fontId="46" fillId="8" borderId="20" xfId="7" applyNumberFormat="1" applyFont="1" applyFill="1" applyBorder="1" applyAlignment="1" applyProtection="1">
      <alignment vertical="center"/>
      <protection locked="0"/>
    </xf>
    <xf numFmtId="183" fontId="20" fillId="8" borderId="61" xfId="7" applyNumberFormat="1" applyFont="1" applyFill="1" applyBorder="1" applyAlignment="1" applyProtection="1">
      <alignment horizontal="right" vertical="center"/>
    </xf>
    <xf numFmtId="183" fontId="20" fillId="8" borderId="62" xfId="7" applyNumberFormat="1" applyFont="1" applyFill="1" applyBorder="1" applyAlignment="1" applyProtection="1">
      <alignment horizontal="right" vertical="center"/>
    </xf>
    <xf numFmtId="237" fontId="21" fillId="8" borderId="0" xfId="7" applyNumberFormat="1" applyFont="1" applyFill="1" applyBorder="1" applyAlignment="1" applyProtection="1">
      <alignment horizontal="left" vertical="center"/>
    </xf>
    <xf numFmtId="183" fontId="20" fillId="8" borderId="57" xfId="7" applyNumberFormat="1" applyFont="1" applyFill="1" applyBorder="1" applyAlignment="1" applyProtection="1">
      <alignment horizontal="right" vertical="center"/>
    </xf>
    <xf numFmtId="183" fontId="20" fillId="8" borderId="91" xfId="7" applyNumberFormat="1" applyFont="1" applyFill="1" applyBorder="1" applyAlignment="1" applyProtection="1">
      <alignment horizontal="right" vertical="center"/>
    </xf>
    <xf numFmtId="183" fontId="21" fillId="8" borderId="65" xfId="7" applyNumberFormat="1" applyFont="1" applyFill="1" applyBorder="1" applyAlignment="1" applyProtection="1">
      <alignment horizontal="left" vertical="center"/>
    </xf>
    <xf numFmtId="183" fontId="21" fillId="8" borderId="68" xfId="7" applyNumberFormat="1" applyFont="1" applyFill="1" applyBorder="1" applyAlignment="1" applyProtection="1">
      <alignment horizontal="left" vertical="center"/>
    </xf>
    <xf numFmtId="183" fontId="41" fillId="8" borderId="0" xfId="7" applyNumberFormat="1" applyFont="1" applyFill="1" applyBorder="1" applyAlignment="1" applyProtection="1">
      <alignment vertical="center"/>
    </xf>
    <xf numFmtId="0" fontId="0" fillId="0" borderId="0" xfId="0" applyNumberFormat="1" applyBorder="1" applyProtection="1">
      <protection locked="0"/>
    </xf>
    <xf numFmtId="0" fontId="0" fillId="0" borderId="4" xfId="0" applyNumberFormat="1" applyBorder="1" applyProtection="1">
      <protection locked="0"/>
    </xf>
    <xf numFmtId="0" fontId="0" fillId="0" borderId="24" xfId="0" applyNumberFormat="1" applyBorder="1" applyProtection="1">
      <protection locked="0"/>
    </xf>
    <xf numFmtId="0" fontId="0" fillId="0" borderId="46" xfId="0" applyNumberFormat="1" applyBorder="1" applyProtection="1">
      <protection locked="0"/>
    </xf>
    <xf numFmtId="0" fontId="0" fillId="0" borderId="45" xfId="0" applyNumberFormat="1" applyBorder="1" applyProtection="1">
      <protection locked="0"/>
    </xf>
    <xf numFmtId="0" fontId="0" fillId="0" borderId="17" xfId="0" applyNumberFormat="1" applyBorder="1" applyProtection="1">
      <protection locked="0"/>
    </xf>
    <xf numFmtId="0" fontId="0" fillId="0" borderId="16" xfId="0" applyNumberFormat="1" applyBorder="1" applyProtection="1">
      <protection locked="0"/>
    </xf>
    <xf numFmtId="0" fontId="0" fillId="0" borderId="29" xfId="0" applyNumberFormat="1" applyBorder="1" applyProtection="1">
      <protection locked="0"/>
    </xf>
    <xf numFmtId="0" fontId="0" fillId="0" borderId="45" xfId="0" applyBorder="1" applyAlignment="1">
      <alignment horizontal="right"/>
    </xf>
    <xf numFmtId="0" fontId="0" fillId="0" borderId="0" xfId="0" applyAlignment="1">
      <alignment horizontal="right"/>
    </xf>
    <xf numFmtId="0" fontId="21" fillId="8" borderId="4" xfId="7" applyNumberFormat="1" applyFont="1" applyFill="1" applyBorder="1" applyAlignment="1" applyProtection="1">
      <alignment horizontal="left" vertical="center"/>
    </xf>
    <xf numFmtId="0" fontId="21" fillId="8" borderId="0" xfId="7" applyNumberFormat="1" applyFont="1" applyFill="1" applyBorder="1" applyAlignment="1" applyProtection="1">
      <alignment horizontal="left" vertical="center"/>
    </xf>
    <xf numFmtId="183" fontId="20" fillId="8" borderId="0" xfId="7" applyNumberFormat="1" applyFont="1" applyFill="1" applyBorder="1" applyAlignment="1" applyProtection="1">
      <alignment horizontal="right" vertical="center"/>
    </xf>
    <xf numFmtId="1" fontId="46" fillId="8" borderId="0" xfId="7" applyNumberFormat="1" applyFont="1" applyFill="1" applyBorder="1" applyAlignment="1" applyProtection="1">
      <alignment horizontal="center" vertical="center"/>
      <protection locked="0"/>
    </xf>
    <xf numFmtId="183" fontId="20" fillId="8" borderId="61" xfId="7" applyNumberFormat="1" applyFont="1" applyFill="1" applyBorder="1" applyAlignment="1" applyProtection="1">
      <alignment horizontal="right" vertical="center"/>
    </xf>
    <xf numFmtId="237" fontId="21" fillId="8" borderId="60" xfId="7" applyNumberFormat="1" applyFont="1" applyFill="1" applyBorder="1" applyAlignment="1" applyProtection="1">
      <alignment vertical="center"/>
    </xf>
    <xf numFmtId="237" fontId="21" fillId="8" borderId="61" xfId="7" applyNumberFormat="1" applyFont="1" applyFill="1" applyBorder="1" applyAlignment="1" applyProtection="1">
      <alignment vertical="center"/>
    </xf>
    <xf numFmtId="237" fontId="21" fillId="8" borderId="61" xfId="7" applyNumberFormat="1" applyFont="1" applyFill="1" applyBorder="1" applyAlignment="1" applyProtection="1">
      <alignment horizontal="left" vertical="center"/>
    </xf>
    <xf numFmtId="237" fontId="21" fillId="8" borderId="57" xfId="7" applyNumberFormat="1" applyFont="1" applyFill="1" applyBorder="1" applyAlignment="1" applyProtection="1">
      <alignment horizontal="left" vertical="center"/>
    </xf>
    <xf numFmtId="237" fontId="21" fillId="8" borderId="65" xfId="7" applyNumberFormat="1" applyFont="1" applyFill="1" applyBorder="1" applyAlignment="1" applyProtection="1">
      <alignment horizontal="left" vertical="center"/>
    </xf>
    <xf numFmtId="0" fontId="21" fillId="8" borderId="19" xfId="7" applyNumberFormat="1" applyFont="1" applyFill="1" applyBorder="1" applyAlignment="1" applyProtection="1">
      <alignment horizontal="left" vertical="center"/>
    </xf>
    <xf numFmtId="183" fontId="21" fillId="8" borderId="61" xfId="7" applyNumberFormat="1" applyFont="1" applyFill="1" applyBorder="1" applyAlignment="1" applyProtection="1">
      <alignment horizontal="left" vertical="center" indent="1"/>
    </xf>
    <xf numFmtId="183" fontId="41" fillId="8" borderId="89" xfId="7" applyNumberFormat="1" applyFont="1" applyFill="1" applyBorder="1" applyAlignment="1">
      <alignment vertical="center"/>
    </xf>
    <xf numFmtId="183" fontId="20" fillId="9" borderId="19" xfId="7" applyNumberFormat="1" applyFont="1" applyFill="1" applyBorder="1" applyAlignment="1">
      <alignment vertical="center"/>
    </xf>
    <xf numFmtId="183" fontId="20" fillId="0" borderId="12" xfId="9" applyNumberFormat="1" applyFont="1" applyFill="1" applyBorder="1" applyAlignment="1">
      <alignment horizontal="center" vertical="center"/>
    </xf>
    <xf numFmtId="183" fontId="20" fillId="8" borderId="61" xfId="7" applyNumberFormat="1" applyFont="1" applyFill="1" applyBorder="1" applyAlignment="1" applyProtection="1">
      <alignment vertical="center"/>
    </xf>
    <xf numFmtId="0" fontId="21" fillId="8" borderId="61" xfId="7" applyNumberFormat="1" applyFont="1" applyFill="1" applyBorder="1" applyAlignment="1" applyProtection="1">
      <alignment horizontal="left" vertical="center"/>
    </xf>
    <xf numFmtId="183" fontId="20" fillId="8" borderId="61" xfId="7" applyNumberFormat="1" applyFont="1" applyFill="1" applyBorder="1" applyAlignment="1" applyProtection="1">
      <alignment horizontal="right" vertical="center"/>
    </xf>
    <xf numFmtId="237" fontId="21" fillId="8" borderId="61" xfId="7" applyNumberFormat="1" applyFont="1" applyFill="1" applyBorder="1" applyAlignment="1" applyProtection="1">
      <alignment horizontal="left" vertical="center"/>
    </xf>
    <xf numFmtId="183" fontId="20" fillId="8" borderId="61" xfId="7" applyNumberFormat="1" applyFont="1" applyFill="1" applyBorder="1" applyAlignment="1" applyProtection="1">
      <alignment horizontal="right" vertical="center"/>
    </xf>
    <xf numFmtId="237" fontId="21" fillId="8" borderId="61" xfId="7" applyNumberFormat="1" applyFont="1" applyFill="1" applyBorder="1" applyAlignment="1" applyProtection="1">
      <alignment horizontal="left" vertical="center"/>
    </xf>
    <xf numFmtId="237" fontId="21" fillId="8" borderId="61" xfId="7" applyNumberFormat="1" applyFont="1" applyFill="1" applyBorder="1" applyAlignment="1" applyProtection="1">
      <alignment horizontal="left" vertical="center"/>
    </xf>
    <xf numFmtId="183" fontId="20" fillId="8" borderId="61" xfId="7" applyNumberFormat="1" applyFont="1" applyFill="1" applyBorder="1" applyAlignment="1" applyProtection="1">
      <alignment horizontal="right" vertical="center"/>
    </xf>
    <xf numFmtId="183" fontId="20" fillId="8" borderId="62" xfId="7" applyNumberFormat="1" applyFont="1" applyFill="1" applyBorder="1" applyAlignment="1" applyProtection="1">
      <alignment horizontal="right" vertical="center"/>
    </xf>
    <xf numFmtId="183" fontId="21" fillId="8" borderId="61" xfId="7" applyNumberFormat="1" applyFont="1" applyFill="1" applyBorder="1" applyAlignment="1" applyProtection="1">
      <alignment horizontal="left" vertical="center" indent="1"/>
    </xf>
    <xf numFmtId="237" fontId="21" fillId="8" borderId="65" xfId="7" applyNumberFormat="1" applyFont="1" applyFill="1" applyBorder="1" applyAlignment="1" applyProtection="1">
      <alignment horizontal="left" vertical="center"/>
    </xf>
    <xf numFmtId="183" fontId="20" fillId="8" borderId="57" xfId="7" applyNumberFormat="1" applyFont="1" applyFill="1" applyBorder="1" applyAlignment="1" applyProtection="1">
      <alignment horizontal="right" vertical="center"/>
    </xf>
    <xf numFmtId="183" fontId="20" fillId="8" borderId="91" xfId="7" applyNumberFormat="1" applyFont="1" applyFill="1" applyBorder="1" applyAlignment="1" applyProtection="1">
      <alignment horizontal="right" vertical="center"/>
    </xf>
    <xf numFmtId="183" fontId="21" fillId="8" borderId="61" xfId="7" applyNumberFormat="1" applyFont="1" applyFill="1" applyBorder="1" applyAlignment="1" applyProtection="1">
      <alignment horizontal="left" vertical="center"/>
    </xf>
    <xf numFmtId="237" fontId="21" fillId="8" borderId="57" xfId="7" applyNumberFormat="1" applyFont="1" applyFill="1" applyBorder="1" applyAlignment="1" applyProtection="1">
      <alignment horizontal="left" vertical="center"/>
    </xf>
    <xf numFmtId="0" fontId="21" fillId="8" borderId="19" xfId="7" applyNumberFormat="1" applyFont="1" applyFill="1" applyBorder="1" applyAlignment="1" applyProtection="1">
      <alignment horizontal="left" vertical="center"/>
    </xf>
    <xf numFmtId="183" fontId="20" fillId="8" borderId="0" xfId="7" applyNumberFormat="1" applyFont="1" applyFill="1" applyBorder="1" applyAlignment="1">
      <alignment horizontal="center" vertical="center"/>
    </xf>
    <xf numFmtId="0" fontId="21" fillId="8" borderId="61" xfId="7" applyNumberFormat="1" applyFont="1" applyFill="1" applyBorder="1" applyAlignment="1" applyProtection="1">
      <alignment horizontal="left" vertical="center"/>
    </xf>
    <xf numFmtId="183" fontId="20" fillId="8" borderId="100" xfId="7" applyNumberFormat="1" applyFont="1" applyFill="1" applyBorder="1" applyAlignment="1" applyProtection="1">
      <alignment vertical="center"/>
    </xf>
    <xf numFmtId="237" fontId="21" fillId="8" borderId="102" xfId="7" applyNumberFormat="1" applyFont="1" applyFill="1" applyBorder="1" applyAlignment="1" applyProtection="1">
      <alignment vertical="center"/>
    </xf>
    <xf numFmtId="237" fontId="21" fillId="8" borderId="100" xfId="7" applyNumberFormat="1" applyFont="1" applyFill="1" applyBorder="1" applyAlignment="1" applyProtection="1">
      <alignment vertical="center"/>
    </xf>
    <xf numFmtId="1" fontId="46" fillId="8" borderId="18" xfId="7" applyNumberFormat="1" applyFont="1" applyFill="1" applyBorder="1" applyAlignment="1" applyProtection="1">
      <alignment vertical="center"/>
      <protection locked="0"/>
    </xf>
    <xf numFmtId="1" fontId="46" fillId="8" borderId="4" xfId="7" applyNumberFormat="1" applyFont="1" applyFill="1" applyBorder="1" applyAlignment="1" applyProtection="1">
      <alignment horizontal="center" vertical="center"/>
      <protection locked="0"/>
    </xf>
    <xf numFmtId="1" fontId="46" fillId="8" borderId="45" xfId="7" applyNumberFormat="1" applyFont="1" applyFill="1" applyBorder="1" applyAlignment="1" applyProtection="1">
      <alignment horizontal="center" vertical="center"/>
      <protection locked="0"/>
    </xf>
    <xf numFmtId="0" fontId="0" fillId="0" borderId="48" xfId="0" applyBorder="1" applyAlignment="1">
      <alignment horizontal="left" vertical="center"/>
    </xf>
    <xf numFmtId="0" fontId="0" fillId="0" borderId="24" xfId="0" applyBorder="1" applyAlignment="1">
      <alignment horizontal="left" vertical="center"/>
    </xf>
    <xf numFmtId="0" fontId="0" fillId="0" borderId="17" xfId="0" applyBorder="1" applyAlignment="1">
      <alignment horizontal="left" vertical="center"/>
    </xf>
    <xf numFmtId="0" fontId="0" fillId="0" borderId="16" xfId="0" applyBorder="1" applyAlignment="1">
      <alignment horizontal="left" vertical="center"/>
    </xf>
    <xf numFmtId="0" fontId="0" fillId="0" borderId="13" xfId="0" applyFont="1" applyBorder="1" applyAlignment="1">
      <alignment horizontal="left" vertical="center"/>
    </xf>
    <xf numFmtId="0" fontId="0" fillId="0" borderId="12" xfId="0" applyFont="1" applyBorder="1" applyAlignment="1">
      <alignment horizontal="left" vertical="center"/>
    </xf>
    <xf numFmtId="0" fontId="0" fillId="0" borderId="4" xfId="0" applyFont="1" applyBorder="1" applyAlignment="1">
      <alignment horizontal="left" vertical="center"/>
    </xf>
    <xf numFmtId="0" fontId="0" fillId="0" borderId="0" xfId="0" applyFont="1" applyBorder="1" applyAlignment="1">
      <alignment horizontal="left" vertical="center"/>
    </xf>
    <xf numFmtId="14" fontId="23" fillId="4" borderId="12" xfId="0" applyNumberFormat="1" applyFont="1" applyFill="1" applyBorder="1" applyAlignment="1">
      <alignment horizontal="center" vertical="center"/>
    </xf>
    <xf numFmtId="14" fontId="23" fillId="4" borderId="14" xfId="0" applyNumberFormat="1" applyFont="1" applyFill="1" applyBorder="1" applyAlignment="1">
      <alignment horizontal="center" vertical="center"/>
    </xf>
    <xf numFmtId="14" fontId="23" fillId="4" borderId="16" xfId="0" applyNumberFormat="1" applyFont="1" applyFill="1" applyBorder="1" applyAlignment="1">
      <alignment horizontal="center" vertical="center"/>
    </xf>
    <xf numFmtId="14" fontId="23" fillId="4" borderId="32" xfId="0" applyNumberFormat="1" applyFont="1" applyFill="1" applyBorder="1" applyAlignment="1">
      <alignment horizontal="center" vertical="center"/>
    </xf>
    <xf numFmtId="0" fontId="0" fillId="4" borderId="24" xfId="0" applyFill="1" applyBorder="1" applyAlignment="1">
      <alignment horizontal="center"/>
    </xf>
    <xf numFmtId="0" fontId="0" fillId="4" borderId="25" xfId="0" applyFill="1" applyBorder="1" applyAlignment="1">
      <alignment horizontal="center"/>
    </xf>
    <xf numFmtId="0" fontId="0" fillId="4" borderId="16" xfId="0" applyFill="1" applyBorder="1" applyAlignment="1">
      <alignment horizontal="center"/>
    </xf>
    <xf numFmtId="0" fontId="0" fillId="4" borderId="32" xfId="0" applyFill="1" applyBorder="1" applyAlignment="1">
      <alignment horizontal="center"/>
    </xf>
    <xf numFmtId="0" fontId="0" fillId="0" borderId="24" xfId="0" applyFont="1" applyBorder="1" applyAlignment="1">
      <alignment horizontal="left" vertical="center"/>
    </xf>
    <xf numFmtId="0" fontId="0" fillId="0" borderId="17" xfId="0" applyFont="1" applyBorder="1" applyAlignment="1">
      <alignment horizontal="left" vertical="center"/>
    </xf>
    <xf numFmtId="0" fontId="0" fillId="0" borderId="16" xfId="0" applyFont="1" applyBorder="1" applyAlignment="1">
      <alignment horizontal="left" vertical="center"/>
    </xf>
    <xf numFmtId="0" fontId="0" fillId="4" borderId="46" xfId="0" applyFill="1" applyBorder="1" applyAlignment="1">
      <alignment horizontal="center"/>
    </xf>
    <xf numFmtId="0" fontId="0" fillId="4" borderId="29" xfId="0" applyFill="1" applyBorder="1" applyAlignment="1">
      <alignment horizontal="center"/>
    </xf>
    <xf numFmtId="0" fontId="0" fillId="0" borderId="13" xfId="0" applyBorder="1" applyAlignment="1">
      <alignment horizontal="left" vertical="center"/>
    </xf>
    <xf numFmtId="0" fontId="0" fillId="0" borderId="12" xfId="0" applyBorder="1" applyAlignment="1">
      <alignment horizontal="left" vertical="center"/>
    </xf>
    <xf numFmtId="0" fontId="35" fillId="0" borderId="22" xfId="0" applyFont="1" applyFill="1" applyBorder="1" applyAlignment="1">
      <alignment horizontal="left" vertical="center"/>
    </xf>
    <xf numFmtId="0" fontId="35" fillId="0" borderId="0" xfId="0" applyFont="1" applyFill="1" applyBorder="1" applyAlignment="1">
      <alignment horizontal="left" vertical="center"/>
    </xf>
    <xf numFmtId="0" fontId="0" fillId="0" borderId="11" xfId="0" applyBorder="1" applyAlignment="1">
      <alignment horizontal="center"/>
    </xf>
    <xf numFmtId="0" fontId="0" fillId="0" borderId="12" xfId="0" applyBorder="1" applyAlignment="1">
      <alignment horizontal="center"/>
    </xf>
    <xf numFmtId="0" fontId="0" fillId="0" borderId="39" xfId="0" applyBorder="1" applyAlignment="1">
      <alignment horizontal="center"/>
    </xf>
    <xf numFmtId="0" fontId="0" fillId="0" borderId="22" xfId="0" applyBorder="1" applyAlignment="1">
      <alignment horizontal="center"/>
    </xf>
    <xf numFmtId="0" fontId="0" fillId="0" borderId="0" xfId="0" applyBorder="1" applyAlignment="1">
      <alignment horizontal="center"/>
    </xf>
    <xf numFmtId="0" fontId="0" fillId="0" borderId="45"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9" xfId="0" applyBorder="1" applyAlignment="1">
      <alignment horizontal="center"/>
    </xf>
    <xf numFmtId="0" fontId="0" fillId="0" borderId="48" xfId="0" applyFont="1" applyBorder="1" applyAlignment="1">
      <alignment horizontal="left" vertical="center"/>
    </xf>
    <xf numFmtId="0" fontId="0" fillId="3" borderId="12" xfId="0" applyFill="1" applyBorder="1" applyAlignment="1" applyProtection="1">
      <alignment horizontal="center"/>
      <protection locked="0"/>
    </xf>
    <xf numFmtId="0" fontId="0" fillId="3" borderId="39" xfId="0" applyFill="1" applyBorder="1" applyAlignment="1" applyProtection="1">
      <alignment horizontal="center"/>
      <protection locked="0"/>
    </xf>
    <xf numFmtId="0" fontId="0" fillId="3" borderId="16" xfId="0" applyFill="1" applyBorder="1" applyAlignment="1" applyProtection="1">
      <alignment horizontal="center"/>
      <protection locked="0"/>
    </xf>
    <xf numFmtId="0" fontId="0" fillId="3" borderId="29" xfId="0" applyFill="1" applyBorder="1" applyAlignment="1" applyProtection="1">
      <alignment horizontal="center"/>
      <protection locked="0"/>
    </xf>
    <xf numFmtId="183" fontId="1" fillId="0" borderId="31" xfId="7" applyNumberFormat="1" applyFill="1" applyBorder="1" applyAlignment="1">
      <alignment horizontal="center"/>
    </xf>
    <xf numFmtId="183" fontId="1" fillId="0" borderId="51" xfId="7" applyNumberFormat="1" applyFill="1" applyBorder="1" applyAlignment="1">
      <alignment horizontal="center"/>
    </xf>
    <xf numFmtId="183" fontId="1" fillId="0" borderId="50" xfId="7" applyNumberFormat="1" applyFill="1" applyBorder="1" applyAlignment="1">
      <alignment horizontal="center"/>
    </xf>
    <xf numFmtId="183" fontId="1" fillId="0" borderId="23" xfId="7" applyNumberFormat="1" applyFill="1" applyBorder="1" applyAlignment="1">
      <alignment horizontal="center"/>
    </xf>
    <xf numFmtId="183" fontId="1" fillId="0" borderId="40" xfId="7" applyNumberFormat="1" applyFill="1" applyBorder="1" applyAlignment="1">
      <alignment horizontal="center"/>
    </xf>
    <xf numFmtId="183" fontId="1" fillId="0" borderId="33" xfId="7" applyNumberFormat="1" applyFill="1" applyBorder="1" applyAlignment="1">
      <alignment horizontal="center"/>
    </xf>
    <xf numFmtId="183" fontId="1" fillId="0" borderId="6" xfId="7" applyNumberFormat="1" applyFill="1" applyBorder="1" applyAlignment="1">
      <alignment horizontal="center"/>
    </xf>
    <xf numFmtId="183" fontId="1" fillId="0" borderId="18" xfId="7" applyNumberFormat="1" applyFill="1" applyBorder="1" applyAlignment="1">
      <alignment horizontal="center"/>
    </xf>
    <xf numFmtId="183" fontId="1" fillId="0" borderId="19" xfId="7" applyNumberFormat="1" applyFill="1" applyBorder="1" applyAlignment="1">
      <alignment horizontal="center"/>
    </xf>
    <xf numFmtId="183" fontId="1" fillId="0" borderId="38" xfId="7" applyNumberFormat="1" applyFill="1" applyBorder="1" applyAlignment="1">
      <alignment horizontal="center"/>
    </xf>
    <xf numFmtId="183" fontId="1" fillId="0" borderId="30" xfId="7" applyNumberFormat="1" applyFill="1" applyBorder="1" applyAlignment="1">
      <alignment horizontal="center"/>
    </xf>
    <xf numFmtId="183" fontId="1" fillId="0" borderId="70" xfId="7" applyNumberFormat="1" applyFill="1" applyBorder="1" applyAlignment="1">
      <alignment horizontal="center"/>
    </xf>
    <xf numFmtId="183" fontId="1" fillId="0" borderId="26" xfId="7" applyNumberFormat="1" applyFill="1" applyBorder="1" applyAlignment="1">
      <alignment horizontal="center"/>
    </xf>
    <xf numFmtId="183" fontId="1" fillId="0" borderId="47" xfId="7" applyNumberFormat="1" applyFill="1" applyBorder="1" applyAlignment="1">
      <alignment horizontal="center"/>
    </xf>
    <xf numFmtId="49" fontId="21" fillId="8" borderId="43" xfId="7" applyNumberFormat="1" applyFont="1" applyFill="1" applyBorder="1" applyAlignment="1" applyProtection="1">
      <alignment horizontal="center" vertical="center"/>
    </xf>
    <xf numFmtId="49" fontId="21" fillId="8" borderId="52" xfId="7" applyNumberFormat="1" applyFont="1" applyFill="1" applyBorder="1" applyAlignment="1" applyProtection="1">
      <alignment horizontal="center" vertical="center"/>
    </xf>
    <xf numFmtId="49" fontId="21" fillId="8" borderId="44" xfId="7" applyNumberFormat="1" applyFont="1" applyFill="1" applyBorder="1" applyAlignment="1" applyProtection="1">
      <alignment horizontal="center" vertical="center"/>
    </xf>
    <xf numFmtId="183" fontId="1" fillId="0" borderId="72" xfId="7" applyNumberFormat="1" applyFill="1" applyBorder="1" applyAlignment="1">
      <alignment horizontal="center"/>
    </xf>
    <xf numFmtId="183" fontId="1" fillId="0" borderId="36" xfId="7" applyNumberFormat="1" applyFill="1" applyBorder="1" applyAlignment="1">
      <alignment horizontal="center"/>
    </xf>
    <xf numFmtId="183" fontId="1" fillId="0" borderId="13" xfId="7" applyNumberFormat="1" applyFill="1" applyBorder="1" applyAlignment="1">
      <alignment horizontal="center"/>
    </xf>
    <xf numFmtId="183" fontId="1" fillId="0" borderId="12" xfId="7" applyNumberFormat="1" applyFill="1" applyBorder="1" applyAlignment="1">
      <alignment horizontal="center"/>
    </xf>
    <xf numFmtId="183" fontId="1" fillId="0" borderId="39" xfId="7" applyNumberFormat="1" applyFill="1" applyBorder="1" applyAlignment="1">
      <alignment horizontal="center"/>
    </xf>
    <xf numFmtId="183" fontId="1" fillId="0" borderId="37" xfId="7" applyNumberFormat="1" applyFill="1" applyBorder="1" applyAlignment="1">
      <alignment horizontal="center"/>
    </xf>
    <xf numFmtId="237" fontId="21" fillId="8" borderId="60" xfId="7" applyNumberFormat="1" applyFont="1" applyFill="1" applyBorder="1" applyAlignment="1" applyProtection="1">
      <alignment horizontal="left" vertical="center"/>
    </xf>
    <xf numFmtId="237" fontId="21" fillId="8" borderId="61" xfId="7" applyNumberFormat="1" applyFont="1" applyFill="1" applyBorder="1" applyAlignment="1" applyProtection="1">
      <alignment horizontal="left" vertical="center"/>
    </xf>
    <xf numFmtId="183" fontId="20" fillId="8" borderId="61" xfId="7" applyNumberFormat="1" applyFont="1" applyFill="1" applyBorder="1" applyAlignment="1" applyProtection="1">
      <alignment horizontal="right" vertical="center"/>
    </xf>
    <xf numFmtId="183" fontId="20" fillId="8" borderId="62" xfId="7" applyNumberFormat="1" applyFont="1" applyFill="1" applyBorder="1" applyAlignment="1" applyProtection="1">
      <alignment horizontal="right" vertical="center"/>
    </xf>
    <xf numFmtId="185" fontId="47" fillId="8" borderId="60" xfId="7" applyNumberFormat="1" applyFont="1" applyFill="1" applyBorder="1" applyAlignment="1" applyProtection="1">
      <alignment horizontal="center" vertical="center"/>
      <protection locked="0"/>
    </xf>
    <xf numFmtId="185" fontId="47" fillId="8" borderId="61" xfId="7" applyNumberFormat="1" applyFont="1" applyFill="1" applyBorder="1" applyAlignment="1" applyProtection="1">
      <alignment horizontal="center" vertical="center"/>
      <protection locked="0"/>
    </xf>
    <xf numFmtId="185" fontId="47" fillId="8" borderId="62" xfId="7" applyNumberFormat="1" applyFont="1" applyFill="1" applyBorder="1" applyAlignment="1" applyProtection="1">
      <alignment horizontal="center" vertical="center"/>
      <protection locked="0"/>
    </xf>
    <xf numFmtId="186" fontId="47" fillId="8" borderId="102" xfId="7" applyNumberFormat="1" applyFont="1" applyFill="1" applyBorder="1" applyAlignment="1" applyProtection="1">
      <alignment horizontal="center" vertical="center"/>
      <protection locked="0"/>
    </xf>
    <xf numFmtId="186" fontId="47" fillId="8" borderId="100" xfId="7" applyNumberFormat="1" applyFont="1" applyFill="1" applyBorder="1" applyAlignment="1" applyProtection="1">
      <alignment horizontal="center" vertical="center"/>
      <protection locked="0"/>
    </xf>
    <xf numFmtId="186" fontId="47" fillId="8" borderId="101" xfId="7" applyNumberFormat="1" applyFont="1" applyFill="1" applyBorder="1" applyAlignment="1" applyProtection="1">
      <alignment horizontal="center" vertical="center"/>
      <protection locked="0"/>
    </xf>
    <xf numFmtId="185" fontId="47" fillId="8" borderId="63" xfId="7" applyNumberFormat="1" applyFont="1" applyFill="1" applyBorder="1" applyAlignment="1" applyProtection="1">
      <alignment horizontal="center" vertical="center"/>
      <protection locked="0"/>
    </xf>
    <xf numFmtId="185" fontId="47" fillId="8" borderId="64" xfId="7" applyNumberFormat="1" applyFont="1" applyFill="1" applyBorder="1" applyAlignment="1" applyProtection="1">
      <alignment horizontal="center" vertical="center"/>
      <protection locked="0"/>
    </xf>
    <xf numFmtId="186" fontId="47" fillId="8" borderId="66" xfId="7" applyNumberFormat="1" applyFont="1" applyFill="1" applyBorder="1" applyAlignment="1" applyProtection="1">
      <alignment horizontal="center" vertical="center"/>
      <protection locked="0"/>
    </xf>
    <xf numFmtId="186" fontId="47" fillId="8" borderId="64" xfId="7" applyNumberFormat="1" applyFont="1" applyFill="1" applyBorder="1" applyAlignment="1" applyProtection="1">
      <alignment horizontal="center" vertical="center"/>
      <protection locked="0"/>
    </xf>
    <xf numFmtId="186" fontId="47" fillId="8" borderId="99" xfId="7" applyNumberFormat="1" applyFont="1" applyFill="1" applyBorder="1" applyAlignment="1" applyProtection="1">
      <alignment horizontal="center" vertical="center"/>
      <protection locked="0"/>
    </xf>
    <xf numFmtId="186" fontId="47" fillId="8" borderId="104" xfId="7" applyNumberFormat="1" applyFont="1" applyFill="1" applyBorder="1" applyAlignment="1" applyProtection="1">
      <alignment horizontal="center" vertical="center"/>
      <protection locked="0"/>
    </xf>
    <xf numFmtId="186" fontId="47" fillId="8" borderId="63" xfId="7" applyNumberFormat="1" applyFont="1" applyFill="1" applyBorder="1" applyAlignment="1" applyProtection="1">
      <alignment horizontal="center" vertical="center"/>
      <protection locked="0"/>
    </xf>
    <xf numFmtId="186" fontId="47" fillId="8" borderId="61" xfId="7" applyNumberFormat="1" applyFont="1" applyFill="1" applyBorder="1" applyAlignment="1" applyProtection="1">
      <alignment horizontal="center" vertical="center"/>
      <protection locked="0"/>
    </xf>
    <xf numFmtId="0" fontId="21" fillId="8" borderId="18" xfId="7" applyNumberFormat="1" applyFont="1" applyFill="1" applyBorder="1" applyAlignment="1" applyProtection="1">
      <alignment horizontal="left" vertical="center"/>
    </xf>
    <xf numFmtId="0" fontId="21" fillId="8" borderId="19" xfId="7" applyNumberFormat="1" applyFont="1" applyFill="1" applyBorder="1" applyAlignment="1" applyProtection="1">
      <alignment horizontal="left" vertical="center"/>
    </xf>
    <xf numFmtId="183" fontId="20" fillId="8" borderId="19" xfId="7" applyNumberFormat="1" applyFont="1" applyFill="1" applyBorder="1" applyAlignment="1" applyProtection="1">
      <alignment horizontal="right" vertical="center"/>
    </xf>
    <xf numFmtId="1" fontId="46" fillId="8" borderId="19" xfId="7" applyNumberFormat="1" applyFont="1" applyFill="1" applyBorder="1" applyAlignment="1" applyProtection="1">
      <alignment horizontal="center" vertical="center"/>
      <protection locked="0"/>
    </xf>
    <xf numFmtId="1" fontId="46" fillId="8" borderId="18" xfId="7" applyNumberFormat="1" applyFont="1" applyFill="1" applyBorder="1" applyAlignment="1" applyProtection="1">
      <alignment horizontal="center" vertical="center"/>
      <protection locked="0"/>
    </xf>
    <xf numFmtId="1" fontId="46" fillId="8" borderId="38" xfId="7" applyNumberFormat="1" applyFont="1" applyFill="1" applyBorder="1" applyAlignment="1" applyProtection="1">
      <alignment horizontal="center" vertical="center"/>
      <protection locked="0"/>
    </xf>
    <xf numFmtId="1" fontId="46" fillId="8" borderId="20" xfId="7" applyNumberFormat="1" applyFont="1" applyFill="1" applyBorder="1" applyAlignment="1" applyProtection="1">
      <alignment horizontal="center" vertical="center"/>
      <protection locked="0"/>
    </xf>
    <xf numFmtId="186" fontId="47" fillId="8" borderId="60" xfId="7" applyNumberFormat="1" applyFont="1" applyFill="1" applyBorder="1" applyAlignment="1" applyProtection="1">
      <alignment horizontal="center" vertical="center"/>
      <protection locked="0"/>
    </xf>
    <xf numFmtId="185" fontId="47" fillId="8" borderId="66" xfId="7" applyNumberFormat="1" applyFont="1" applyFill="1" applyBorder="1" applyAlignment="1" applyProtection="1">
      <alignment horizontal="center" vertical="center"/>
      <protection locked="0"/>
    </xf>
    <xf numFmtId="185" fontId="47" fillId="8" borderId="99" xfId="7" applyNumberFormat="1" applyFont="1" applyFill="1" applyBorder="1" applyAlignment="1" applyProtection="1">
      <alignment horizontal="center" vertical="center"/>
      <protection locked="0"/>
    </xf>
    <xf numFmtId="185" fontId="47" fillId="8" borderId="104" xfId="7" applyNumberFormat="1" applyFont="1" applyFill="1" applyBorder="1" applyAlignment="1" applyProtection="1">
      <alignment horizontal="center" vertical="center"/>
      <protection locked="0"/>
    </xf>
    <xf numFmtId="177" fontId="44" fillId="9" borderId="60" xfId="7" applyNumberFormat="1" applyFont="1" applyFill="1" applyBorder="1" applyAlignment="1" applyProtection="1">
      <alignment horizontal="center" vertical="center"/>
      <protection locked="0"/>
    </xf>
    <xf numFmtId="177" fontId="44" fillId="9" borderId="61" xfId="7" applyNumberFormat="1" applyFont="1" applyFill="1" applyBorder="1" applyAlignment="1" applyProtection="1">
      <alignment horizontal="center" vertical="center"/>
      <protection locked="0"/>
    </xf>
    <xf numFmtId="177" fontId="44" fillId="9" borderId="63" xfId="7" applyNumberFormat="1" applyFont="1" applyFill="1" applyBorder="1" applyAlignment="1" applyProtection="1">
      <alignment horizontal="center" vertical="center"/>
      <protection locked="0"/>
    </xf>
    <xf numFmtId="177" fontId="44" fillId="9" borderId="64" xfId="7" applyNumberFormat="1" applyFont="1" applyFill="1" applyBorder="1" applyAlignment="1" applyProtection="1">
      <alignment horizontal="center" vertical="center"/>
      <protection locked="0"/>
    </xf>
    <xf numFmtId="177" fontId="44" fillId="9" borderId="62" xfId="7" applyNumberFormat="1" applyFont="1" applyFill="1" applyBorder="1" applyAlignment="1" applyProtection="1">
      <alignment horizontal="center" vertical="center"/>
      <protection locked="0"/>
    </xf>
    <xf numFmtId="183" fontId="21" fillId="8" borderId="61" xfId="7" applyNumberFormat="1" applyFont="1" applyFill="1" applyBorder="1" applyAlignment="1" applyProtection="1">
      <alignment horizontal="right" vertical="center"/>
    </xf>
    <xf numFmtId="183" fontId="21" fillId="8" borderId="62" xfId="7" applyNumberFormat="1" applyFont="1" applyFill="1" applyBorder="1" applyAlignment="1" applyProtection="1">
      <alignment horizontal="right" vertical="center"/>
    </xf>
    <xf numFmtId="177" fontId="44" fillId="9" borderId="66" xfId="7" applyNumberFormat="1" applyFont="1" applyFill="1" applyBorder="1" applyAlignment="1" applyProtection="1">
      <alignment horizontal="center" vertical="center"/>
      <protection locked="0"/>
    </xf>
    <xf numFmtId="177" fontId="44" fillId="9" borderId="99" xfId="7" applyNumberFormat="1" applyFont="1" applyFill="1" applyBorder="1" applyAlignment="1" applyProtection="1">
      <alignment horizontal="center" vertical="center"/>
      <protection locked="0"/>
    </xf>
    <xf numFmtId="177" fontId="44" fillId="9" borderId="104" xfId="7" applyNumberFormat="1" applyFont="1" applyFill="1" applyBorder="1" applyAlignment="1" applyProtection="1">
      <alignment horizontal="center" vertical="center"/>
      <protection locked="0"/>
    </xf>
    <xf numFmtId="183" fontId="21" fillId="8" borderId="60" xfId="7" applyNumberFormat="1" applyFont="1" applyFill="1" applyBorder="1" applyAlignment="1" applyProtection="1">
      <alignment horizontal="left" vertical="center" indent="1"/>
    </xf>
    <xf numFmtId="183" fontId="21" fillId="8" borderId="61" xfId="7" applyNumberFormat="1" applyFont="1" applyFill="1" applyBorder="1" applyAlignment="1" applyProtection="1">
      <alignment horizontal="left" vertical="center" indent="1"/>
    </xf>
    <xf numFmtId="182" fontId="47" fillId="8" borderId="60" xfId="7" applyNumberFormat="1" applyFont="1" applyFill="1" applyBorder="1" applyAlignment="1" applyProtection="1">
      <alignment horizontal="center" vertical="center"/>
      <protection locked="0"/>
    </xf>
    <xf numFmtId="182" fontId="47" fillId="8" borderId="61" xfId="7" applyNumberFormat="1" applyFont="1" applyFill="1" applyBorder="1" applyAlignment="1" applyProtection="1">
      <alignment horizontal="center" vertical="center"/>
      <protection locked="0"/>
    </xf>
    <xf numFmtId="182" fontId="47" fillId="8" borderId="66" xfId="7" applyNumberFormat="1" applyFont="1" applyFill="1" applyBorder="1" applyAlignment="1" applyProtection="1">
      <alignment horizontal="center" vertical="center"/>
      <protection locked="0"/>
    </xf>
    <xf numFmtId="182" fontId="47" fillId="8" borderId="64" xfId="7" applyNumberFormat="1" applyFont="1" applyFill="1" applyBorder="1" applyAlignment="1" applyProtection="1">
      <alignment horizontal="center" vertical="center"/>
      <protection locked="0"/>
    </xf>
    <xf numFmtId="182" fontId="47" fillId="8" borderId="99" xfId="7" applyNumberFormat="1" applyFont="1" applyFill="1" applyBorder="1" applyAlignment="1" applyProtection="1">
      <alignment horizontal="center" vertical="center"/>
      <protection locked="0"/>
    </xf>
    <xf numFmtId="182" fontId="47" fillId="8" borderId="63" xfId="7" applyNumberFormat="1" applyFont="1" applyFill="1" applyBorder="1" applyAlignment="1" applyProtection="1">
      <alignment horizontal="center" vertical="center"/>
      <protection locked="0"/>
    </xf>
    <xf numFmtId="187" fontId="47" fillId="8" borderId="99" xfId="7" applyNumberFormat="1" applyFont="1" applyFill="1" applyBorder="1" applyAlignment="1" applyProtection="1">
      <alignment horizontal="center" vertical="center"/>
      <protection locked="0"/>
    </xf>
    <xf numFmtId="187" fontId="47" fillId="8" borderId="66" xfId="7" applyNumberFormat="1" applyFont="1" applyFill="1" applyBorder="1" applyAlignment="1" applyProtection="1">
      <alignment horizontal="center" vertical="center"/>
      <protection locked="0"/>
    </xf>
    <xf numFmtId="187" fontId="47" fillId="8" borderId="64" xfId="7" applyNumberFormat="1" applyFont="1" applyFill="1" applyBorder="1" applyAlignment="1" applyProtection="1">
      <alignment horizontal="center" vertical="center"/>
      <protection locked="0"/>
    </xf>
    <xf numFmtId="187" fontId="47" fillId="8" borderId="61" xfId="7" applyNumberFormat="1" applyFont="1" applyFill="1" applyBorder="1" applyAlignment="1" applyProtection="1">
      <alignment horizontal="center" vertical="center"/>
      <protection locked="0"/>
    </xf>
    <xf numFmtId="0" fontId="21" fillId="8" borderId="60" xfId="7" applyNumberFormat="1" applyFont="1" applyFill="1" applyBorder="1" applyAlignment="1" applyProtection="1">
      <alignment horizontal="left" vertical="center"/>
    </xf>
    <xf numFmtId="0" fontId="21" fillId="8" borderId="61" xfId="7" applyNumberFormat="1" applyFont="1" applyFill="1" applyBorder="1" applyAlignment="1" applyProtection="1">
      <alignment horizontal="left" vertical="center"/>
    </xf>
    <xf numFmtId="177" fontId="44" fillId="0" borderId="60" xfId="7" applyNumberFormat="1" applyFont="1" applyFill="1" applyBorder="1" applyAlignment="1" applyProtection="1">
      <alignment horizontal="center" vertical="center"/>
      <protection locked="0"/>
    </xf>
    <xf numFmtId="177" fontId="44" fillId="0" borderId="61" xfId="7" applyNumberFormat="1" applyFont="1" applyFill="1" applyBorder="1" applyAlignment="1" applyProtection="1">
      <alignment horizontal="center" vertical="center"/>
      <protection locked="0"/>
    </xf>
    <xf numFmtId="177" fontId="44" fillId="0" borderId="95" xfId="7" applyNumberFormat="1" applyFont="1" applyFill="1" applyBorder="1" applyAlignment="1" applyProtection="1">
      <alignment horizontal="center" vertical="center"/>
      <protection locked="0"/>
    </xf>
    <xf numFmtId="177" fontId="44" fillId="0" borderId="97" xfId="7" applyNumberFormat="1" applyFont="1" applyFill="1" applyBorder="1" applyAlignment="1" applyProtection="1">
      <alignment horizontal="center" vertical="center"/>
      <protection locked="0"/>
    </xf>
    <xf numFmtId="177" fontId="44" fillId="0" borderId="105" xfId="7" applyNumberFormat="1" applyFont="1" applyFill="1" applyBorder="1" applyAlignment="1" applyProtection="1">
      <alignment horizontal="center" vertical="center"/>
      <protection locked="0"/>
    </xf>
    <xf numFmtId="177" fontId="44" fillId="0" borderId="106" xfId="7" applyNumberFormat="1" applyFont="1" applyFill="1" applyBorder="1" applyAlignment="1" applyProtection="1">
      <alignment horizontal="center" vertical="center"/>
      <protection locked="0"/>
    </xf>
    <xf numFmtId="177" fontId="44" fillId="0" borderId="98" xfId="7" applyNumberFormat="1" applyFont="1" applyFill="1" applyBorder="1" applyAlignment="1" applyProtection="1">
      <alignment horizontal="center" vertical="center"/>
      <protection locked="0"/>
    </xf>
    <xf numFmtId="177" fontId="44" fillId="0" borderId="63" xfId="7" applyNumberFormat="1" applyFont="1" applyFill="1" applyBorder="1" applyAlignment="1" applyProtection="1">
      <alignment horizontal="center" vertical="center"/>
      <protection locked="0"/>
    </xf>
    <xf numFmtId="177" fontId="44" fillId="9" borderId="60" xfId="7" applyNumberFormat="1" applyFont="1" applyFill="1" applyBorder="1" applyAlignment="1" applyProtection="1">
      <alignment horizontal="center" vertical="center" shrinkToFit="1"/>
      <protection locked="0"/>
    </xf>
    <xf numFmtId="177" fontId="44" fillId="9" borderId="61" xfId="7" applyNumberFormat="1" applyFont="1" applyFill="1" applyBorder="1" applyAlignment="1" applyProtection="1">
      <alignment horizontal="center" vertical="center" shrinkToFit="1"/>
      <protection locked="0"/>
    </xf>
    <xf numFmtId="177" fontId="44" fillId="9" borderId="64" xfId="7" applyNumberFormat="1" applyFont="1" applyFill="1" applyBorder="1" applyAlignment="1" applyProtection="1">
      <alignment horizontal="center" vertical="center" shrinkToFit="1"/>
      <protection locked="0"/>
    </xf>
    <xf numFmtId="178" fontId="47" fillId="8" borderId="60" xfId="7" applyNumberFormat="1" applyFont="1" applyFill="1" applyBorder="1" applyAlignment="1" applyProtection="1">
      <alignment horizontal="center" vertical="center"/>
      <protection locked="0"/>
    </xf>
    <xf numFmtId="178" fontId="47" fillId="8" borderId="61" xfId="7" applyNumberFormat="1" applyFont="1" applyFill="1" applyBorder="1" applyAlignment="1" applyProtection="1">
      <alignment horizontal="center" vertical="center"/>
      <protection locked="0"/>
    </xf>
    <xf numFmtId="178" fontId="47" fillId="8" borderId="66" xfId="7" applyNumberFormat="1" applyFont="1" applyFill="1" applyBorder="1" applyAlignment="1" applyProtection="1">
      <alignment horizontal="center" vertical="center"/>
      <protection locked="0"/>
    </xf>
    <xf numFmtId="178" fontId="47" fillId="8" borderId="64" xfId="7" applyNumberFormat="1" applyFont="1" applyFill="1" applyBorder="1" applyAlignment="1" applyProtection="1">
      <alignment horizontal="center" vertical="center"/>
      <protection locked="0"/>
    </xf>
    <xf numFmtId="178" fontId="47" fillId="8" borderId="99" xfId="7" applyNumberFormat="1" applyFont="1" applyFill="1" applyBorder="1" applyAlignment="1" applyProtection="1">
      <alignment horizontal="center" vertical="center"/>
      <protection locked="0"/>
    </xf>
    <xf numFmtId="178" fontId="44" fillId="9" borderId="60" xfId="7" applyNumberFormat="1" applyFont="1" applyFill="1" applyBorder="1" applyAlignment="1" applyProtection="1">
      <alignment horizontal="center" vertical="center"/>
      <protection locked="0"/>
    </xf>
    <xf numFmtId="178" fontId="44" fillId="9" borderId="61" xfId="7" applyNumberFormat="1" applyFont="1" applyFill="1" applyBorder="1" applyAlignment="1" applyProtection="1">
      <alignment horizontal="center" vertical="center"/>
      <protection locked="0"/>
    </xf>
    <xf numFmtId="178" fontId="44" fillId="9" borderId="64" xfId="7" applyNumberFormat="1" applyFont="1" applyFill="1" applyBorder="1" applyAlignment="1" applyProtection="1">
      <alignment horizontal="center" vertical="center"/>
      <protection locked="0"/>
    </xf>
    <xf numFmtId="1" fontId="44" fillId="9" borderId="60" xfId="7" applyNumberFormat="1" applyFont="1" applyFill="1" applyBorder="1" applyAlignment="1" applyProtection="1">
      <alignment horizontal="center" vertical="center"/>
      <protection locked="0"/>
    </xf>
    <xf numFmtId="1" fontId="44" fillId="9" borderId="61" xfId="7" applyNumberFormat="1" applyFont="1" applyFill="1" applyBorder="1" applyAlignment="1" applyProtection="1">
      <alignment horizontal="center" vertical="center"/>
      <protection locked="0"/>
    </xf>
    <xf numFmtId="1" fontId="44" fillId="9" borderId="96" xfId="7" applyNumberFormat="1" applyFont="1" applyFill="1" applyBorder="1" applyAlignment="1" applyProtection="1">
      <alignment horizontal="center" vertical="center"/>
      <protection locked="0"/>
    </xf>
    <xf numFmtId="1" fontId="44" fillId="9" borderId="93" xfId="7" applyNumberFormat="1" applyFont="1" applyFill="1" applyBorder="1" applyAlignment="1" applyProtection="1">
      <alignment horizontal="center" vertical="center"/>
      <protection locked="0"/>
    </xf>
    <xf numFmtId="1" fontId="44" fillId="9" borderId="64" xfId="7" applyNumberFormat="1" applyFont="1" applyFill="1" applyBorder="1" applyAlignment="1" applyProtection="1">
      <alignment horizontal="center" vertical="center"/>
      <protection locked="0"/>
    </xf>
    <xf numFmtId="237" fontId="21" fillId="8" borderId="67" xfId="7" applyNumberFormat="1" applyFont="1" applyFill="1" applyBorder="1" applyAlignment="1" applyProtection="1">
      <alignment horizontal="left" vertical="center"/>
    </xf>
    <xf numFmtId="237" fontId="21" fillId="8" borderId="65" xfId="7" applyNumberFormat="1" applyFont="1" applyFill="1" applyBorder="1" applyAlignment="1" applyProtection="1">
      <alignment horizontal="left" vertical="center"/>
    </xf>
    <xf numFmtId="183" fontId="20" fillId="8" borderId="65" xfId="7" applyNumberFormat="1" applyFont="1" applyFill="1" applyBorder="1" applyAlignment="1" applyProtection="1">
      <alignment horizontal="right" vertical="center"/>
    </xf>
    <xf numFmtId="183" fontId="20" fillId="8" borderId="90" xfId="7" applyNumberFormat="1" applyFont="1" applyFill="1" applyBorder="1" applyAlignment="1" applyProtection="1">
      <alignment horizontal="right" vertical="center"/>
    </xf>
    <xf numFmtId="178" fontId="44" fillId="9" borderId="67" xfId="7" applyNumberFormat="1" applyFont="1" applyFill="1" applyBorder="1" applyAlignment="1" applyProtection="1">
      <alignment horizontal="center" vertical="center"/>
      <protection locked="0"/>
    </xf>
    <xf numFmtId="178" fontId="44" fillId="9" borderId="65" xfId="7" applyNumberFormat="1" applyFont="1" applyFill="1" applyBorder="1" applyAlignment="1" applyProtection="1">
      <alignment horizontal="center" vertical="center"/>
      <protection locked="0"/>
    </xf>
    <xf numFmtId="178" fontId="44" fillId="9" borderId="97" xfId="7" applyNumberFormat="1" applyFont="1" applyFill="1" applyBorder="1" applyAlignment="1" applyProtection="1">
      <alignment horizontal="center" vertical="center"/>
      <protection locked="0"/>
    </xf>
    <xf numFmtId="178" fontId="44" fillId="9" borderId="68" xfId="7" applyNumberFormat="1" applyFont="1" applyFill="1" applyBorder="1" applyAlignment="1" applyProtection="1">
      <alignment horizontal="center" vertical="center"/>
      <protection locked="0"/>
    </xf>
    <xf numFmtId="238" fontId="44" fillId="9" borderId="60" xfId="7" applyNumberFormat="1" applyFont="1" applyFill="1" applyBorder="1" applyAlignment="1" applyProtection="1">
      <alignment horizontal="center" vertical="center"/>
      <protection locked="0"/>
    </xf>
    <xf numFmtId="238" fontId="44" fillId="9" borderId="61" xfId="7" applyNumberFormat="1" applyFont="1" applyFill="1" applyBorder="1" applyAlignment="1" applyProtection="1">
      <alignment horizontal="center" vertical="center"/>
      <protection locked="0"/>
    </xf>
    <xf numFmtId="238" fontId="44" fillId="9" borderId="96" xfId="7" applyNumberFormat="1" applyFont="1" applyFill="1" applyBorder="1" applyAlignment="1" applyProtection="1">
      <alignment horizontal="center" vertical="center"/>
      <protection locked="0"/>
    </xf>
    <xf numFmtId="238" fontId="44" fillId="9" borderId="93" xfId="7" applyNumberFormat="1" applyFont="1" applyFill="1" applyBorder="1" applyAlignment="1" applyProtection="1">
      <alignment horizontal="center" vertical="center"/>
      <protection locked="0"/>
    </xf>
    <xf numFmtId="238" fontId="44" fillId="9" borderId="64" xfId="7" applyNumberFormat="1" applyFont="1" applyFill="1" applyBorder="1" applyAlignment="1" applyProtection="1">
      <alignment horizontal="center" vertical="center"/>
      <protection locked="0"/>
    </xf>
    <xf numFmtId="177" fontId="44" fillId="9" borderId="97" xfId="7" applyNumberFormat="1" applyFont="1" applyFill="1" applyBorder="1" applyAlignment="1" applyProtection="1">
      <alignment horizontal="center" vertical="center"/>
      <protection locked="0"/>
    </xf>
    <xf numFmtId="177" fontId="44" fillId="9" borderId="68" xfId="7" applyNumberFormat="1" applyFont="1" applyFill="1" applyBorder="1" applyAlignment="1" applyProtection="1">
      <alignment horizontal="center" vertical="center"/>
      <protection locked="0"/>
    </xf>
    <xf numFmtId="237" fontId="21" fillId="8" borderId="56" xfId="7" applyNumberFormat="1" applyFont="1" applyFill="1" applyBorder="1" applyAlignment="1" applyProtection="1">
      <alignment horizontal="left" vertical="center"/>
    </xf>
    <xf numFmtId="237" fontId="21" fillId="8" borderId="57" xfId="7" applyNumberFormat="1" applyFont="1" applyFill="1" applyBorder="1" applyAlignment="1" applyProtection="1">
      <alignment horizontal="left" vertical="center"/>
    </xf>
    <xf numFmtId="183" fontId="20" fillId="8" borderId="57" xfId="7" applyNumberFormat="1" applyFont="1" applyFill="1" applyBorder="1" applyAlignment="1" applyProtection="1">
      <alignment horizontal="right" vertical="center"/>
    </xf>
    <xf numFmtId="183" fontId="20" fillId="8" borderId="91" xfId="7" applyNumberFormat="1" applyFont="1" applyFill="1" applyBorder="1" applyAlignment="1" applyProtection="1">
      <alignment horizontal="right" vertical="center"/>
    </xf>
    <xf numFmtId="177" fontId="44" fillId="9" borderId="56" xfId="7" applyNumberFormat="1" applyFont="1" applyFill="1" applyBorder="1" applyAlignment="1" applyProtection="1">
      <alignment horizontal="center" vertical="center"/>
      <protection locked="0"/>
    </xf>
    <xf numFmtId="177" fontId="44" fillId="9" borderId="57" xfId="7" applyNumberFormat="1" applyFont="1" applyFill="1" applyBorder="1" applyAlignment="1" applyProtection="1">
      <alignment horizontal="center" vertical="center"/>
      <protection locked="0"/>
    </xf>
    <xf numFmtId="177" fontId="44" fillId="9" borderId="58" xfId="7" applyNumberFormat="1" applyFont="1" applyFill="1" applyBorder="1" applyAlignment="1" applyProtection="1">
      <alignment horizontal="center" vertical="center"/>
      <protection locked="0"/>
    </xf>
    <xf numFmtId="177" fontId="44" fillId="9" borderId="69" xfId="7" applyNumberFormat="1" applyFont="1" applyFill="1" applyBorder="1" applyAlignment="1" applyProtection="1">
      <alignment horizontal="center" vertical="center"/>
      <protection locked="0"/>
    </xf>
    <xf numFmtId="2" fontId="44" fillId="9" borderId="64" xfId="7" applyNumberFormat="1" applyFont="1" applyFill="1" applyBorder="1" applyAlignment="1" applyProtection="1">
      <alignment horizontal="center" vertical="center"/>
      <protection locked="0"/>
    </xf>
    <xf numFmtId="2" fontId="44" fillId="9" borderId="61" xfId="7" applyNumberFormat="1" applyFont="1" applyFill="1" applyBorder="1" applyAlignment="1" applyProtection="1">
      <alignment horizontal="center" vertical="center"/>
      <protection locked="0"/>
    </xf>
    <xf numFmtId="2" fontId="44" fillId="9" borderId="62" xfId="7" applyNumberFormat="1" applyFont="1" applyFill="1" applyBorder="1" applyAlignment="1" applyProtection="1">
      <alignment horizontal="center" vertical="center"/>
      <protection locked="0"/>
    </xf>
    <xf numFmtId="177" fontId="44" fillId="9" borderId="92" xfId="7" applyNumberFormat="1" applyFont="1" applyFill="1" applyBorder="1" applyAlignment="1" applyProtection="1">
      <alignment horizontal="center" vertical="center"/>
      <protection locked="0"/>
    </xf>
    <xf numFmtId="177" fontId="44" fillId="9" borderId="93" xfId="7" applyNumberFormat="1" applyFont="1" applyFill="1" applyBorder="1" applyAlignment="1" applyProtection="1">
      <alignment horizontal="center" vertical="center"/>
      <protection locked="0"/>
    </xf>
    <xf numFmtId="177" fontId="44" fillId="9" borderId="96" xfId="7" applyNumberFormat="1" applyFont="1" applyFill="1" applyBorder="1" applyAlignment="1" applyProtection="1">
      <alignment horizontal="center" vertical="center"/>
      <protection locked="0"/>
    </xf>
    <xf numFmtId="177" fontId="44" fillId="9" borderId="103" xfId="7" applyNumberFormat="1" applyFont="1" applyFill="1" applyBorder="1" applyAlignment="1" applyProtection="1">
      <alignment horizontal="center" vertical="center"/>
      <protection locked="0"/>
    </xf>
    <xf numFmtId="177" fontId="44" fillId="9" borderId="94" xfId="7" applyNumberFormat="1" applyFont="1" applyFill="1" applyBorder="1" applyAlignment="1" applyProtection="1">
      <alignment horizontal="center" vertical="center"/>
      <protection locked="0"/>
    </xf>
    <xf numFmtId="180" fontId="44" fillId="9" borderId="64" xfId="7" applyNumberFormat="1" applyFont="1" applyFill="1" applyBorder="1" applyAlignment="1" applyProtection="1">
      <alignment horizontal="left" vertical="center" indent="1"/>
      <protection locked="0"/>
    </xf>
    <xf numFmtId="180" fontId="44" fillId="9" borderId="61" xfId="7" applyNumberFormat="1" applyFont="1" applyFill="1" applyBorder="1" applyAlignment="1" applyProtection="1">
      <alignment horizontal="left" vertical="center" indent="1"/>
      <protection locked="0"/>
    </xf>
    <xf numFmtId="180" fontId="44" fillId="9" borderId="62" xfId="7" applyNumberFormat="1" applyFont="1" applyFill="1" applyBorder="1" applyAlignment="1" applyProtection="1">
      <alignment horizontal="left" vertical="center" indent="1"/>
      <protection locked="0"/>
    </xf>
    <xf numFmtId="1" fontId="90" fillId="0" borderId="61" xfId="7" applyNumberFormat="1" applyFont="1" applyFill="1" applyBorder="1" applyAlignment="1" applyProtection="1">
      <alignment horizontal="center" vertical="center"/>
      <protection locked="0"/>
    </xf>
    <xf numFmtId="1" fontId="90" fillId="0" borderId="63" xfId="7" applyNumberFormat="1" applyFont="1" applyFill="1" applyBorder="1" applyAlignment="1" applyProtection="1">
      <alignment horizontal="center" vertical="center"/>
      <protection locked="0"/>
    </xf>
    <xf numFmtId="1" fontId="90" fillId="0" borderId="64" xfId="7" applyNumberFormat="1" applyFont="1" applyFill="1" applyBorder="1" applyAlignment="1" applyProtection="1">
      <alignment horizontal="center" vertical="center"/>
      <protection locked="0"/>
    </xf>
    <xf numFmtId="183" fontId="20" fillId="8" borderId="0" xfId="7" applyNumberFormat="1" applyFont="1" applyFill="1" applyBorder="1" applyAlignment="1">
      <alignment horizontal="center" vertical="center"/>
    </xf>
    <xf numFmtId="184" fontId="7" fillId="0" borderId="0" xfId="8" applyNumberFormat="1" applyFont="1" applyBorder="1" applyAlignment="1">
      <alignment horizontal="center" textRotation="90" wrapText="1"/>
    </xf>
    <xf numFmtId="183" fontId="20" fillId="9" borderId="89" xfId="7" applyNumberFormat="1" applyFont="1" applyFill="1" applyBorder="1" applyAlignment="1">
      <alignment horizontal="center" vertical="center"/>
    </xf>
    <xf numFmtId="183" fontId="20" fillId="9" borderId="19" xfId="7" applyNumberFormat="1" applyFont="1" applyFill="1" applyBorder="1" applyAlignment="1">
      <alignment horizontal="center" vertical="center"/>
    </xf>
    <xf numFmtId="183" fontId="20" fillId="9" borderId="20" xfId="7" applyNumberFormat="1" applyFont="1" applyFill="1" applyBorder="1" applyAlignment="1">
      <alignment horizontal="center" vertical="center"/>
    </xf>
    <xf numFmtId="183" fontId="45" fillId="8" borderId="22" xfId="12" applyNumberFormat="1" applyFont="1" applyFill="1" applyBorder="1" applyAlignment="1" applyProtection="1">
      <alignment horizontal="center" vertical="center"/>
    </xf>
    <xf numFmtId="183" fontId="45" fillId="8" borderId="0" xfId="12" applyNumberFormat="1" applyFont="1" applyFill="1" applyBorder="1" applyAlignment="1" applyProtection="1">
      <alignment horizontal="center" vertical="center"/>
    </xf>
    <xf numFmtId="183" fontId="45" fillId="8" borderId="45" xfId="12" applyNumberFormat="1" applyFont="1" applyFill="1" applyBorder="1" applyAlignment="1" applyProtection="1">
      <alignment horizontal="center" vertical="center"/>
    </xf>
    <xf numFmtId="183" fontId="45" fillId="8" borderId="15" xfId="12" applyNumberFormat="1" applyFont="1" applyFill="1" applyBorder="1" applyAlignment="1" applyProtection="1">
      <alignment horizontal="center" vertical="center"/>
    </xf>
    <xf numFmtId="183" fontId="45" fillId="8" borderId="16" xfId="12" applyNumberFormat="1" applyFont="1" applyFill="1" applyBorder="1" applyAlignment="1" applyProtection="1">
      <alignment horizontal="center" vertical="center"/>
    </xf>
    <xf numFmtId="183" fontId="45" fillId="8" borderId="29" xfId="12" applyNumberFormat="1" applyFont="1" applyFill="1" applyBorder="1" applyAlignment="1" applyProtection="1">
      <alignment horizontal="center" vertical="center"/>
    </xf>
    <xf numFmtId="183" fontId="20" fillId="8" borderId="19" xfId="7" applyNumberFormat="1" applyFont="1" applyFill="1" applyBorder="1" applyAlignment="1">
      <alignment horizontal="center" vertical="center"/>
    </xf>
    <xf numFmtId="183" fontId="8" fillId="9" borderId="19" xfId="12" applyNumberFormat="1" applyFont="1" applyFill="1" applyBorder="1" applyAlignment="1">
      <alignment horizontal="center" vertical="center"/>
    </xf>
    <xf numFmtId="183" fontId="8" fillId="9" borderId="20" xfId="12" applyNumberFormat="1" applyFont="1" applyFill="1" applyBorder="1" applyAlignment="1">
      <alignment horizontal="center" vertical="center"/>
    </xf>
    <xf numFmtId="183" fontId="22" fillId="8" borderId="18" xfId="7" applyNumberFormat="1" applyFont="1" applyFill="1" applyBorder="1" applyAlignment="1" applyProtection="1">
      <alignment horizontal="center" vertical="center"/>
    </xf>
    <xf numFmtId="183" fontId="22" fillId="8" borderId="19" xfId="7" applyNumberFormat="1" applyFont="1" applyFill="1" applyBorder="1" applyAlignment="1" applyProtection="1">
      <alignment horizontal="center" vertical="center"/>
    </xf>
    <xf numFmtId="183" fontId="21" fillId="8" borderId="60" xfId="7" applyNumberFormat="1" applyFont="1" applyFill="1" applyBorder="1" applyAlignment="1" applyProtection="1">
      <alignment horizontal="left" vertical="center"/>
    </xf>
    <xf numFmtId="183" fontId="21" fillId="8" borderId="61" xfId="7" applyNumberFormat="1" applyFont="1" applyFill="1" applyBorder="1" applyAlignment="1" applyProtection="1">
      <alignment horizontal="left" vertical="center"/>
    </xf>
    <xf numFmtId="1" fontId="90" fillId="0" borderId="92" xfId="7" applyNumberFormat="1" applyFont="1" applyFill="1" applyBorder="1" applyAlignment="1" applyProtection="1">
      <alignment horizontal="center" vertical="center"/>
      <protection locked="0"/>
    </xf>
    <xf numFmtId="1" fontId="90" fillId="0" borderId="93" xfId="7" applyNumberFormat="1" applyFont="1" applyFill="1" applyBorder="1" applyAlignment="1" applyProtection="1">
      <alignment horizontal="center" vertical="center"/>
      <protection locked="0"/>
    </xf>
    <xf numFmtId="1" fontId="90" fillId="0" borderId="103" xfId="7" applyNumberFormat="1" applyFont="1" applyFill="1" applyBorder="1" applyAlignment="1" applyProtection="1">
      <alignment horizontal="center" vertical="center"/>
      <protection locked="0"/>
    </xf>
    <xf numFmtId="1" fontId="90" fillId="0" borderId="94" xfId="7" applyNumberFormat="1" applyFont="1" applyFill="1" applyBorder="1" applyAlignment="1" applyProtection="1">
      <alignment horizontal="center" vertical="center"/>
      <protection locked="0"/>
    </xf>
    <xf numFmtId="1" fontId="90" fillId="0" borderId="60" xfId="7" applyNumberFormat="1" applyFont="1" applyFill="1" applyBorder="1" applyAlignment="1" applyProtection="1">
      <alignment horizontal="center" vertical="center"/>
      <protection locked="0"/>
    </xf>
    <xf numFmtId="1" fontId="90" fillId="0" borderId="62" xfId="7" applyNumberFormat="1" applyFont="1" applyFill="1" applyBorder="1" applyAlignment="1" applyProtection="1">
      <alignment horizontal="center" vertical="center"/>
      <protection locked="0"/>
    </xf>
    <xf numFmtId="0" fontId="7" fillId="0" borderId="0" xfId="13" applyFont="1" applyBorder="1" applyAlignment="1">
      <alignment horizontal="center"/>
    </xf>
    <xf numFmtId="188" fontId="7" fillId="0" borderId="0" xfId="14" applyNumberFormat="1" applyFont="1" applyBorder="1" applyAlignment="1" applyProtection="1">
      <alignment horizontal="center"/>
    </xf>
    <xf numFmtId="183" fontId="1" fillId="0" borderId="0" xfId="7" applyNumberFormat="1" applyFill="1" applyBorder="1" applyAlignment="1">
      <alignment horizontal="center"/>
    </xf>
    <xf numFmtId="183" fontId="1" fillId="0" borderId="0" xfId="7" applyNumberFormat="1" applyFill="1" applyAlignment="1">
      <alignment horizontal="left"/>
    </xf>
    <xf numFmtId="182" fontId="1" fillId="0" borderId="0" xfId="7" applyNumberFormat="1" applyFill="1" applyAlignment="1">
      <alignment horizontal="left"/>
    </xf>
    <xf numFmtId="189" fontId="7" fillId="0" borderId="0" xfId="14" applyNumberFormat="1" applyFont="1" applyBorder="1" applyAlignment="1" applyProtection="1">
      <alignment horizontal="center"/>
    </xf>
    <xf numFmtId="0" fontId="7" fillId="0" borderId="0" xfId="16" applyFont="1" applyBorder="1" applyAlignment="1">
      <alignment horizontal="center"/>
    </xf>
    <xf numFmtId="239" fontId="47" fillId="8" borderId="60" xfId="7" applyNumberFormat="1" applyFont="1" applyFill="1" applyBorder="1" applyAlignment="1" applyProtection="1">
      <alignment horizontal="center" vertical="center"/>
      <protection locked="0"/>
    </xf>
    <xf numFmtId="239" fontId="47" fillId="8" borderId="61" xfId="7" applyNumberFormat="1" applyFont="1" applyFill="1" applyBorder="1" applyAlignment="1" applyProtection="1">
      <alignment horizontal="center" vertical="center"/>
      <protection locked="0"/>
    </xf>
    <xf numFmtId="185" fontId="47" fillId="8" borderId="102" xfId="7" applyNumberFormat="1" applyFont="1" applyFill="1" applyBorder="1" applyAlignment="1" applyProtection="1">
      <alignment horizontal="center" vertical="center"/>
      <protection locked="0"/>
    </xf>
    <xf numFmtId="185" fontId="47" fillId="8" borderId="100" xfId="7" applyNumberFormat="1" applyFont="1" applyFill="1" applyBorder="1" applyAlignment="1" applyProtection="1">
      <alignment horizontal="center" vertical="center"/>
      <protection locked="0"/>
    </xf>
    <xf numFmtId="185" fontId="47" fillId="8" borderId="107" xfId="7" applyNumberFormat="1" applyFont="1" applyFill="1" applyBorder="1" applyAlignment="1" applyProtection="1">
      <alignment horizontal="center" vertical="center"/>
      <protection locked="0"/>
    </xf>
    <xf numFmtId="177" fontId="20" fillId="0" borderId="98" xfId="7" applyNumberFormat="1" applyFont="1" applyFill="1" applyBorder="1" applyAlignment="1" applyProtection="1">
      <alignment horizontal="center" vertical="center"/>
      <protection locked="0"/>
    </xf>
    <xf numFmtId="177" fontId="20" fillId="0" borderId="95" xfId="7" applyNumberFormat="1" applyFont="1" applyFill="1" applyBorder="1" applyAlignment="1" applyProtection="1">
      <alignment horizontal="center" vertical="center"/>
      <protection locked="0"/>
    </xf>
    <xf numFmtId="177" fontId="20" fillId="0" borderId="61" xfId="7" applyNumberFormat="1" applyFont="1" applyFill="1" applyBorder="1" applyAlignment="1" applyProtection="1">
      <alignment horizontal="center" vertical="center"/>
      <protection locked="0"/>
    </xf>
    <xf numFmtId="177" fontId="20" fillId="0" borderId="63" xfId="7" applyNumberFormat="1" applyFont="1" applyFill="1" applyBorder="1" applyAlignment="1" applyProtection="1">
      <alignment horizontal="center" vertical="center"/>
      <protection locked="0"/>
    </xf>
    <xf numFmtId="177" fontId="20" fillId="0" borderId="60" xfId="7" applyNumberFormat="1" applyFont="1" applyFill="1" applyBorder="1" applyAlignment="1" applyProtection="1">
      <alignment horizontal="center" vertical="center"/>
      <protection locked="0"/>
    </xf>
    <xf numFmtId="177" fontId="20" fillId="0" borderId="97" xfId="7" applyNumberFormat="1" applyFont="1" applyFill="1" applyBorder="1" applyAlignment="1" applyProtection="1">
      <alignment horizontal="center" vertical="center"/>
      <protection locked="0"/>
    </xf>
    <xf numFmtId="177" fontId="20" fillId="0" borderId="105" xfId="7" applyNumberFormat="1" applyFont="1" applyFill="1" applyBorder="1" applyAlignment="1" applyProtection="1">
      <alignment horizontal="center" vertical="center"/>
      <protection locked="0"/>
    </xf>
    <xf numFmtId="177" fontId="20" fillId="0" borderId="106" xfId="7" applyNumberFormat="1" applyFont="1" applyFill="1" applyBorder="1" applyAlignment="1" applyProtection="1">
      <alignment horizontal="center" vertical="center"/>
      <protection locked="0"/>
    </xf>
    <xf numFmtId="2" fontId="44" fillId="9" borderId="56" xfId="7" applyNumberFormat="1" applyFont="1" applyFill="1" applyBorder="1" applyAlignment="1" applyProtection="1">
      <alignment horizontal="center" vertical="center"/>
      <protection locked="0"/>
    </xf>
    <xf numFmtId="2" fontId="44" fillId="9" borderId="57" xfId="7" applyNumberFormat="1" applyFont="1" applyFill="1" applyBorder="1" applyAlignment="1" applyProtection="1">
      <alignment horizontal="center" vertical="center"/>
      <protection locked="0"/>
    </xf>
    <xf numFmtId="2" fontId="44" fillId="9" borderId="58" xfId="7" applyNumberFormat="1" applyFont="1" applyFill="1" applyBorder="1" applyAlignment="1" applyProtection="1">
      <alignment horizontal="center" vertical="center"/>
      <protection locked="0"/>
    </xf>
    <xf numFmtId="0" fontId="0" fillId="0" borderId="6" xfId="0" applyFill="1" applyBorder="1" applyAlignment="1">
      <alignment horizontal="center"/>
    </xf>
    <xf numFmtId="0" fontId="28" fillId="0" borderId="0" xfId="0" applyFont="1" applyAlignment="1">
      <alignment horizontal="center" vertical="center"/>
    </xf>
    <xf numFmtId="0" fontId="28" fillId="0" borderId="0" xfId="0" applyFont="1" applyBorder="1" applyAlignment="1">
      <alignment horizontal="center" vertical="center"/>
    </xf>
    <xf numFmtId="0" fontId="28" fillId="0" borderId="0" xfId="0" applyFont="1" applyAlignment="1">
      <alignment horizontal="center"/>
    </xf>
    <xf numFmtId="0" fontId="28" fillId="0" borderId="24" xfId="0" applyFont="1" applyBorder="1" applyAlignment="1">
      <alignment horizontal="center"/>
    </xf>
  </cellXfs>
  <cellStyles count="52808">
    <cellStyle name="_x0002_ " xfId="19"/>
    <cellStyle name="_x0002_  2" xfId="20"/>
    <cellStyle name="_x000c_b" xfId="21"/>
    <cellStyle name="_x000c_b 2" xfId="22"/>
    <cellStyle name="#??`" xfId="23"/>
    <cellStyle name="#??` 2" xfId="24"/>
    <cellStyle name="(표준)" xfId="25"/>
    <cellStyle name="?" xfId="26"/>
    <cellStyle name="? 2" xfId="27"/>
    <cellStyle name="? 2 2" xfId="28"/>
    <cellStyle name="? 2 3" xfId="29"/>
    <cellStyle name="? 3" xfId="30"/>
    <cellStyle name="??" xfId="31"/>
    <cellStyle name="?? [0]" xfId="32"/>
    <cellStyle name="??&amp;O?&amp;H?_x0008__x000f__x0007_?_x0007__x0001__x0001_" xfId="33"/>
    <cellStyle name="??&amp;O?&amp;H?_x0008__x000f__x0007_?_x0007__x0001__x0001_ 2" xfId="34"/>
    <cellStyle name="??&amp;O?&amp;H?_x0008_??_x0007__x0001__x0001_" xfId="35"/>
    <cellStyle name="??&amp;O?&amp;H?_x0008_??_x0007__x0001__x0001_ 2" xfId="36"/>
    <cellStyle name="???_??" xfId="37"/>
    <cellStyle name="??_?.????" xfId="38"/>
    <cellStyle name="_2-4.상반기실적부문별요약" xfId="39"/>
    <cellStyle name="_2-4.상반기실적부문별요약 2" xfId="40"/>
    <cellStyle name="_2-4.상반기실적부문별요약(표지및목차포함)" xfId="41"/>
    <cellStyle name="_2-4.상반기실적부문별요약(표지및목차포함) 2" xfId="42"/>
    <cellStyle name="_2-4.상반기실적부문별요약(표지및목차포함)_1" xfId="43"/>
    <cellStyle name="_2-4.상반기실적부문별요약(표지및목차포함)_1 2" xfId="44"/>
    <cellStyle name="_2-4.상반기실적부문별요약_1" xfId="45"/>
    <cellStyle name="_2-4.상반기실적부문별요약_1 2" xfId="46"/>
    <cellStyle name="_'99상반기경영개선활동결과(게시용)" xfId="47"/>
    <cellStyle name="_'99상반기경영개선활동결과(게시용) 2" xfId="48"/>
    <cellStyle name="_Extruder_price &amp; comm" xfId="49"/>
    <cellStyle name="_Extruder_price &amp; comm 2" xfId="50"/>
    <cellStyle name="_경영개선활동상반기실적(990708)" xfId="51"/>
    <cellStyle name="_경영개선활동상반기실적(990708) 2" xfId="52"/>
    <cellStyle name="_경영개선활동상반기실적(990708)_1" xfId="53"/>
    <cellStyle name="_경영개선활동상반기실적(990708)_1 2" xfId="54"/>
    <cellStyle name="_경영개선활동상반기실적(990708)_2" xfId="55"/>
    <cellStyle name="_경영개선활동상반기실적(990708)_2 2" xfId="56"/>
    <cellStyle name="_경영개선활성화방안(990802)" xfId="57"/>
    <cellStyle name="_경영개선활성화방안(990802) 2" xfId="58"/>
    <cellStyle name="_경영개선활성화방안(990802)_1" xfId="59"/>
    <cellStyle name="_경영개선활성화방안(990802)_1 2" xfId="60"/>
    <cellStyle name="_대한유화" xfId="61"/>
    <cellStyle name="_대한유화_1" xfId="62"/>
    <cellStyle name="_대한유화_2" xfId="63"/>
    <cellStyle name="_대한유화_3" xfId="64"/>
    <cellStyle name="_대한유화_4" xfId="65"/>
    <cellStyle name="_대한유화_4 2" xfId="66"/>
    <cellStyle name="_대한유화_5" xfId="67"/>
    <cellStyle name="_대한유화_6" xfId="68"/>
    <cellStyle name="_대한유화_7" xfId="69"/>
    <cellStyle name="_대한유화_8" xfId="70"/>
    <cellStyle name="_대한유화PG가" xfId="71"/>
    <cellStyle name="_대한유화PG가 2" xfId="72"/>
    <cellStyle name="_대한유화PG가_1" xfId="73"/>
    <cellStyle name="_대한유화PG가_2" xfId="74"/>
    <cellStyle name="_대한유화PG가_3" xfId="75"/>
    <cellStyle name="_대한유화PG가_4" xfId="76"/>
    <cellStyle name="_대한유화PG가_5" xfId="77"/>
    <cellStyle name="_대한유화PG가_6" xfId="78"/>
    <cellStyle name="_대한유화PG가_7" xfId="79"/>
    <cellStyle name="_대한유화PG가_8" xfId="80"/>
    <cellStyle name="_별첨(계획서및실적서양식)" xfId="81"/>
    <cellStyle name="_별첨(계획서및실적서양식) 2" xfId="82"/>
    <cellStyle name="_별첨(계획서및실적서양식)_1" xfId="83"/>
    <cellStyle name="_별첨(계획서및실적서양식)_1 2" xfId="84"/>
    <cellStyle name="_양식" xfId="85"/>
    <cellStyle name="_양식 2" xfId="86"/>
    <cellStyle name="_양식_1" xfId="87"/>
    <cellStyle name="_양식_1 2" xfId="88"/>
    <cellStyle name="_양식_2" xfId="89"/>
    <cellStyle name="_양식_2 2" xfId="90"/>
    <cellStyle name="_유첨3(서식)" xfId="91"/>
    <cellStyle name="_유첨3(서식) 2" xfId="92"/>
    <cellStyle name="_유첨3(서식)_1" xfId="93"/>
    <cellStyle name="_유첨3(서식)_1 2" xfId="94"/>
    <cellStyle name="_지정과제1분기실적(확정990408)" xfId="95"/>
    <cellStyle name="_지정과제1분기실적(확정990408) 2" xfId="96"/>
    <cellStyle name="_지정과제1분기실적(확정990408)_1" xfId="97"/>
    <cellStyle name="_지정과제1분기실적(확정990408)_1 2" xfId="98"/>
    <cellStyle name="_지정과제2차심의list" xfId="99"/>
    <cellStyle name="_지정과제2차심의list 2" xfId="100"/>
    <cellStyle name="_지정과제2차심의list_1" xfId="101"/>
    <cellStyle name="_지정과제2차심의list_1 2" xfId="102"/>
    <cellStyle name="_지정과제2차심의list_2" xfId="103"/>
    <cellStyle name="_지정과제2차심의list_2 2" xfId="104"/>
    <cellStyle name="_지정과제2차심의결과" xfId="105"/>
    <cellStyle name="_지정과제2차심의결과 2" xfId="106"/>
    <cellStyle name="_지정과제2차심의결과(금액조정후최종)" xfId="107"/>
    <cellStyle name="_지정과제2차심의결과(금액조정후최종) 2" xfId="108"/>
    <cellStyle name="_지정과제2차심의결과(금액조정후최종)_1" xfId="109"/>
    <cellStyle name="_지정과제2차심의결과(금액조정후최종)_1 2" xfId="110"/>
    <cellStyle name="_지정과제2차심의결과(금액조정후최종)_1_경영개선실적보고(전주공장)" xfId="111"/>
    <cellStyle name="_지정과제2차심의결과(금액조정후최종)_1_경영개선실적보고(전주공장) 2" xfId="112"/>
    <cellStyle name="_지정과제2차심의결과(금액조정후최종)_1_별첨1_2" xfId="113"/>
    <cellStyle name="_지정과제2차심의결과(금액조정후최종)_1_별첨1_2 2" xfId="114"/>
    <cellStyle name="_지정과제2차심의결과(금액조정후최종)_1_제안과제집계표(공장전체)" xfId="115"/>
    <cellStyle name="_지정과제2차심의결과(금액조정후최종)_1_제안과제집계표(공장전체) 2" xfId="116"/>
    <cellStyle name="_지정과제2차심의결과(금액조정후최종)_경영개선실적보고(전주공장)" xfId="117"/>
    <cellStyle name="_지정과제2차심의결과(금액조정후최종)_경영개선실적보고(전주공장) 2" xfId="118"/>
    <cellStyle name="_지정과제2차심의결과(금액조정후최종)_별첨1_2" xfId="119"/>
    <cellStyle name="_지정과제2차심의결과(금액조정후최종)_별첨1_2 2" xfId="120"/>
    <cellStyle name="_지정과제2차심의결과(금액조정후최종)_제안과제집계표(공장전체)" xfId="121"/>
    <cellStyle name="_지정과제2차심의결과(금액조정후최종)_제안과제집계표(공장전체) 2" xfId="122"/>
    <cellStyle name="_지정과제2차심의결과_1" xfId="123"/>
    <cellStyle name="_지정과제2차심의결과_1 2" xfId="124"/>
    <cellStyle name="_집중관리(981231)" xfId="125"/>
    <cellStyle name="_집중관리(981231) 2" xfId="126"/>
    <cellStyle name="_집중관리(981231)_1" xfId="127"/>
    <cellStyle name="_집중관리(981231)_1 2" xfId="128"/>
    <cellStyle name="_집중관리(지정과제및 양식)" xfId="129"/>
    <cellStyle name="_집중관리(지정과제및 양식) 2" xfId="130"/>
    <cellStyle name="_집중관리(지정과제및 양식)_1" xfId="131"/>
    <cellStyle name="_집중관리(지정과제및 양식)_1 2" xfId="132"/>
    <cellStyle name="0,0_x000d__x000a_NA_x000d__x000a_" xfId="133"/>
    <cellStyle name="0,0_x000d__x000a_NA_x000d__x000a_ 2" xfId="134"/>
    <cellStyle name="20% - Accent1" xfId="135"/>
    <cellStyle name="20% - Accent1 2" xfId="136"/>
    <cellStyle name="20% - Accent1 2 2" xfId="137"/>
    <cellStyle name="20% - Accent1 3" xfId="138"/>
    <cellStyle name="20% - Accent2" xfId="139"/>
    <cellStyle name="20% - Accent2 2" xfId="140"/>
    <cellStyle name="20% - Accent2 2 2" xfId="141"/>
    <cellStyle name="20% - Accent2 3" xfId="142"/>
    <cellStyle name="20% - Accent3" xfId="143"/>
    <cellStyle name="20% - Accent3 2" xfId="144"/>
    <cellStyle name="20% - Accent3 2 2" xfId="145"/>
    <cellStyle name="20% - Accent3 3" xfId="146"/>
    <cellStyle name="20% - Accent4" xfId="147"/>
    <cellStyle name="20% - Accent4 2" xfId="148"/>
    <cellStyle name="20% - Accent4 2 2" xfId="149"/>
    <cellStyle name="20% - Accent4 3" xfId="150"/>
    <cellStyle name="20% - Accent5" xfId="151"/>
    <cellStyle name="20% - Accent5 2" xfId="152"/>
    <cellStyle name="20% - Accent5 2 2" xfId="153"/>
    <cellStyle name="20% - Accent5 3" xfId="154"/>
    <cellStyle name="20% - Accent6" xfId="155"/>
    <cellStyle name="20% - Accent6 2" xfId="156"/>
    <cellStyle name="20% - Accent6 2 2" xfId="157"/>
    <cellStyle name="20% - Accent6 3" xfId="158"/>
    <cellStyle name="20% - 강조색1 2" xfId="159"/>
    <cellStyle name="20% - 강조색1 2 2" xfId="160"/>
    <cellStyle name="20% - 강조색1 2 2 2" xfId="161"/>
    <cellStyle name="20% - 강조색1 2 2 3" xfId="162"/>
    <cellStyle name="20% - 강조색1 2 2 4" xfId="163"/>
    <cellStyle name="20% - 강조색1 2 2 5" xfId="164"/>
    <cellStyle name="20% - 강조색1 2 2 6" xfId="165"/>
    <cellStyle name="20% - 강조색1 2 3" xfId="166"/>
    <cellStyle name="20% - 강조색1 2 4" xfId="167"/>
    <cellStyle name="20% - 강조색1 2 5" xfId="168"/>
    <cellStyle name="20% - 강조색1 2 6" xfId="169"/>
    <cellStyle name="20% - 강조색1 3" xfId="170"/>
    <cellStyle name="20% - 강조색1 4" xfId="171"/>
    <cellStyle name="20% - 강조색1 5" xfId="172"/>
    <cellStyle name="20% - 강조색1 6" xfId="173"/>
    <cellStyle name="20% - 강조색2 2" xfId="174"/>
    <cellStyle name="20% - 강조색2 2 2" xfId="175"/>
    <cellStyle name="20% - 강조색2 2 2 2" xfId="176"/>
    <cellStyle name="20% - 강조색2 2 2 3" xfId="177"/>
    <cellStyle name="20% - 강조색2 2 2 4" xfId="178"/>
    <cellStyle name="20% - 강조색2 2 2 5" xfId="179"/>
    <cellStyle name="20% - 강조색2 2 2 6" xfId="180"/>
    <cellStyle name="20% - 강조색2 2 3" xfId="181"/>
    <cellStyle name="20% - 강조색2 2 4" xfId="182"/>
    <cellStyle name="20% - 강조색2 2 5" xfId="183"/>
    <cellStyle name="20% - 강조색2 2 6" xfId="184"/>
    <cellStyle name="20% - 강조색2 3" xfId="185"/>
    <cellStyle name="20% - 강조색2 4" xfId="186"/>
    <cellStyle name="20% - 강조색2 5" xfId="187"/>
    <cellStyle name="20% - 강조색2 6" xfId="188"/>
    <cellStyle name="20% - 강조색3 2" xfId="189"/>
    <cellStyle name="20% - 강조색3 2 2" xfId="190"/>
    <cellStyle name="20% - 강조색3 2 2 2" xfId="191"/>
    <cellStyle name="20% - 강조색3 2 2 3" xfId="192"/>
    <cellStyle name="20% - 강조색3 2 2 4" xfId="193"/>
    <cellStyle name="20% - 강조색3 2 2 5" xfId="194"/>
    <cellStyle name="20% - 강조색3 2 2 6" xfId="195"/>
    <cellStyle name="20% - 강조색3 2 3" xfId="196"/>
    <cellStyle name="20% - 강조색3 2 4" xfId="197"/>
    <cellStyle name="20% - 강조색3 2 5" xfId="198"/>
    <cellStyle name="20% - 강조색3 2 6" xfId="199"/>
    <cellStyle name="20% - 강조색3 3" xfId="200"/>
    <cellStyle name="20% - 강조색3 4" xfId="201"/>
    <cellStyle name="20% - 강조색3 5" xfId="202"/>
    <cellStyle name="20% - 강조색3 6" xfId="203"/>
    <cellStyle name="20% - 강조색4 2" xfId="204"/>
    <cellStyle name="20% - 강조색4 2 2" xfId="205"/>
    <cellStyle name="20% - 강조색4 2 2 2" xfId="206"/>
    <cellStyle name="20% - 강조색4 2 2 3" xfId="207"/>
    <cellStyle name="20% - 강조색4 2 2 4" xfId="208"/>
    <cellStyle name="20% - 강조색4 2 2 5" xfId="209"/>
    <cellStyle name="20% - 강조색4 2 2 6" xfId="210"/>
    <cellStyle name="20% - 강조색4 2 3" xfId="211"/>
    <cellStyle name="20% - 강조색4 2 4" xfId="212"/>
    <cellStyle name="20% - 강조색4 2 5" xfId="213"/>
    <cellStyle name="20% - 강조색4 2 6" xfId="214"/>
    <cellStyle name="20% - 강조색4 3" xfId="215"/>
    <cellStyle name="20% - 강조색4 4" xfId="216"/>
    <cellStyle name="20% - 강조색4 5" xfId="217"/>
    <cellStyle name="20% - 강조색4 6" xfId="218"/>
    <cellStyle name="20% - 강조색5 2" xfId="219"/>
    <cellStyle name="20% - 강조색5 2 2" xfId="220"/>
    <cellStyle name="20% - 강조색5 2 2 2" xfId="221"/>
    <cellStyle name="20% - 강조색5 2 2 3" xfId="222"/>
    <cellStyle name="20% - 강조색5 2 2 4" xfId="223"/>
    <cellStyle name="20% - 강조색5 2 2 5" xfId="224"/>
    <cellStyle name="20% - 강조색5 2 2 6" xfId="225"/>
    <cellStyle name="20% - 강조색5 2 3" xfId="226"/>
    <cellStyle name="20% - 강조색5 2 4" xfId="227"/>
    <cellStyle name="20% - 강조색5 2 5" xfId="228"/>
    <cellStyle name="20% - 강조색5 2 6" xfId="229"/>
    <cellStyle name="20% - 강조색5 3" xfId="230"/>
    <cellStyle name="20% - 강조색5 4" xfId="231"/>
    <cellStyle name="20% - 강조색5 5" xfId="232"/>
    <cellStyle name="20% - 강조색5 6" xfId="233"/>
    <cellStyle name="20% - 강조색6 2" xfId="234"/>
    <cellStyle name="20% - 강조색6 2 2" xfId="235"/>
    <cellStyle name="20% - 강조색6 2 2 2" xfId="236"/>
    <cellStyle name="20% - 강조색6 2 2 3" xfId="237"/>
    <cellStyle name="20% - 강조색6 2 2 4" xfId="238"/>
    <cellStyle name="20% - 강조색6 2 2 5" xfId="239"/>
    <cellStyle name="20% - 강조색6 2 2 6" xfId="240"/>
    <cellStyle name="20% - 강조색6 2 3" xfId="241"/>
    <cellStyle name="20% - 강조색6 2 4" xfId="242"/>
    <cellStyle name="20% - 강조색6 2 5" xfId="243"/>
    <cellStyle name="20% - 강조색6 2 6" xfId="244"/>
    <cellStyle name="20% - 강조색6 3" xfId="245"/>
    <cellStyle name="20% - 강조색6 4" xfId="246"/>
    <cellStyle name="20% - 강조색6 5" xfId="247"/>
    <cellStyle name="20% - 강조색6 6" xfId="248"/>
    <cellStyle name="40% - Accent1" xfId="249"/>
    <cellStyle name="40% - Accent1 2" xfId="250"/>
    <cellStyle name="40% - Accent1 2 2" xfId="251"/>
    <cellStyle name="40% - Accent1 3" xfId="252"/>
    <cellStyle name="40% - Accent2" xfId="253"/>
    <cellStyle name="40% - Accent2 2" xfId="254"/>
    <cellStyle name="40% - Accent2 2 2" xfId="255"/>
    <cellStyle name="40% - Accent2 3" xfId="256"/>
    <cellStyle name="40% - Accent3" xfId="257"/>
    <cellStyle name="40% - Accent3 2" xfId="258"/>
    <cellStyle name="40% - Accent3 2 2" xfId="259"/>
    <cellStyle name="40% - Accent3 3" xfId="260"/>
    <cellStyle name="40% - Accent4" xfId="261"/>
    <cellStyle name="40% - Accent4 2" xfId="262"/>
    <cellStyle name="40% - Accent4 2 2" xfId="263"/>
    <cellStyle name="40% - Accent4 3" xfId="264"/>
    <cellStyle name="40% - Accent5" xfId="265"/>
    <cellStyle name="40% - Accent5 2" xfId="266"/>
    <cellStyle name="40% - Accent5 2 2" xfId="267"/>
    <cellStyle name="40% - Accent5 3" xfId="268"/>
    <cellStyle name="40% - Accent6" xfId="269"/>
    <cellStyle name="40% - Accent6 2" xfId="270"/>
    <cellStyle name="40% - Accent6 2 2" xfId="271"/>
    <cellStyle name="40% - Accent6 3" xfId="272"/>
    <cellStyle name="40% - 강조색1 2" xfId="273"/>
    <cellStyle name="40% - 강조색1 2 2" xfId="274"/>
    <cellStyle name="40% - 강조색1 2 2 2" xfId="275"/>
    <cellStyle name="40% - 강조색1 2 2 3" xfId="276"/>
    <cellStyle name="40% - 강조색1 2 2 4" xfId="277"/>
    <cellStyle name="40% - 강조색1 2 2 5" xfId="278"/>
    <cellStyle name="40% - 강조색1 2 2 6" xfId="279"/>
    <cellStyle name="40% - 강조색1 2 3" xfId="280"/>
    <cellStyle name="40% - 강조색1 2 4" xfId="281"/>
    <cellStyle name="40% - 강조색1 2 5" xfId="282"/>
    <cellStyle name="40% - 강조색1 2 6" xfId="283"/>
    <cellStyle name="40% - 강조색1 3" xfId="284"/>
    <cellStyle name="40% - 강조색1 4" xfId="285"/>
    <cellStyle name="40% - 강조색1 5" xfId="286"/>
    <cellStyle name="40% - 강조색1 6" xfId="287"/>
    <cellStyle name="40% - 강조색2 2" xfId="288"/>
    <cellStyle name="40% - 강조색2 2 2" xfId="289"/>
    <cellStyle name="40% - 강조색2 2 2 2" xfId="290"/>
    <cellStyle name="40% - 강조색2 2 2 3" xfId="291"/>
    <cellStyle name="40% - 강조색2 2 2 4" xfId="292"/>
    <cellStyle name="40% - 강조색2 2 2 5" xfId="293"/>
    <cellStyle name="40% - 강조색2 2 2 6" xfId="294"/>
    <cellStyle name="40% - 강조색2 2 3" xfId="295"/>
    <cellStyle name="40% - 강조색2 2 4" xfId="296"/>
    <cellStyle name="40% - 강조색2 2 5" xfId="297"/>
    <cellStyle name="40% - 강조색2 2 6" xfId="298"/>
    <cellStyle name="40% - 강조색2 3" xfId="299"/>
    <cellStyle name="40% - 강조색2 4" xfId="300"/>
    <cellStyle name="40% - 강조색2 5" xfId="301"/>
    <cellStyle name="40% - 강조색2 6" xfId="302"/>
    <cellStyle name="40% - 강조색3 2" xfId="303"/>
    <cellStyle name="40% - 강조색3 2 2" xfId="304"/>
    <cellStyle name="40% - 강조색3 2 2 2" xfId="305"/>
    <cellStyle name="40% - 강조색3 2 2 3" xfId="306"/>
    <cellStyle name="40% - 강조색3 2 2 4" xfId="307"/>
    <cellStyle name="40% - 강조색3 2 2 5" xfId="308"/>
    <cellStyle name="40% - 강조색3 2 2 6" xfId="309"/>
    <cellStyle name="40% - 강조색3 2 3" xfId="310"/>
    <cellStyle name="40% - 강조색3 2 4" xfId="311"/>
    <cellStyle name="40% - 강조색3 2 5" xfId="312"/>
    <cellStyle name="40% - 강조색3 2 6" xfId="313"/>
    <cellStyle name="40% - 강조색3 3" xfId="314"/>
    <cellStyle name="40% - 강조색3 4" xfId="315"/>
    <cellStyle name="40% - 강조색3 5" xfId="316"/>
    <cellStyle name="40% - 강조색3 6" xfId="317"/>
    <cellStyle name="40% - 강조색4 2" xfId="318"/>
    <cellStyle name="40% - 강조색4 2 2" xfId="319"/>
    <cellStyle name="40% - 강조색4 2 2 2" xfId="320"/>
    <cellStyle name="40% - 강조색4 2 2 3" xfId="321"/>
    <cellStyle name="40% - 강조색4 2 2 4" xfId="322"/>
    <cellStyle name="40% - 강조색4 2 2 5" xfId="323"/>
    <cellStyle name="40% - 강조색4 2 2 6" xfId="324"/>
    <cellStyle name="40% - 강조색4 2 3" xfId="325"/>
    <cellStyle name="40% - 강조색4 2 4" xfId="326"/>
    <cellStyle name="40% - 강조색4 2 5" xfId="327"/>
    <cellStyle name="40% - 강조색4 2 6" xfId="328"/>
    <cellStyle name="40% - 강조색4 3" xfId="329"/>
    <cellStyle name="40% - 강조색4 4" xfId="330"/>
    <cellStyle name="40% - 강조색4 5" xfId="331"/>
    <cellStyle name="40% - 강조색4 6" xfId="332"/>
    <cellStyle name="40% - 강조색5 2" xfId="333"/>
    <cellStyle name="40% - 강조색5 2 2" xfId="334"/>
    <cellStyle name="40% - 강조색5 2 2 2" xfId="335"/>
    <cellStyle name="40% - 강조색5 2 2 3" xfId="336"/>
    <cellStyle name="40% - 강조색5 2 2 4" xfId="337"/>
    <cellStyle name="40% - 강조색5 2 2 5" xfId="338"/>
    <cellStyle name="40% - 강조색5 2 2 6" xfId="339"/>
    <cellStyle name="40% - 강조색5 2 3" xfId="340"/>
    <cellStyle name="40% - 강조색5 2 4" xfId="341"/>
    <cellStyle name="40% - 강조색5 2 5" xfId="342"/>
    <cellStyle name="40% - 강조색5 2 6" xfId="343"/>
    <cellStyle name="40% - 강조색5 3" xfId="344"/>
    <cellStyle name="40% - 강조색5 4" xfId="345"/>
    <cellStyle name="40% - 강조색5 5" xfId="346"/>
    <cellStyle name="40% - 강조색5 6" xfId="347"/>
    <cellStyle name="40% - 강조색6 2" xfId="348"/>
    <cellStyle name="40% - 강조색6 2 2" xfId="349"/>
    <cellStyle name="40% - 강조색6 2 2 2" xfId="350"/>
    <cellStyle name="40% - 강조색6 2 2 3" xfId="351"/>
    <cellStyle name="40% - 강조색6 2 2 4" xfId="352"/>
    <cellStyle name="40% - 강조색6 2 2 5" xfId="353"/>
    <cellStyle name="40% - 강조색6 2 2 6" xfId="354"/>
    <cellStyle name="40% - 강조색6 2 3" xfId="355"/>
    <cellStyle name="40% - 강조색6 2 4" xfId="356"/>
    <cellStyle name="40% - 강조색6 2 5" xfId="357"/>
    <cellStyle name="40% - 강조색6 2 6" xfId="358"/>
    <cellStyle name="40% - 강조색6 3" xfId="359"/>
    <cellStyle name="40% - 강조색6 4" xfId="360"/>
    <cellStyle name="40% - 강조색6 5" xfId="361"/>
    <cellStyle name="40% - 강조색6 6" xfId="362"/>
    <cellStyle name="60% - Accent1" xfId="363"/>
    <cellStyle name="60% - Accent1 2" xfId="364"/>
    <cellStyle name="60% - Accent2" xfId="365"/>
    <cellStyle name="60% - Accent2 2" xfId="366"/>
    <cellStyle name="60% - Accent3" xfId="367"/>
    <cellStyle name="60% - Accent3 2" xfId="368"/>
    <cellStyle name="60% - Accent4" xfId="369"/>
    <cellStyle name="60% - Accent4 2" xfId="370"/>
    <cellStyle name="60% - Accent5" xfId="371"/>
    <cellStyle name="60% - Accent5 2" xfId="372"/>
    <cellStyle name="60% - Accent6" xfId="373"/>
    <cellStyle name="60% - Accent6 2" xfId="374"/>
    <cellStyle name="60% - 강조색1 2" xfId="375"/>
    <cellStyle name="60% - 강조색1 2 2" xfId="376"/>
    <cellStyle name="60% - 강조색1 2 2 2" xfId="377"/>
    <cellStyle name="60% - 강조색1 2 2 3" xfId="378"/>
    <cellStyle name="60% - 강조색1 2 2 4" xfId="379"/>
    <cellStyle name="60% - 강조색1 2 2 5" xfId="380"/>
    <cellStyle name="60% - 강조색1 2 2 6" xfId="381"/>
    <cellStyle name="60% - 강조색1 2 3" xfId="382"/>
    <cellStyle name="60% - 강조색1 2 4" xfId="383"/>
    <cellStyle name="60% - 강조색1 2 5" xfId="384"/>
    <cellStyle name="60% - 강조색1 3" xfId="385"/>
    <cellStyle name="60% - 강조색1 4" xfId="386"/>
    <cellStyle name="60% - 강조색1 5" xfId="387"/>
    <cellStyle name="60% - 강조색1 6" xfId="388"/>
    <cellStyle name="60% - 강조색2 2" xfId="389"/>
    <cellStyle name="60% - 강조색2 2 2" xfId="390"/>
    <cellStyle name="60% - 강조색2 2 2 2" xfId="391"/>
    <cellStyle name="60% - 강조색2 2 2 3" xfId="392"/>
    <cellStyle name="60% - 강조색2 2 2 4" xfId="393"/>
    <cellStyle name="60% - 강조색2 2 2 5" xfId="394"/>
    <cellStyle name="60% - 강조색2 2 2 6" xfId="395"/>
    <cellStyle name="60% - 강조색2 2 3" xfId="396"/>
    <cellStyle name="60% - 강조색2 2 4" xfId="397"/>
    <cellStyle name="60% - 강조색2 2 5" xfId="398"/>
    <cellStyle name="60% - 강조색2 3" xfId="399"/>
    <cellStyle name="60% - 강조색2 4" xfId="400"/>
    <cellStyle name="60% - 강조색2 5" xfId="401"/>
    <cellStyle name="60% - 강조색2 6" xfId="402"/>
    <cellStyle name="60% - 강조색3 2" xfId="403"/>
    <cellStyle name="60% - 강조색3 2 2" xfId="404"/>
    <cellStyle name="60% - 강조색3 2 2 2" xfId="405"/>
    <cellStyle name="60% - 강조색3 2 2 3" xfId="406"/>
    <cellStyle name="60% - 강조색3 2 2 4" xfId="407"/>
    <cellStyle name="60% - 강조색3 2 2 5" xfId="408"/>
    <cellStyle name="60% - 강조색3 2 2 6" xfId="409"/>
    <cellStyle name="60% - 강조색3 2 3" xfId="410"/>
    <cellStyle name="60% - 강조색3 2 4" xfId="411"/>
    <cellStyle name="60% - 강조색3 2 5" xfId="412"/>
    <cellStyle name="60% - 강조색3 3" xfId="413"/>
    <cellStyle name="60% - 강조색3 4" xfId="414"/>
    <cellStyle name="60% - 강조색3 5" xfId="415"/>
    <cellStyle name="60% - 강조색3 6" xfId="416"/>
    <cellStyle name="60% - 강조색4 2" xfId="417"/>
    <cellStyle name="60% - 강조색4 2 2" xfId="418"/>
    <cellStyle name="60% - 강조색4 2 2 2" xfId="419"/>
    <cellStyle name="60% - 강조색4 2 2 3" xfId="420"/>
    <cellStyle name="60% - 강조색4 2 2 4" xfId="421"/>
    <cellStyle name="60% - 강조색4 2 2 5" xfId="422"/>
    <cellStyle name="60% - 강조색4 2 2 6" xfId="423"/>
    <cellStyle name="60% - 강조색4 2 3" xfId="424"/>
    <cellStyle name="60% - 강조색4 2 4" xfId="425"/>
    <cellStyle name="60% - 강조색4 2 5" xfId="426"/>
    <cellStyle name="60% - 강조색4 3" xfId="427"/>
    <cellStyle name="60% - 강조색4 4" xfId="428"/>
    <cellStyle name="60% - 강조색4 5" xfId="429"/>
    <cellStyle name="60% - 강조색4 6" xfId="430"/>
    <cellStyle name="60% - 강조색5 2" xfId="431"/>
    <cellStyle name="60% - 강조색5 2 2" xfId="432"/>
    <cellStyle name="60% - 강조색5 2 2 2" xfId="433"/>
    <cellStyle name="60% - 강조색5 2 2 3" xfId="434"/>
    <cellStyle name="60% - 강조색5 2 2 4" xfId="435"/>
    <cellStyle name="60% - 강조색5 2 2 5" xfId="436"/>
    <cellStyle name="60% - 강조색5 2 2 6" xfId="437"/>
    <cellStyle name="60% - 강조색5 2 3" xfId="438"/>
    <cellStyle name="60% - 강조색5 2 4" xfId="439"/>
    <cellStyle name="60% - 강조색5 2 5" xfId="440"/>
    <cellStyle name="60% - 강조색5 3" xfId="441"/>
    <cellStyle name="60% - 강조색5 4" xfId="442"/>
    <cellStyle name="60% - 강조색5 5" xfId="443"/>
    <cellStyle name="60% - 강조색5 6" xfId="444"/>
    <cellStyle name="60% - 강조색6 2" xfId="445"/>
    <cellStyle name="60% - 강조색6 2 2" xfId="446"/>
    <cellStyle name="60% - 강조색6 2 2 2" xfId="447"/>
    <cellStyle name="60% - 강조색6 2 2 3" xfId="448"/>
    <cellStyle name="60% - 강조색6 2 2 4" xfId="449"/>
    <cellStyle name="60% - 강조색6 2 2 5" xfId="450"/>
    <cellStyle name="60% - 강조색6 2 2 6" xfId="451"/>
    <cellStyle name="60% - 강조색6 2 3" xfId="452"/>
    <cellStyle name="60% - 강조색6 2 4" xfId="453"/>
    <cellStyle name="60% - 강조색6 2 5" xfId="454"/>
    <cellStyle name="60% - 강조색6 3" xfId="455"/>
    <cellStyle name="60% - 강조색6 4" xfId="456"/>
    <cellStyle name="60% - 강조색6 5" xfId="457"/>
    <cellStyle name="60% - 강조색6 6" xfId="458"/>
    <cellStyle name="Ⅷ" xfId="459"/>
    <cellStyle name="A¨­￠￢￠O [0]_¨uoAa¨oCAu " xfId="460"/>
    <cellStyle name="A¨­￠￢￠O_¨uoAa¨oCAu " xfId="461"/>
    <cellStyle name="Accent1" xfId="462"/>
    <cellStyle name="Accent1 2" xfId="463"/>
    <cellStyle name="Accent2" xfId="464"/>
    <cellStyle name="Accent2 2" xfId="465"/>
    <cellStyle name="Accent3" xfId="466"/>
    <cellStyle name="Accent3 2" xfId="467"/>
    <cellStyle name="Accent4" xfId="468"/>
    <cellStyle name="Accent4 2" xfId="469"/>
    <cellStyle name="Accent5" xfId="470"/>
    <cellStyle name="Accent5 2" xfId="471"/>
    <cellStyle name="Accent6" xfId="472"/>
    <cellStyle name="Accent6 2" xfId="473"/>
    <cellStyle name="AeE­ [0]_¸AAa" xfId="474"/>
    <cellStyle name="ÅëÈ­ [0]_¿µ¾÷1ÆÀ " xfId="475"/>
    <cellStyle name="AeE­ [0]_¿a¾aC￥_PE원단위 Rev1 " xfId="476"/>
    <cellStyle name="ÅëÈ­ [0]_±¸¸Å¿¹»ó·® " xfId="477"/>
    <cellStyle name="AeE­ [0]_±¸¸A¿¹≫o·R " xfId="478"/>
    <cellStyle name="ÅëÈ­ [0]_A" xfId="1"/>
    <cellStyle name="AeE­ [0]_INQUIRY ¿μ¾÷AßAø " xfId="479"/>
    <cellStyle name="AeE­_¸AAa" xfId="480"/>
    <cellStyle name="ÅëÈ­_¿µ¾÷1ÆÀ " xfId="481"/>
    <cellStyle name="AeE­_±¸¸A¿¹≫o·R " xfId="482"/>
    <cellStyle name="ÅëÈ­_A" xfId="2"/>
    <cellStyle name="AeE­_INQUIRY ¿μ¾÷AßAø " xfId="483"/>
    <cellStyle name="AeE¡ⓒ [0]_¨uoAa¨oCAu " xfId="484"/>
    <cellStyle name="AeE¡ⓒ_¨uoAa¨oCAu " xfId="485"/>
    <cellStyle name="ariel 7" xfId="486"/>
    <cellStyle name="AÞ¸¶ [0]_¸AAa" xfId="487"/>
    <cellStyle name="ÄÞ¸¶ [0]_¿µ¾÷1ÆÀ " xfId="488"/>
    <cellStyle name="AÞ¸¶ [0]_±¸¸A¿¹≫o·R " xfId="489"/>
    <cellStyle name="ÄÞ¸¶ [0]_A" xfId="3"/>
    <cellStyle name="AÞ¸¶ [0]_INQUIRY ¿μ¾÷AßAø " xfId="490"/>
    <cellStyle name="AÞ¸¶_¸AAa" xfId="491"/>
    <cellStyle name="ÄÞ¸¶_¿µ¾÷1ÆÀ " xfId="492"/>
    <cellStyle name="AÞ¸¶_±¸¸A¿¹≫o·R " xfId="493"/>
    <cellStyle name="ÄÞ¸¶_A" xfId="4"/>
    <cellStyle name="AÞ¸¶_INQUIRY ¿μ¾÷AßAø " xfId="494"/>
    <cellStyle name="_x000f_b" xfId="495"/>
    <cellStyle name="_x0010_b" xfId="496"/>
    <cellStyle name="_x0011_b" xfId="497"/>
    <cellStyle name="_x0012_b" xfId="498"/>
    <cellStyle name="_x0013_b" xfId="499"/>
    <cellStyle name="_x000f_b 2" xfId="500"/>
    <cellStyle name="_x0010_b 2" xfId="501"/>
    <cellStyle name="_x0011_b 2" xfId="502"/>
    <cellStyle name="_x0012_b 2" xfId="503"/>
    <cellStyle name="_x0013_b 2" xfId="504"/>
    <cellStyle name="_x000f_b 3" xfId="505"/>
    <cellStyle name="_x0010_b 3" xfId="506"/>
    <cellStyle name="_x0011_b 3" xfId="507"/>
    <cellStyle name="_x0012_b 3" xfId="508"/>
    <cellStyle name="_x0013_b 3" xfId="509"/>
    <cellStyle name="_x000f_b 4" xfId="510"/>
    <cellStyle name="_x0010_b 4" xfId="511"/>
    <cellStyle name="_x0011_b 4" xfId="512"/>
    <cellStyle name="_x0012_b 4" xfId="513"/>
    <cellStyle name="_x0013_b 4" xfId="514"/>
    <cellStyle name="Bad" xfId="515"/>
    <cellStyle name="Bad 2" xfId="516"/>
    <cellStyle name="Bad 2 10" xfId="517"/>
    <cellStyle name="Bad 2 11" xfId="518"/>
    <cellStyle name="Bad 2 12" xfId="519"/>
    <cellStyle name="Bad 2 13" xfId="520"/>
    <cellStyle name="Bad 2 14" xfId="521"/>
    <cellStyle name="Bad 2 15" xfId="522"/>
    <cellStyle name="Bad 2 16" xfId="523"/>
    <cellStyle name="Bad 2 17" xfId="524"/>
    <cellStyle name="Bad 2 18" xfId="525"/>
    <cellStyle name="Bad 2 19" xfId="526"/>
    <cellStyle name="Bad 2 2" xfId="527"/>
    <cellStyle name="Bad 2 20" xfId="528"/>
    <cellStyle name="Bad 2 21" xfId="529"/>
    <cellStyle name="Bad 2 22" xfId="530"/>
    <cellStyle name="Bad 2 23" xfId="531"/>
    <cellStyle name="Bad 2 24" xfId="532"/>
    <cellStyle name="Bad 2 25" xfId="533"/>
    <cellStyle name="Bad 2 26" xfId="534"/>
    <cellStyle name="Bad 2 3" xfId="535"/>
    <cellStyle name="Bad 2 4" xfId="536"/>
    <cellStyle name="Bad 2 5" xfId="537"/>
    <cellStyle name="Bad 2 6" xfId="538"/>
    <cellStyle name="Bad 2 7" xfId="539"/>
    <cellStyle name="Bad 2 8" xfId="540"/>
    <cellStyle name="Bad 2 9" xfId="541"/>
    <cellStyle name="C¡IA¨ª_¡ic¨u¡A¨￢I¨￢¡Æ AN¡Æe " xfId="542"/>
    <cellStyle name="C￥AØ_(A¤º¸ºI¹R)¿uº°AI¿ø°eE¹" xfId="543"/>
    <cellStyle name="Ç¥ÁØ_¿µ¾÷1ÆÀ " xfId="544"/>
    <cellStyle name="C￥AØ_¿uº°A¸≫c½CAu_³≫ºI°eE¹´e AßA¤A÷AI " xfId="545"/>
    <cellStyle name="Ç¥ÁØ_»ç¾÷ºÎº° ÃÑ°è " xfId="546"/>
    <cellStyle name="C￥AØ_≫c¾÷ºIº° AN°e " xfId="547"/>
    <cellStyle name="Ç¥ÁØ_0N-HANDLING " xfId="548"/>
    <cellStyle name="C￥AØ_¼±AoAc°i_1_³≫ºI°eE¹´e AßA¤A÷AI " xfId="549"/>
    <cellStyle name="Ç¥ÁØ_5-1±¤°í " xfId="550"/>
    <cellStyle name="C￥AØ_5-1±¤°i  2" xfId="551"/>
    <cellStyle name="Ç¥ÁØ_5-1±¤°í  2" xfId="552"/>
    <cellStyle name="C￥AØ_5-1±¤°i  2 2" xfId="553"/>
    <cellStyle name="Ç¥ÁØ_5-1±¤°í  2 2" xfId="554"/>
    <cellStyle name="C￥AØ_5-1±¤°i  2 3" xfId="555"/>
    <cellStyle name="Ç¥ÁØ_5-1±¤°í  2 3" xfId="556"/>
    <cellStyle name="C￥AØ_5-1±¤°i  2 4" xfId="557"/>
    <cellStyle name="Ç¥ÁØ_5-1±¤°í  2 4" xfId="558"/>
    <cellStyle name="C￥AØ_5-1±¤°i  2 5" xfId="559"/>
    <cellStyle name="Ç¥ÁØ_5-1±¤°í  2 5" xfId="560"/>
    <cellStyle name="C￥AØ_5-1±¤°i  3" xfId="561"/>
    <cellStyle name="Ç¥ÁØ_5-1±¤°í  3" xfId="562"/>
    <cellStyle name="C￥AØ_5-1±¤°i  3 2" xfId="563"/>
    <cellStyle name="Ç¥ÁØ_5-1±¤°í  4" xfId="564"/>
    <cellStyle name="C￥AØ_5-1±¤°i  4 2" xfId="565"/>
    <cellStyle name="Ç¥ÁØ_5-1±¤°í  5" xfId="566"/>
    <cellStyle name="C￥AØ_5-1±¤°i _6RCB1 " xfId="567"/>
    <cellStyle name="Ç¥ÁØ_A" xfId="5"/>
    <cellStyle name="C￥AØ_Ay°eC￥(2¿u)  2" xfId="568"/>
    <cellStyle name="Ç¥ÁØ_Áý°èÇ¥(2¿ù)  2" xfId="569"/>
    <cellStyle name="C￥AØ_Ay°eC￥(2¿u)  2 2" xfId="570"/>
    <cellStyle name="Ç¥ÁØ_Áý°èÇ¥(2¿ù)  2 2" xfId="571"/>
    <cellStyle name="C￥AØ_Ay°eC￥(2¿u)  2 3" xfId="572"/>
    <cellStyle name="Ç¥ÁØ_Áý°èÇ¥(2¿ù)  2 3" xfId="573"/>
    <cellStyle name="C￥AØ_Ay°eC￥(2¿u)  2 4" xfId="574"/>
    <cellStyle name="Ç¥ÁØ_Áý°èÇ¥(2¿ù)  2 4" xfId="575"/>
    <cellStyle name="C￥AØ_Ay°eC￥(2¿u)  2 5" xfId="576"/>
    <cellStyle name="Ç¥ÁØ_Áý°èÇ¥(2¿ù)  2 5" xfId="577"/>
    <cellStyle name="C￥AØ_Ay°eC￥(2¿u)  3" xfId="578"/>
    <cellStyle name="Ç¥ÁØ_Áý°èÇ¥(2¿ù)  3" xfId="579"/>
    <cellStyle name="C￥AØ_Ay°eC￥(2¿u)  3 2" xfId="580"/>
    <cellStyle name="Ç¥ÁØ_Áý°èÇ¥(2¿ù)  4" xfId="581"/>
    <cellStyle name="C￥AØ_Ay°eC￥(2¿u)  4 2" xfId="582"/>
    <cellStyle name="Ç¥ÁØ_Áý°èÇ¥(2¿ù)  5" xfId="583"/>
    <cellStyle name="C￥AØ_CoAo¹yAI °A¾×¿ⓒ½A " xfId="584"/>
    <cellStyle name="Ç¥ÁØ_MAIN " xfId="585"/>
    <cellStyle name="C￥AØ_Sheet1_¿μ¾÷CoE² " xfId="586"/>
    <cellStyle name="Ç¥ÁØ_Sheet1_0N-HANDLING " xfId="587"/>
    <cellStyle name="C￥AØ_Sheet1_Ay°eC￥(2¿u) " xfId="588"/>
    <cellStyle name="Ç¥ÁØ_Sheet1_Áý°èÇ¥(2¿ù) " xfId="589"/>
    <cellStyle name="C￥AØ_Sheet1_Ay°eC￥(2¿u)  2" xfId="590"/>
    <cellStyle name="Ç¥ÁØ_Sheet1_Áý°èÇ¥(2¿ù)  2" xfId="591"/>
    <cellStyle name="C￥AØ_Sheet1_Ay°eC￥(2¿u)  3" xfId="592"/>
    <cellStyle name="Ç¥ÁØ_Sheet1_Áý°èÇ¥(2¿ù)  3" xfId="593"/>
    <cellStyle name="C￥AØ_Sheet1_Ay°eC￥(2¿u)  4" xfId="594"/>
    <cellStyle name="Ç¥ÁØ_Sheet1_Áý°èÇ¥(2¿ù)  4" xfId="595"/>
    <cellStyle name="Calculation" xfId="596"/>
    <cellStyle name="Calculation 10" xfId="597"/>
    <cellStyle name="Calculation 10 2" xfId="598"/>
    <cellStyle name="Calculation 11" xfId="599"/>
    <cellStyle name="Calculation 12" xfId="600"/>
    <cellStyle name="Calculation 13" xfId="601"/>
    <cellStyle name="Calculation 2" xfId="602"/>
    <cellStyle name="Calculation 2 10" xfId="603"/>
    <cellStyle name="Calculation 2 11" xfId="604"/>
    <cellStyle name="Calculation 2 12" xfId="605"/>
    <cellStyle name="Calculation 2 2" xfId="606"/>
    <cellStyle name="Calculation 2 2 10" xfId="607"/>
    <cellStyle name="Calculation 2 2 11" xfId="608"/>
    <cellStyle name="Calculation 2 2 12" xfId="609"/>
    <cellStyle name="Calculation 2 2 2" xfId="610"/>
    <cellStyle name="Calculation 2 2 2 10" xfId="611"/>
    <cellStyle name="Calculation 2 2 2 11" xfId="612"/>
    <cellStyle name="Calculation 2 2 2 12" xfId="613"/>
    <cellStyle name="Calculation 2 2 2 2" xfId="614"/>
    <cellStyle name="Calculation 2 2 2 2 10" xfId="615"/>
    <cellStyle name="Calculation 2 2 2 2 11" xfId="616"/>
    <cellStyle name="Calculation 2 2 2 2 2" xfId="617"/>
    <cellStyle name="Calculation 2 2 2 2 2 10" xfId="618"/>
    <cellStyle name="Calculation 2 2 2 2 2 2" xfId="619"/>
    <cellStyle name="Calculation 2 2 2 2 2 2 2" xfId="620"/>
    <cellStyle name="Calculation 2 2 2 2 2 2 2 2" xfId="621"/>
    <cellStyle name="Calculation 2 2 2 2 2 2 2 2 2" xfId="622"/>
    <cellStyle name="Calculation 2 2 2 2 2 2 2 2 2 2" xfId="623"/>
    <cellStyle name="Calculation 2 2 2 2 2 2 2 2 3" xfId="624"/>
    <cellStyle name="Calculation 2 2 2 2 2 2 2 2 3 2" xfId="625"/>
    <cellStyle name="Calculation 2 2 2 2 2 2 2 2 4" xfId="626"/>
    <cellStyle name="Calculation 2 2 2 2 2 2 2 2 5" xfId="627"/>
    <cellStyle name="Calculation 2 2 2 2 2 2 2 2 6" xfId="628"/>
    <cellStyle name="Calculation 2 2 2 2 2 2 2 3" xfId="629"/>
    <cellStyle name="Calculation 2 2 2 2 2 2 2 3 2" xfId="630"/>
    <cellStyle name="Calculation 2 2 2 2 2 2 2 4" xfId="631"/>
    <cellStyle name="Calculation 2 2 2 2 2 2 2 4 2" xfId="632"/>
    <cellStyle name="Calculation 2 2 2 2 2 2 2 5" xfId="633"/>
    <cellStyle name="Calculation 2 2 2 2 2 2 2 6" xfId="634"/>
    <cellStyle name="Calculation 2 2 2 2 2 2 2 7" xfId="635"/>
    <cellStyle name="Calculation 2 2 2 2 2 2 3" xfId="636"/>
    <cellStyle name="Calculation 2 2 2 2 2 2 3 2" xfId="637"/>
    <cellStyle name="Calculation 2 2 2 2 2 2 3 2 2" xfId="638"/>
    <cellStyle name="Calculation 2 2 2 2 2 2 3 3" xfId="639"/>
    <cellStyle name="Calculation 2 2 2 2 2 2 3 3 2" xfId="640"/>
    <cellStyle name="Calculation 2 2 2 2 2 2 3 4" xfId="641"/>
    <cellStyle name="Calculation 2 2 2 2 2 2 3 5" xfId="642"/>
    <cellStyle name="Calculation 2 2 2 2 2 2 3 6" xfId="643"/>
    <cellStyle name="Calculation 2 2 2 2 2 2 4" xfId="644"/>
    <cellStyle name="Calculation 2 2 2 2 2 2 4 2" xfId="645"/>
    <cellStyle name="Calculation 2 2 2 2 2 2 5" xfId="646"/>
    <cellStyle name="Calculation 2 2 2 2 2 2 5 2" xfId="647"/>
    <cellStyle name="Calculation 2 2 2 2 2 2 6" xfId="648"/>
    <cellStyle name="Calculation 2 2 2 2 2 2 7" xfId="649"/>
    <cellStyle name="Calculation 2 2 2 2 2 2 8" xfId="650"/>
    <cellStyle name="Calculation 2 2 2 2 2 3" xfId="651"/>
    <cellStyle name="Calculation 2 2 2 2 2 3 2" xfId="652"/>
    <cellStyle name="Calculation 2 2 2 2 2 3 2 2" xfId="653"/>
    <cellStyle name="Calculation 2 2 2 2 2 3 2 2 2" xfId="654"/>
    <cellStyle name="Calculation 2 2 2 2 2 3 2 2 2 2" xfId="655"/>
    <cellStyle name="Calculation 2 2 2 2 2 3 2 2 3" xfId="656"/>
    <cellStyle name="Calculation 2 2 2 2 2 3 2 2 3 2" xfId="657"/>
    <cellStyle name="Calculation 2 2 2 2 2 3 2 2 4" xfId="658"/>
    <cellStyle name="Calculation 2 2 2 2 2 3 2 2 5" xfId="659"/>
    <cellStyle name="Calculation 2 2 2 2 2 3 2 2 6" xfId="660"/>
    <cellStyle name="Calculation 2 2 2 2 2 3 2 3" xfId="661"/>
    <cellStyle name="Calculation 2 2 2 2 2 3 2 3 2" xfId="662"/>
    <cellStyle name="Calculation 2 2 2 2 2 3 2 4" xfId="663"/>
    <cellStyle name="Calculation 2 2 2 2 2 3 2 4 2" xfId="664"/>
    <cellStyle name="Calculation 2 2 2 2 2 3 2 5" xfId="665"/>
    <cellStyle name="Calculation 2 2 2 2 2 3 2 6" xfId="666"/>
    <cellStyle name="Calculation 2 2 2 2 2 3 2 7" xfId="667"/>
    <cellStyle name="Calculation 2 2 2 2 2 3 3" xfId="668"/>
    <cellStyle name="Calculation 2 2 2 2 2 3 3 2" xfId="669"/>
    <cellStyle name="Calculation 2 2 2 2 2 3 3 2 2" xfId="670"/>
    <cellStyle name="Calculation 2 2 2 2 2 3 3 3" xfId="671"/>
    <cellStyle name="Calculation 2 2 2 2 2 3 3 3 2" xfId="672"/>
    <cellStyle name="Calculation 2 2 2 2 2 3 3 4" xfId="673"/>
    <cellStyle name="Calculation 2 2 2 2 2 3 3 5" xfId="674"/>
    <cellStyle name="Calculation 2 2 2 2 2 3 3 6" xfId="675"/>
    <cellStyle name="Calculation 2 2 2 2 2 3 4" xfId="676"/>
    <cellStyle name="Calculation 2 2 2 2 2 3 4 2" xfId="677"/>
    <cellStyle name="Calculation 2 2 2 2 2 3 5" xfId="678"/>
    <cellStyle name="Calculation 2 2 2 2 2 3 5 2" xfId="679"/>
    <cellStyle name="Calculation 2 2 2 2 2 3 6" xfId="680"/>
    <cellStyle name="Calculation 2 2 2 2 2 3 7" xfId="681"/>
    <cellStyle name="Calculation 2 2 2 2 2 3 8" xfId="682"/>
    <cellStyle name="Calculation 2 2 2 2 2 4" xfId="683"/>
    <cellStyle name="Calculation 2 2 2 2 2 4 2" xfId="684"/>
    <cellStyle name="Calculation 2 2 2 2 2 4 2 2" xfId="685"/>
    <cellStyle name="Calculation 2 2 2 2 2 4 2 2 2" xfId="686"/>
    <cellStyle name="Calculation 2 2 2 2 2 4 2 3" xfId="687"/>
    <cellStyle name="Calculation 2 2 2 2 2 4 2 3 2" xfId="688"/>
    <cellStyle name="Calculation 2 2 2 2 2 4 2 4" xfId="689"/>
    <cellStyle name="Calculation 2 2 2 2 2 4 2 5" xfId="690"/>
    <cellStyle name="Calculation 2 2 2 2 2 4 2 6" xfId="691"/>
    <cellStyle name="Calculation 2 2 2 2 2 4 3" xfId="692"/>
    <cellStyle name="Calculation 2 2 2 2 2 4 3 2" xfId="693"/>
    <cellStyle name="Calculation 2 2 2 2 2 4 4" xfId="694"/>
    <cellStyle name="Calculation 2 2 2 2 2 4 4 2" xfId="695"/>
    <cellStyle name="Calculation 2 2 2 2 2 4 5" xfId="696"/>
    <cellStyle name="Calculation 2 2 2 2 2 4 6" xfId="697"/>
    <cellStyle name="Calculation 2 2 2 2 2 4 7" xfId="698"/>
    <cellStyle name="Calculation 2 2 2 2 2 5" xfId="699"/>
    <cellStyle name="Calculation 2 2 2 2 2 5 2" xfId="700"/>
    <cellStyle name="Calculation 2 2 2 2 2 5 2 2" xfId="701"/>
    <cellStyle name="Calculation 2 2 2 2 2 5 3" xfId="702"/>
    <cellStyle name="Calculation 2 2 2 2 2 5 3 2" xfId="703"/>
    <cellStyle name="Calculation 2 2 2 2 2 5 4" xfId="704"/>
    <cellStyle name="Calculation 2 2 2 2 2 5 5" xfId="705"/>
    <cellStyle name="Calculation 2 2 2 2 2 5 6" xfId="706"/>
    <cellStyle name="Calculation 2 2 2 2 2 6" xfId="707"/>
    <cellStyle name="Calculation 2 2 2 2 2 6 2" xfId="708"/>
    <cellStyle name="Calculation 2 2 2 2 2 7" xfId="709"/>
    <cellStyle name="Calculation 2 2 2 2 2 7 2" xfId="710"/>
    <cellStyle name="Calculation 2 2 2 2 2 8" xfId="711"/>
    <cellStyle name="Calculation 2 2 2 2 2 9" xfId="712"/>
    <cellStyle name="Calculation 2 2 2 2 3" xfId="713"/>
    <cellStyle name="Calculation 2 2 2 2 3 2" xfId="714"/>
    <cellStyle name="Calculation 2 2 2 2 3 2 2" xfId="715"/>
    <cellStyle name="Calculation 2 2 2 2 3 2 2 2" xfId="716"/>
    <cellStyle name="Calculation 2 2 2 2 3 2 2 2 2" xfId="717"/>
    <cellStyle name="Calculation 2 2 2 2 3 2 2 3" xfId="718"/>
    <cellStyle name="Calculation 2 2 2 2 3 2 2 3 2" xfId="719"/>
    <cellStyle name="Calculation 2 2 2 2 3 2 2 4" xfId="720"/>
    <cellStyle name="Calculation 2 2 2 2 3 2 2 5" xfId="721"/>
    <cellStyle name="Calculation 2 2 2 2 3 2 2 6" xfId="722"/>
    <cellStyle name="Calculation 2 2 2 2 3 2 3" xfId="723"/>
    <cellStyle name="Calculation 2 2 2 2 3 2 3 2" xfId="724"/>
    <cellStyle name="Calculation 2 2 2 2 3 2 4" xfId="725"/>
    <cellStyle name="Calculation 2 2 2 2 3 2 4 2" xfId="726"/>
    <cellStyle name="Calculation 2 2 2 2 3 2 5" xfId="727"/>
    <cellStyle name="Calculation 2 2 2 2 3 2 6" xfId="728"/>
    <cellStyle name="Calculation 2 2 2 2 3 2 7" xfId="729"/>
    <cellStyle name="Calculation 2 2 2 2 3 3" xfId="730"/>
    <cellStyle name="Calculation 2 2 2 2 3 3 2" xfId="731"/>
    <cellStyle name="Calculation 2 2 2 2 3 3 2 2" xfId="732"/>
    <cellStyle name="Calculation 2 2 2 2 3 3 3" xfId="733"/>
    <cellStyle name="Calculation 2 2 2 2 3 3 3 2" xfId="734"/>
    <cellStyle name="Calculation 2 2 2 2 3 3 4" xfId="735"/>
    <cellStyle name="Calculation 2 2 2 2 3 3 5" xfId="736"/>
    <cellStyle name="Calculation 2 2 2 2 3 3 6" xfId="737"/>
    <cellStyle name="Calculation 2 2 2 2 3 4" xfId="738"/>
    <cellStyle name="Calculation 2 2 2 2 3 4 2" xfId="739"/>
    <cellStyle name="Calculation 2 2 2 2 3 5" xfId="740"/>
    <cellStyle name="Calculation 2 2 2 2 3 5 2" xfId="741"/>
    <cellStyle name="Calculation 2 2 2 2 3 6" xfId="742"/>
    <cellStyle name="Calculation 2 2 2 2 3 7" xfId="743"/>
    <cellStyle name="Calculation 2 2 2 2 3 8" xfId="744"/>
    <cellStyle name="Calculation 2 2 2 2 4" xfId="745"/>
    <cellStyle name="Calculation 2 2 2 2 4 2" xfId="746"/>
    <cellStyle name="Calculation 2 2 2 2 4 2 2" xfId="747"/>
    <cellStyle name="Calculation 2 2 2 2 4 2 2 2" xfId="748"/>
    <cellStyle name="Calculation 2 2 2 2 4 2 2 2 2" xfId="749"/>
    <cellStyle name="Calculation 2 2 2 2 4 2 2 3" xfId="750"/>
    <cellStyle name="Calculation 2 2 2 2 4 2 2 3 2" xfId="751"/>
    <cellStyle name="Calculation 2 2 2 2 4 2 2 4" xfId="752"/>
    <cellStyle name="Calculation 2 2 2 2 4 2 2 5" xfId="753"/>
    <cellStyle name="Calculation 2 2 2 2 4 2 2 6" xfId="754"/>
    <cellStyle name="Calculation 2 2 2 2 4 2 3" xfId="755"/>
    <cellStyle name="Calculation 2 2 2 2 4 2 3 2" xfId="756"/>
    <cellStyle name="Calculation 2 2 2 2 4 2 4" xfId="757"/>
    <cellStyle name="Calculation 2 2 2 2 4 2 4 2" xfId="758"/>
    <cellStyle name="Calculation 2 2 2 2 4 2 5" xfId="759"/>
    <cellStyle name="Calculation 2 2 2 2 4 2 6" xfId="760"/>
    <cellStyle name="Calculation 2 2 2 2 4 2 7" xfId="761"/>
    <cellStyle name="Calculation 2 2 2 2 4 3" xfId="762"/>
    <cellStyle name="Calculation 2 2 2 2 4 3 2" xfId="763"/>
    <cellStyle name="Calculation 2 2 2 2 4 3 2 2" xfId="764"/>
    <cellStyle name="Calculation 2 2 2 2 4 3 3" xfId="765"/>
    <cellStyle name="Calculation 2 2 2 2 4 3 3 2" xfId="766"/>
    <cellStyle name="Calculation 2 2 2 2 4 3 4" xfId="767"/>
    <cellStyle name="Calculation 2 2 2 2 4 3 5" xfId="768"/>
    <cellStyle name="Calculation 2 2 2 2 4 3 6" xfId="769"/>
    <cellStyle name="Calculation 2 2 2 2 4 4" xfId="770"/>
    <cellStyle name="Calculation 2 2 2 2 4 4 2" xfId="771"/>
    <cellStyle name="Calculation 2 2 2 2 4 5" xfId="772"/>
    <cellStyle name="Calculation 2 2 2 2 4 5 2" xfId="773"/>
    <cellStyle name="Calculation 2 2 2 2 4 6" xfId="774"/>
    <cellStyle name="Calculation 2 2 2 2 4 7" xfId="775"/>
    <cellStyle name="Calculation 2 2 2 2 4 8" xfId="776"/>
    <cellStyle name="Calculation 2 2 2 2 5" xfId="777"/>
    <cellStyle name="Calculation 2 2 2 2 5 2" xfId="778"/>
    <cellStyle name="Calculation 2 2 2 2 5 2 2" xfId="779"/>
    <cellStyle name="Calculation 2 2 2 2 5 2 2 2" xfId="780"/>
    <cellStyle name="Calculation 2 2 2 2 5 2 3" xfId="781"/>
    <cellStyle name="Calculation 2 2 2 2 5 2 3 2" xfId="782"/>
    <cellStyle name="Calculation 2 2 2 2 5 2 4" xfId="783"/>
    <cellStyle name="Calculation 2 2 2 2 5 2 5" xfId="784"/>
    <cellStyle name="Calculation 2 2 2 2 5 2 6" xfId="785"/>
    <cellStyle name="Calculation 2 2 2 2 5 3" xfId="786"/>
    <cellStyle name="Calculation 2 2 2 2 5 3 2" xfId="787"/>
    <cellStyle name="Calculation 2 2 2 2 5 4" xfId="788"/>
    <cellStyle name="Calculation 2 2 2 2 5 4 2" xfId="789"/>
    <cellStyle name="Calculation 2 2 2 2 5 5" xfId="790"/>
    <cellStyle name="Calculation 2 2 2 2 5 6" xfId="791"/>
    <cellStyle name="Calculation 2 2 2 2 5 7" xfId="792"/>
    <cellStyle name="Calculation 2 2 2 2 6" xfId="793"/>
    <cellStyle name="Calculation 2 2 2 2 6 2" xfId="794"/>
    <cellStyle name="Calculation 2 2 2 2 6 2 2" xfId="795"/>
    <cellStyle name="Calculation 2 2 2 2 6 3" xfId="796"/>
    <cellStyle name="Calculation 2 2 2 2 6 3 2" xfId="797"/>
    <cellStyle name="Calculation 2 2 2 2 6 4" xfId="798"/>
    <cellStyle name="Calculation 2 2 2 2 6 5" xfId="799"/>
    <cellStyle name="Calculation 2 2 2 2 6 6" xfId="800"/>
    <cellStyle name="Calculation 2 2 2 2 7" xfId="801"/>
    <cellStyle name="Calculation 2 2 2 2 7 2" xfId="802"/>
    <cellStyle name="Calculation 2 2 2 2 8" xfId="803"/>
    <cellStyle name="Calculation 2 2 2 2 8 2" xfId="804"/>
    <cellStyle name="Calculation 2 2 2 2 9" xfId="805"/>
    <cellStyle name="Calculation 2 2 2 3" xfId="806"/>
    <cellStyle name="Calculation 2 2 2 3 10" xfId="807"/>
    <cellStyle name="Calculation 2 2 2 3 2" xfId="808"/>
    <cellStyle name="Calculation 2 2 2 3 2 10" xfId="809"/>
    <cellStyle name="Calculation 2 2 2 3 2 2" xfId="810"/>
    <cellStyle name="Calculation 2 2 2 3 2 2 2" xfId="811"/>
    <cellStyle name="Calculation 2 2 2 3 2 2 2 2" xfId="812"/>
    <cellStyle name="Calculation 2 2 2 3 2 2 2 2 2" xfId="813"/>
    <cellStyle name="Calculation 2 2 2 3 2 2 2 2 2 2" xfId="814"/>
    <cellStyle name="Calculation 2 2 2 3 2 2 2 2 3" xfId="815"/>
    <cellStyle name="Calculation 2 2 2 3 2 2 2 2 3 2" xfId="816"/>
    <cellStyle name="Calculation 2 2 2 3 2 2 2 2 4" xfId="817"/>
    <cellStyle name="Calculation 2 2 2 3 2 2 2 2 5" xfId="818"/>
    <cellStyle name="Calculation 2 2 2 3 2 2 2 2 6" xfId="819"/>
    <cellStyle name="Calculation 2 2 2 3 2 2 2 3" xfId="820"/>
    <cellStyle name="Calculation 2 2 2 3 2 2 2 3 2" xfId="821"/>
    <cellStyle name="Calculation 2 2 2 3 2 2 2 4" xfId="822"/>
    <cellStyle name="Calculation 2 2 2 3 2 2 2 4 2" xfId="823"/>
    <cellStyle name="Calculation 2 2 2 3 2 2 2 5" xfId="824"/>
    <cellStyle name="Calculation 2 2 2 3 2 2 2 6" xfId="825"/>
    <cellStyle name="Calculation 2 2 2 3 2 2 2 7" xfId="826"/>
    <cellStyle name="Calculation 2 2 2 3 2 2 3" xfId="827"/>
    <cellStyle name="Calculation 2 2 2 3 2 2 3 2" xfId="828"/>
    <cellStyle name="Calculation 2 2 2 3 2 2 3 2 2" xfId="829"/>
    <cellStyle name="Calculation 2 2 2 3 2 2 3 3" xfId="830"/>
    <cellStyle name="Calculation 2 2 2 3 2 2 3 3 2" xfId="831"/>
    <cellStyle name="Calculation 2 2 2 3 2 2 3 4" xfId="832"/>
    <cellStyle name="Calculation 2 2 2 3 2 2 3 5" xfId="833"/>
    <cellStyle name="Calculation 2 2 2 3 2 2 3 6" xfId="834"/>
    <cellStyle name="Calculation 2 2 2 3 2 2 4" xfId="835"/>
    <cellStyle name="Calculation 2 2 2 3 2 2 4 2" xfId="836"/>
    <cellStyle name="Calculation 2 2 2 3 2 2 5" xfId="837"/>
    <cellStyle name="Calculation 2 2 2 3 2 2 5 2" xfId="838"/>
    <cellStyle name="Calculation 2 2 2 3 2 2 6" xfId="839"/>
    <cellStyle name="Calculation 2 2 2 3 2 2 7" xfId="840"/>
    <cellStyle name="Calculation 2 2 2 3 2 2 8" xfId="841"/>
    <cellStyle name="Calculation 2 2 2 3 2 3" xfId="842"/>
    <cellStyle name="Calculation 2 2 2 3 2 3 2" xfId="843"/>
    <cellStyle name="Calculation 2 2 2 3 2 3 2 2" xfId="844"/>
    <cellStyle name="Calculation 2 2 2 3 2 3 2 2 2" xfId="845"/>
    <cellStyle name="Calculation 2 2 2 3 2 3 2 2 2 2" xfId="846"/>
    <cellStyle name="Calculation 2 2 2 3 2 3 2 2 3" xfId="847"/>
    <cellStyle name="Calculation 2 2 2 3 2 3 2 2 3 2" xfId="848"/>
    <cellStyle name="Calculation 2 2 2 3 2 3 2 2 4" xfId="849"/>
    <cellStyle name="Calculation 2 2 2 3 2 3 2 2 5" xfId="850"/>
    <cellStyle name="Calculation 2 2 2 3 2 3 2 2 6" xfId="851"/>
    <cellStyle name="Calculation 2 2 2 3 2 3 2 3" xfId="852"/>
    <cellStyle name="Calculation 2 2 2 3 2 3 2 3 2" xfId="853"/>
    <cellStyle name="Calculation 2 2 2 3 2 3 2 4" xfId="854"/>
    <cellStyle name="Calculation 2 2 2 3 2 3 2 4 2" xfId="855"/>
    <cellStyle name="Calculation 2 2 2 3 2 3 2 5" xfId="856"/>
    <cellStyle name="Calculation 2 2 2 3 2 3 2 6" xfId="857"/>
    <cellStyle name="Calculation 2 2 2 3 2 3 2 7" xfId="858"/>
    <cellStyle name="Calculation 2 2 2 3 2 3 3" xfId="859"/>
    <cellStyle name="Calculation 2 2 2 3 2 3 3 2" xfId="860"/>
    <cellStyle name="Calculation 2 2 2 3 2 3 3 2 2" xfId="861"/>
    <cellStyle name="Calculation 2 2 2 3 2 3 3 3" xfId="862"/>
    <cellStyle name="Calculation 2 2 2 3 2 3 3 3 2" xfId="863"/>
    <cellStyle name="Calculation 2 2 2 3 2 3 3 4" xfId="864"/>
    <cellStyle name="Calculation 2 2 2 3 2 3 3 5" xfId="865"/>
    <cellStyle name="Calculation 2 2 2 3 2 3 3 6" xfId="866"/>
    <cellStyle name="Calculation 2 2 2 3 2 3 4" xfId="867"/>
    <cellStyle name="Calculation 2 2 2 3 2 3 4 2" xfId="868"/>
    <cellStyle name="Calculation 2 2 2 3 2 3 5" xfId="869"/>
    <cellStyle name="Calculation 2 2 2 3 2 3 5 2" xfId="870"/>
    <cellStyle name="Calculation 2 2 2 3 2 3 6" xfId="871"/>
    <cellStyle name="Calculation 2 2 2 3 2 3 7" xfId="872"/>
    <cellStyle name="Calculation 2 2 2 3 2 3 8" xfId="873"/>
    <cellStyle name="Calculation 2 2 2 3 2 4" xfId="874"/>
    <cellStyle name="Calculation 2 2 2 3 2 4 2" xfId="875"/>
    <cellStyle name="Calculation 2 2 2 3 2 4 2 2" xfId="876"/>
    <cellStyle name="Calculation 2 2 2 3 2 4 2 2 2" xfId="877"/>
    <cellStyle name="Calculation 2 2 2 3 2 4 2 3" xfId="878"/>
    <cellStyle name="Calculation 2 2 2 3 2 4 2 3 2" xfId="879"/>
    <cellStyle name="Calculation 2 2 2 3 2 4 2 4" xfId="880"/>
    <cellStyle name="Calculation 2 2 2 3 2 4 2 5" xfId="881"/>
    <cellStyle name="Calculation 2 2 2 3 2 4 2 6" xfId="882"/>
    <cellStyle name="Calculation 2 2 2 3 2 4 3" xfId="883"/>
    <cellStyle name="Calculation 2 2 2 3 2 4 3 2" xfId="884"/>
    <cellStyle name="Calculation 2 2 2 3 2 4 4" xfId="885"/>
    <cellStyle name="Calculation 2 2 2 3 2 4 4 2" xfId="886"/>
    <cellStyle name="Calculation 2 2 2 3 2 4 5" xfId="887"/>
    <cellStyle name="Calculation 2 2 2 3 2 4 6" xfId="888"/>
    <cellStyle name="Calculation 2 2 2 3 2 4 7" xfId="889"/>
    <cellStyle name="Calculation 2 2 2 3 2 5" xfId="890"/>
    <cellStyle name="Calculation 2 2 2 3 2 5 2" xfId="891"/>
    <cellStyle name="Calculation 2 2 2 3 2 5 2 2" xfId="892"/>
    <cellStyle name="Calculation 2 2 2 3 2 5 3" xfId="893"/>
    <cellStyle name="Calculation 2 2 2 3 2 5 3 2" xfId="894"/>
    <cellStyle name="Calculation 2 2 2 3 2 5 4" xfId="895"/>
    <cellStyle name="Calculation 2 2 2 3 2 5 5" xfId="896"/>
    <cellStyle name="Calculation 2 2 2 3 2 5 6" xfId="897"/>
    <cellStyle name="Calculation 2 2 2 3 2 6" xfId="898"/>
    <cellStyle name="Calculation 2 2 2 3 2 6 2" xfId="899"/>
    <cellStyle name="Calculation 2 2 2 3 2 7" xfId="900"/>
    <cellStyle name="Calculation 2 2 2 3 2 7 2" xfId="901"/>
    <cellStyle name="Calculation 2 2 2 3 2 8" xfId="902"/>
    <cellStyle name="Calculation 2 2 2 3 2 9" xfId="903"/>
    <cellStyle name="Calculation 2 2 2 3 3" xfId="904"/>
    <cellStyle name="Calculation 2 2 2 3 3 2" xfId="905"/>
    <cellStyle name="Calculation 2 2 2 3 3 2 2" xfId="906"/>
    <cellStyle name="Calculation 2 2 2 3 3 2 2 2" xfId="907"/>
    <cellStyle name="Calculation 2 2 2 3 3 2 2 2 2" xfId="908"/>
    <cellStyle name="Calculation 2 2 2 3 3 2 2 3" xfId="909"/>
    <cellStyle name="Calculation 2 2 2 3 3 2 2 3 2" xfId="910"/>
    <cellStyle name="Calculation 2 2 2 3 3 2 2 4" xfId="911"/>
    <cellStyle name="Calculation 2 2 2 3 3 2 2 5" xfId="912"/>
    <cellStyle name="Calculation 2 2 2 3 3 2 2 6" xfId="913"/>
    <cellStyle name="Calculation 2 2 2 3 3 2 3" xfId="914"/>
    <cellStyle name="Calculation 2 2 2 3 3 2 3 2" xfId="915"/>
    <cellStyle name="Calculation 2 2 2 3 3 2 4" xfId="916"/>
    <cellStyle name="Calculation 2 2 2 3 3 2 4 2" xfId="917"/>
    <cellStyle name="Calculation 2 2 2 3 3 2 5" xfId="918"/>
    <cellStyle name="Calculation 2 2 2 3 3 2 6" xfId="919"/>
    <cellStyle name="Calculation 2 2 2 3 3 2 7" xfId="920"/>
    <cellStyle name="Calculation 2 2 2 3 3 3" xfId="921"/>
    <cellStyle name="Calculation 2 2 2 3 3 3 2" xfId="922"/>
    <cellStyle name="Calculation 2 2 2 3 3 3 2 2" xfId="923"/>
    <cellStyle name="Calculation 2 2 2 3 3 3 3" xfId="924"/>
    <cellStyle name="Calculation 2 2 2 3 3 3 3 2" xfId="925"/>
    <cellStyle name="Calculation 2 2 2 3 3 3 4" xfId="926"/>
    <cellStyle name="Calculation 2 2 2 3 3 3 5" xfId="927"/>
    <cellStyle name="Calculation 2 2 2 3 3 3 6" xfId="928"/>
    <cellStyle name="Calculation 2 2 2 3 3 4" xfId="929"/>
    <cellStyle name="Calculation 2 2 2 3 3 4 2" xfId="930"/>
    <cellStyle name="Calculation 2 2 2 3 3 5" xfId="931"/>
    <cellStyle name="Calculation 2 2 2 3 3 5 2" xfId="932"/>
    <cellStyle name="Calculation 2 2 2 3 3 6" xfId="933"/>
    <cellStyle name="Calculation 2 2 2 3 3 7" xfId="934"/>
    <cellStyle name="Calculation 2 2 2 3 3 8" xfId="935"/>
    <cellStyle name="Calculation 2 2 2 3 4" xfId="936"/>
    <cellStyle name="Calculation 2 2 2 3 4 2" xfId="937"/>
    <cellStyle name="Calculation 2 2 2 3 4 2 2" xfId="938"/>
    <cellStyle name="Calculation 2 2 2 3 4 2 2 2" xfId="939"/>
    <cellStyle name="Calculation 2 2 2 3 4 2 3" xfId="940"/>
    <cellStyle name="Calculation 2 2 2 3 4 2 3 2" xfId="941"/>
    <cellStyle name="Calculation 2 2 2 3 4 2 4" xfId="942"/>
    <cellStyle name="Calculation 2 2 2 3 4 2 5" xfId="943"/>
    <cellStyle name="Calculation 2 2 2 3 4 2 6" xfId="944"/>
    <cellStyle name="Calculation 2 2 2 3 4 3" xfId="945"/>
    <cellStyle name="Calculation 2 2 2 3 4 3 2" xfId="946"/>
    <cellStyle name="Calculation 2 2 2 3 4 4" xfId="947"/>
    <cellStyle name="Calculation 2 2 2 3 4 4 2" xfId="948"/>
    <cellStyle name="Calculation 2 2 2 3 4 5" xfId="949"/>
    <cellStyle name="Calculation 2 2 2 3 4 6" xfId="950"/>
    <cellStyle name="Calculation 2 2 2 3 4 7" xfId="951"/>
    <cellStyle name="Calculation 2 2 2 3 5" xfId="952"/>
    <cellStyle name="Calculation 2 2 2 3 5 2" xfId="953"/>
    <cellStyle name="Calculation 2 2 2 3 5 2 2" xfId="954"/>
    <cellStyle name="Calculation 2 2 2 3 5 3" xfId="955"/>
    <cellStyle name="Calculation 2 2 2 3 5 3 2" xfId="956"/>
    <cellStyle name="Calculation 2 2 2 3 5 4" xfId="957"/>
    <cellStyle name="Calculation 2 2 2 3 5 5" xfId="958"/>
    <cellStyle name="Calculation 2 2 2 3 5 6" xfId="959"/>
    <cellStyle name="Calculation 2 2 2 3 6" xfId="960"/>
    <cellStyle name="Calculation 2 2 2 3 6 2" xfId="961"/>
    <cellStyle name="Calculation 2 2 2 3 7" xfId="962"/>
    <cellStyle name="Calculation 2 2 2 3 7 2" xfId="963"/>
    <cellStyle name="Calculation 2 2 2 3 8" xfId="964"/>
    <cellStyle name="Calculation 2 2 2 3 9" xfId="965"/>
    <cellStyle name="Calculation 2 2 2 4" xfId="966"/>
    <cellStyle name="Calculation 2 2 2 4 10" xfId="967"/>
    <cellStyle name="Calculation 2 2 2 4 2" xfId="968"/>
    <cellStyle name="Calculation 2 2 2 4 2 2" xfId="969"/>
    <cellStyle name="Calculation 2 2 2 4 2 2 2" xfId="970"/>
    <cellStyle name="Calculation 2 2 2 4 2 2 2 2" xfId="971"/>
    <cellStyle name="Calculation 2 2 2 4 2 2 2 2 2" xfId="972"/>
    <cellStyle name="Calculation 2 2 2 4 2 2 2 3" xfId="973"/>
    <cellStyle name="Calculation 2 2 2 4 2 2 2 3 2" xfId="974"/>
    <cellStyle name="Calculation 2 2 2 4 2 2 2 4" xfId="975"/>
    <cellStyle name="Calculation 2 2 2 4 2 2 2 5" xfId="976"/>
    <cellStyle name="Calculation 2 2 2 4 2 2 2 6" xfId="977"/>
    <cellStyle name="Calculation 2 2 2 4 2 2 3" xfId="978"/>
    <cellStyle name="Calculation 2 2 2 4 2 2 3 2" xfId="979"/>
    <cellStyle name="Calculation 2 2 2 4 2 2 4" xfId="980"/>
    <cellStyle name="Calculation 2 2 2 4 2 2 4 2" xfId="981"/>
    <cellStyle name="Calculation 2 2 2 4 2 2 5" xfId="982"/>
    <cellStyle name="Calculation 2 2 2 4 2 2 6" xfId="983"/>
    <cellStyle name="Calculation 2 2 2 4 2 2 7" xfId="984"/>
    <cellStyle name="Calculation 2 2 2 4 2 3" xfId="985"/>
    <cellStyle name="Calculation 2 2 2 4 2 3 2" xfId="986"/>
    <cellStyle name="Calculation 2 2 2 4 2 3 2 2" xfId="987"/>
    <cellStyle name="Calculation 2 2 2 4 2 3 3" xfId="988"/>
    <cellStyle name="Calculation 2 2 2 4 2 3 3 2" xfId="989"/>
    <cellStyle name="Calculation 2 2 2 4 2 3 4" xfId="990"/>
    <cellStyle name="Calculation 2 2 2 4 2 3 5" xfId="991"/>
    <cellStyle name="Calculation 2 2 2 4 2 3 6" xfId="992"/>
    <cellStyle name="Calculation 2 2 2 4 2 4" xfId="993"/>
    <cellStyle name="Calculation 2 2 2 4 2 4 2" xfId="994"/>
    <cellStyle name="Calculation 2 2 2 4 2 5" xfId="995"/>
    <cellStyle name="Calculation 2 2 2 4 2 5 2" xfId="996"/>
    <cellStyle name="Calculation 2 2 2 4 2 6" xfId="997"/>
    <cellStyle name="Calculation 2 2 2 4 2 7" xfId="998"/>
    <cellStyle name="Calculation 2 2 2 4 2 8" xfId="999"/>
    <cellStyle name="Calculation 2 2 2 4 3" xfId="1000"/>
    <cellStyle name="Calculation 2 2 2 4 3 2" xfId="1001"/>
    <cellStyle name="Calculation 2 2 2 4 3 2 2" xfId="1002"/>
    <cellStyle name="Calculation 2 2 2 4 3 2 2 2" xfId="1003"/>
    <cellStyle name="Calculation 2 2 2 4 3 2 2 2 2" xfId="1004"/>
    <cellStyle name="Calculation 2 2 2 4 3 2 2 3" xfId="1005"/>
    <cellStyle name="Calculation 2 2 2 4 3 2 2 3 2" xfId="1006"/>
    <cellStyle name="Calculation 2 2 2 4 3 2 2 4" xfId="1007"/>
    <cellStyle name="Calculation 2 2 2 4 3 2 2 5" xfId="1008"/>
    <cellStyle name="Calculation 2 2 2 4 3 2 2 6" xfId="1009"/>
    <cellStyle name="Calculation 2 2 2 4 3 2 3" xfId="1010"/>
    <cellStyle name="Calculation 2 2 2 4 3 2 3 2" xfId="1011"/>
    <cellStyle name="Calculation 2 2 2 4 3 2 4" xfId="1012"/>
    <cellStyle name="Calculation 2 2 2 4 3 2 4 2" xfId="1013"/>
    <cellStyle name="Calculation 2 2 2 4 3 2 5" xfId="1014"/>
    <cellStyle name="Calculation 2 2 2 4 3 2 6" xfId="1015"/>
    <cellStyle name="Calculation 2 2 2 4 3 2 7" xfId="1016"/>
    <cellStyle name="Calculation 2 2 2 4 3 3" xfId="1017"/>
    <cellStyle name="Calculation 2 2 2 4 3 3 2" xfId="1018"/>
    <cellStyle name="Calculation 2 2 2 4 3 3 2 2" xfId="1019"/>
    <cellStyle name="Calculation 2 2 2 4 3 3 3" xfId="1020"/>
    <cellStyle name="Calculation 2 2 2 4 3 3 3 2" xfId="1021"/>
    <cellStyle name="Calculation 2 2 2 4 3 3 4" xfId="1022"/>
    <cellStyle name="Calculation 2 2 2 4 3 3 5" xfId="1023"/>
    <cellStyle name="Calculation 2 2 2 4 3 3 6" xfId="1024"/>
    <cellStyle name="Calculation 2 2 2 4 3 4" xfId="1025"/>
    <cellStyle name="Calculation 2 2 2 4 3 4 2" xfId="1026"/>
    <cellStyle name="Calculation 2 2 2 4 3 5" xfId="1027"/>
    <cellStyle name="Calculation 2 2 2 4 3 5 2" xfId="1028"/>
    <cellStyle name="Calculation 2 2 2 4 3 6" xfId="1029"/>
    <cellStyle name="Calculation 2 2 2 4 3 7" xfId="1030"/>
    <cellStyle name="Calculation 2 2 2 4 3 8" xfId="1031"/>
    <cellStyle name="Calculation 2 2 2 4 4" xfId="1032"/>
    <cellStyle name="Calculation 2 2 2 4 4 2" xfId="1033"/>
    <cellStyle name="Calculation 2 2 2 4 4 2 2" xfId="1034"/>
    <cellStyle name="Calculation 2 2 2 4 4 2 2 2" xfId="1035"/>
    <cellStyle name="Calculation 2 2 2 4 4 2 3" xfId="1036"/>
    <cellStyle name="Calculation 2 2 2 4 4 2 3 2" xfId="1037"/>
    <cellStyle name="Calculation 2 2 2 4 4 2 4" xfId="1038"/>
    <cellStyle name="Calculation 2 2 2 4 4 2 5" xfId="1039"/>
    <cellStyle name="Calculation 2 2 2 4 4 2 6" xfId="1040"/>
    <cellStyle name="Calculation 2 2 2 4 4 3" xfId="1041"/>
    <cellStyle name="Calculation 2 2 2 4 4 3 2" xfId="1042"/>
    <cellStyle name="Calculation 2 2 2 4 4 4" xfId="1043"/>
    <cellStyle name="Calculation 2 2 2 4 4 4 2" xfId="1044"/>
    <cellStyle name="Calculation 2 2 2 4 4 5" xfId="1045"/>
    <cellStyle name="Calculation 2 2 2 4 4 6" xfId="1046"/>
    <cellStyle name="Calculation 2 2 2 4 4 7" xfId="1047"/>
    <cellStyle name="Calculation 2 2 2 4 5" xfId="1048"/>
    <cellStyle name="Calculation 2 2 2 4 5 2" xfId="1049"/>
    <cellStyle name="Calculation 2 2 2 4 5 2 2" xfId="1050"/>
    <cellStyle name="Calculation 2 2 2 4 5 3" xfId="1051"/>
    <cellStyle name="Calculation 2 2 2 4 5 3 2" xfId="1052"/>
    <cellStyle name="Calculation 2 2 2 4 5 4" xfId="1053"/>
    <cellStyle name="Calculation 2 2 2 4 5 5" xfId="1054"/>
    <cellStyle name="Calculation 2 2 2 4 5 6" xfId="1055"/>
    <cellStyle name="Calculation 2 2 2 4 6" xfId="1056"/>
    <cellStyle name="Calculation 2 2 2 4 6 2" xfId="1057"/>
    <cellStyle name="Calculation 2 2 2 4 7" xfId="1058"/>
    <cellStyle name="Calculation 2 2 2 4 7 2" xfId="1059"/>
    <cellStyle name="Calculation 2 2 2 4 8" xfId="1060"/>
    <cellStyle name="Calculation 2 2 2 4 9" xfId="1061"/>
    <cellStyle name="Calculation 2 2 2 5" xfId="1062"/>
    <cellStyle name="Calculation 2 2 2 5 2" xfId="1063"/>
    <cellStyle name="Calculation 2 2 2 5 2 2" xfId="1064"/>
    <cellStyle name="Calculation 2 2 2 5 2 2 2" xfId="1065"/>
    <cellStyle name="Calculation 2 2 2 5 2 2 2 2" xfId="1066"/>
    <cellStyle name="Calculation 2 2 2 5 2 2 3" xfId="1067"/>
    <cellStyle name="Calculation 2 2 2 5 2 2 3 2" xfId="1068"/>
    <cellStyle name="Calculation 2 2 2 5 2 2 4" xfId="1069"/>
    <cellStyle name="Calculation 2 2 2 5 2 2 5" xfId="1070"/>
    <cellStyle name="Calculation 2 2 2 5 2 2 6" xfId="1071"/>
    <cellStyle name="Calculation 2 2 2 5 2 3" xfId="1072"/>
    <cellStyle name="Calculation 2 2 2 5 2 3 2" xfId="1073"/>
    <cellStyle name="Calculation 2 2 2 5 2 4" xfId="1074"/>
    <cellStyle name="Calculation 2 2 2 5 2 4 2" xfId="1075"/>
    <cellStyle name="Calculation 2 2 2 5 2 5" xfId="1076"/>
    <cellStyle name="Calculation 2 2 2 5 2 6" xfId="1077"/>
    <cellStyle name="Calculation 2 2 2 5 2 7" xfId="1078"/>
    <cellStyle name="Calculation 2 2 2 5 3" xfId="1079"/>
    <cellStyle name="Calculation 2 2 2 5 3 2" xfId="1080"/>
    <cellStyle name="Calculation 2 2 2 5 3 2 2" xfId="1081"/>
    <cellStyle name="Calculation 2 2 2 5 3 3" xfId="1082"/>
    <cellStyle name="Calculation 2 2 2 5 3 3 2" xfId="1083"/>
    <cellStyle name="Calculation 2 2 2 5 3 4" xfId="1084"/>
    <cellStyle name="Calculation 2 2 2 5 3 5" xfId="1085"/>
    <cellStyle name="Calculation 2 2 2 5 3 6" xfId="1086"/>
    <cellStyle name="Calculation 2 2 2 5 4" xfId="1087"/>
    <cellStyle name="Calculation 2 2 2 5 4 2" xfId="1088"/>
    <cellStyle name="Calculation 2 2 2 5 5" xfId="1089"/>
    <cellStyle name="Calculation 2 2 2 5 5 2" xfId="1090"/>
    <cellStyle name="Calculation 2 2 2 5 6" xfId="1091"/>
    <cellStyle name="Calculation 2 2 2 5 7" xfId="1092"/>
    <cellStyle name="Calculation 2 2 2 5 8" xfId="1093"/>
    <cellStyle name="Calculation 2 2 2 6" xfId="1094"/>
    <cellStyle name="Calculation 2 2 2 6 2" xfId="1095"/>
    <cellStyle name="Calculation 2 2 2 6 2 2" xfId="1096"/>
    <cellStyle name="Calculation 2 2 2 6 2 2 2" xfId="1097"/>
    <cellStyle name="Calculation 2 2 2 6 2 3" xfId="1098"/>
    <cellStyle name="Calculation 2 2 2 6 2 3 2" xfId="1099"/>
    <cellStyle name="Calculation 2 2 2 6 2 4" xfId="1100"/>
    <cellStyle name="Calculation 2 2 2 6 2 5" xfId="1101"/>
    <cellStyle name="Calculation 2 2 2 6 2 6" xfId="1102"/>
    <cellStyle name="Calculation 2 2 2 6 3" xfId="1103"/>
    <cellStyle name="Calculation 2 2 2 6 3 2" xfId="1104"/>
    <cellStyle name="Calculation 2 2 2 6 4" xfId="1105"/>
    <cellStyle name="Calculation 2 2 2 6 4 2" xfId="1106"/>
    <cellStyle name="Calculation 2 2 2 6 5" xfId="1107"/>
    <cellStyle name="Calculation 2 2 2 6 6" xfId="1108"/>
    <cellStyle name="Calculation 2 2 2 6 7" xfId="1109"/>
    <cellStyle name="Calculation 2 2 2 7" xfId="1110"/>
    <cellStyle name="Calculation 2 2 2 7 2" xfId="1111"/>
    <cellStyle name="Calculation 2 2 2 7 2 2" xfId="1112"/>
    <cellStyle name="Calculation 2 2 2 7 3" xfId="1113"/>
    <cellStyle name="Calculation 2 2 2 7 3 2" xfId="1114"/>
    <cellStyle name="Calculation 2 2 2 7 4" xfId="1115"/>
    <cellStyle name="Calculation 2 2 2 7 5" xfId="1116"/>
    <cellStyle name="Calculation 2 2 2 7 6" xfId="1117"/>
    <cellStyle name="Calculation 2 2 2 8" xfId="1118"/>
    <cellStyle name="Calculation 2 2 2 8 2" xfId="1119"/>
    <cellStyle name="Calculation 2 2 2 9" xfId="1120"/>
    <cellStyle name="Calculation 2 2 2 9 2" xfId="1121"/>
    <cellStyle name="Calculation 2 2 3" xfId="1122"/>
    <cellStyle name="Calculation 2 2 3 10" xfId="1123"/>
    <cellStyle name="Calculation 2 2 3 11" xfId="1124"/>
    <cellStyle name="Calculation 2 2 3 12" xfId="1125"/>
    <cellStyle name="Calculation 2 2 3 2" xfId="1126"/>
    <cellStyle name="Calculation 2 2 3 2 10" xfId="1127"/>
    <cellStyle name="Calculation 2 2 3 2 11" xfId="1128"/>
    <cellStyle name="Calculation 2 2 3 2 2" xfId="1129"/>
    <cellStyle name="Calculation 2 2 3 2 2 10" xfId="1130"/>
    <cellStyle name="Calculation 2 2 3 2 2 2" xfId="1131"/>
    <cellStyle name="Calculation 2 2 3 2 2 2 2" xfId="1132"/>
    <cellStyle name="Calculation 2 2 3 2 2 2 2 2" xfId="1133"/>
    <cellStyle name="Calculation 2 2 3 2 2 2 2 2 2" xfId="1134"/>
    <cellStyle name="Calculation 2 2 3 2 2 2 2 2 2 2" xfId="1135"/>
    <cellStyle name="Calculation 2 2 3 2 2 2 2 2 3" xfId="1136"/>
    <cellStyle name="Calculation 2 2 3 2 2 2 2 2 3 2" xfId="1137"/>
    <cellStyle name="Calculation 2 2 3 2 2 2 2 2 4" xfId="1138"/>
    <cellStyle name="Calculation 2 2 3 2 2 2 2 2 5" xfId="1139"/>
    <cellStyle name="Calculation 2 2 3 2 2 2 2 2 6" xfId="1140"/>
    <cellStyle name="Calculation 2 2 3 2 2 2 2 3" xfId="1141"/>
    <cellStyle name="Calculation 2 2 3 2 2 2 2 3 2" xfId="1142"/>
    <cellStyle name="Calculation 2 2 3 2 2 2 2 4" xfId="1143"/>
    <cellStyle name="Calculation 2 2 3 2 2 2 2 4 2" xfId="1144"/>
    <cellStyle name="Calculation 2 2 3 2 2 2 2 5" xfId="1145"/>
    <cellStyle name="Calculation 2 2 3 2 2 2 2 6" xfId="1146"/>
    <cellStyle name="Calculation 2 2 3 2 2 2 2 7" xfId="1147"/>
    <cellStyle name="Calculation 2 2 3 2 2 2 3" xfId="1148"/>
    <cellStyle name="Calculation 2 2 3 2 2 2 3 2" xfId="1149"/>
    <cellStyle name="Calculation 2 2 3 2 2 2 3 2 2" xfId="1150"/>
    <cellStyle name="Calculation 2 2 3 2 2 2 3 3" xfId="1151"/>
    <cellStyle name="Calculation 2 2 3 2 2 2 3 3 2" xfId="1152"/>
    <cellStyle name="Calculation 2 2 3 2 2 2 3 4" xfId="1153"/>
    <cellStyle name="Calculation 2 2 3 2 2 2 3 5" xfId="1154"/>
    <cellStyle name="Calculation 2 2 3 2 2 2 3 6" xfId="1155"/>
    <cellStyle name="Calculation 2 2 3 2 2 2 4" xfId="1156"/>
    <cellStyle name="Calculation 2 2 3 2 2 2 4 2" xfId="1157"/>
    <cellStyle name="Calculation 2 2 3 2 2 2 5" xfId="1158"/>
    <cellStyle name="Calculation 2 2 3 2 2 2 5 2" xfId="1159"/>
    <cellStyle name="Calculation 2 2 3 2 2 2 6" xfId="1160"/>
    <cellStyle name="Calculation 2 2 3 2 2 2 7" xfId="1161"/>
    <cellStyle name="Calculation 2 2 3 2 2 2 8" xfId="1162"/>
    <cellStyle name="Calculation 2 2 3 2 2 3" xfId="1163"/>
    <cellStyle name="Calculation 2 2 3 2 2 3 2" xfId="1164"/>
    <cellStyle name="Calculation 2 2 3 2 2 3 2 2" xfId="1165"/>
    <cellStyle name="Calculation 2 2 3 2 2 3 2 2 2" xfId="1166"/>
    <cellStyle name="Calculation 2 2 3 2 2 3 2 2 2 2" xfId="1167"/>
    <cellStyle name="Calculation 2 2 3 2 2 3 2 2 3" xfId="1168"/>
    <cellStyle name="Calculation 2 2 3 2 2 3 2 2 3 2" xfId="1169"/>
    <cellStyle name="Calculation 2 2 3 2 2 3 2 2 4" xfId="1170"/>
    <cellStyle name="Calculation 2 2 3 2 2 3 2 2 5" xfId="1171"/>
    <cellStyle name="Calculation 2 2 3 2 2 3 2 2 6" xfId="1172"/>
    <cellStyle name="Calculation 2 2 3 2 2 3 2 3" xfId="1173"/>
    <cellStyle name="Calculation 2 2 3 2 2 3 2 3 2" xfId="1174"/>
    <cellStyle name="Calculation 2 2 3 2 2 3 2 4" xfId="1175"/>
    <cellStyle name="Calculation 2 2 3 2 2 3 2 4 2" xfId="1176"/>
    <cellStyle name="Calculation 2 2 3 2 2 3 2 5" xfId="1177"/>
    <cellStyle name="Calculation 2 2 3 2 2 3 2 6" xfId="1178"/>
    <cellStyle name="Calculation 2 2 3 2 2 3 2 7" xfId="1179"/>
    <cellStyle name="Calculation 2 2 3 2 2 3 3" xfId="1180"/>
    <cellStyle name="Calculation 2 2 3 2 2 3 3 2" xfId="1181"/>
    <cellStyle name="Calculation 2 2 3 2 2 3 3 2 2" xfId="1182"/>
    <cellStyle name="Calculation 2 2 3 2 2 3 3 3" xfId="1183"/>
    <cellStyle name="Calculation 2 2 3 2 2 3 3 3 2" xfId="1184"/>
    <cellStyle name="Calculation 2 2 3 2 2 3 3 4" xfId="1185"/>
    <cellStyle name="Calculation 2 2 3 2 2 3 3 5" xfId="1186"/>
    <cellStyle name="Calculation 2 2 3 2 2 3 3 6" xfId="1187"/>
    <cellStyle name="Calculation 2 2 3 2 2 3 4" xfId="1188"/>
    <cellStyle name="Calculation 2 2 3 2 2 3 4 2" xfId="1189"/>
    <cellStyle name="Calculation 2 2 3 2 2 3 5" xfId="1190"/>
    <cellStyle name="Calculation 2 2 3 2 2 3 5 2" xfId="1191"/>
    <cellStyle name="Calculation 2 2 3 2 2 3 6" xfId="1192"/>
    <cellStyle name="Calculation 2 2 3 2 2 3 7" xfId="1193"/>
    <cellStyle name="Calculation 2 2 3 2 2 3 8" xfId="1194"/>
    <cellStyle name="Calculation 2 2 3 2 2 4" xfId="1195"/>
    <cellStyle name="Calculation 2 2 3 2 2 4 2" xfId="1196"/>
    <cellStyle name="Calculation 2 2 3 2 2 4 2 2" xfId="1197"/>
    <cellStyle name="Calculation 2 2 3 2 2 4 2 2 2" xfId="1198"/>
    <cellStyle name="Calculation 2 2 3 2 2 4 2 3" xfId="1199"/>
    <cellStyle name="Calculation 2 2 3 2 2 4 2 3 2" xfId="1200"/>
    <cellStyle name="Calculation 2 2 3 2 2 4 2 4" xfId="1201"/>
    <cellStyle name="Calculation 2 2 3 2 2 4 2 5" xfId="1202"/>
    <cellStyle name="Calculation 2 2 3 2 2 4 2 6" xfId="1203"/>
    <cellStyle name="Calculation 2 2 3 2 2 4 3" xfId="1204"/>
    <cellStyle name="Calculation 2 2 3 2 2 4 3 2" xfId="1205"/>
    <cellStyle name="Calculation 2 2 3 2 2 4 4" xfId="1206"/>
    <cellStyle name="Calculation 2 2 3 2 2 4 4 2" xfId="1207"/>
    <cellStyle name="Calculation 2 2 3 2 2 4 5" xfId="1208"/>
    <cellStyle name="Calculation 2 2 3 2 2 4 6" xfId="1209"/>
    <cellStyle name="Calculation 2 2 3 2 2 4 7" xfId="1210"/>
    <cellStyle name="Calculation 2 2 3 2 2 5" xfId="1211"/>
    <cellStyle name="Calculation 2 2 3 2 2 5 2" xfId="1212"/>
    <cellStyle name="Calculation 2 2 3 2 2 5 2 2" xfId="1213"/>
    <cellStyle name="Calculation 2 2 3 2 2 5 3" xfId="1214"/>
    <cellStyle name="Calculation 2 2 3 2 2 5 3 2" xfId="1215"/>
    <cellStyle name="Calculation 2 2 3 2 2 5 4" xfId="1216"/>
    <cellStyle name="Calculation 2 2 3 2 2 5 5" xfId="1217"/>
    <cellStyle name="Calculation 2 2 3 2 2 5 6" xfId="1218"/>
    <cellStyle name="Calculation 2 2 3 2 2 6" xfId="1219"/>
    <cellStyle name="Calculation 2 2 3 2 2 6 2" xfId="1220"/>
    <cellStyle name="Calculation 2 2 3 2 2 7" xfId="1221"/>
    <cellStyle name="Calculation 2 2 3 2 2 7 2" xfId="1222"/>
    <cellStyle name="Calculation 2 2 3 2 2 8" xfId="1223"/>
    <cellStyle name="Calculation 2 2 3 2 2 9" xfId="1224"/>
    <cellStyle name="Calculation 2 2 3 2 3" xfId="1225"/>
    <cellStyle name="Calculation 2 2 3 2 3 2" xfId="1226"/>
    <cellStyle name="Calculation 2 2 3 2 3 2 2" xfId="1227"/>
    <cellStyle name="Calculation 2 2 3 2 3 2 2 2" xfId="1228"/>
    <cellStyle name="Calculation 2 2 3 2 3 2 2 2 2" xfId="1229"/>
    <cellStyle name="Calculation 2 2 3 2 3 2 2 3" xfId="1230"/>
    <cellStyle name="Calculation 2 2 3 2 3 2 2 3 2" xfId="1231"/>
    <cellStyle name="Calculation 2 2 3 2 3 2 2 4" xfId="1232"/>
    <cellStyle name="Calculation 2 2 3 2 3 2 2 5" xfId="1233"/>
    <cellStyle name="Calculation 2 2 3 2 3 2 2 6" xfId="1234"/>
    <cellStyle name="Calculation 2 2 3 2 3 2 3" xfId="1235"/>
    <cellStyle name="Calculation 2 2 3 2 3 2 3 2" xfId="1236"/>
    <cellStyle name="Calculation 2 2 3 2 3 2 4" xfId="1237"/>
    <cellStyle name="Calculation 2 2 3 2 3 2 4 2" xfId="1238"/>
    <cellStyle name="Calculation 2 2 3 2 3 2 5" xfId="1239"/>
    <cellStyle name="Calculation 2 2 3 2 3 2 6" xfId="1240"/>
    <cellStyle name="Calculation 2 2 3 2 3 2 7" xfId="1241"/>
    <cellStyle name="Calculation 2 2 3 2 3 3" xfId="1242"/>
    <cellStyle name="Calculation 2 2 3 2 3 3 2" xfId="1243"/>
    <cellStyle name="Calculation 2 2 3 2 3 3 2 2" xfId="1244"/>
    <cellStyle name="Calculation 2 2 3 2 3 3 3" xfId="1245"/>
    <cellStyle name="Calculation 2 2 3 2 3 3 3 2" xfId="1246"/>
    <cellStyle name="Calculation 2 2 3 2 3 3 4" xfId="1247"/>
    <cellStyle name="Calculation 2 2 3 2 3 3 5" xfId="1248"/>
    <cellStyle name="Calculation 2 2 3 2 3 3 6" xfId="1249"/>
    <cellStyle name="Calculation 2 2 3 2 3 4" xfId="1250"/>
    <cellStyle name="Calculation 2 2 3 2 3 4 2" xfId="1251"/>
    <cellStyle name="Calculation 2 2 3 2 3 5" xfId="1252"/>
    <cellStyle name="Calculation 2 2 3 2 3 5 2" xfId="1253"/>
    <cellStyle name="Calculation 2 2 3 2 3 6" xfId="1254"/>
    <cellStyle name="Calculation 2 2 3 2 3 7" xfId="1255"/>
    <cellStyle name="Calculation 2 2 3 2 3 8" xfId="1256"/>
    <cellStyle name="Calculation 2 2 3 2 4" xfId="1257"/>
    <cellStyle name="Calculation 2 2 3 2 4 2" xfId="1258"/>
    <cellStyle name="Calculation 2 2 3 2 4 2 2" xfId="1259"/>
    <cellStyle name="Calculation 2 2 3 2 4 2 2 2" xfId="1260"/>
    <cellStyle name="Calculation 2 2 3 2 4 2 2 2 2" xfId="1261"/>
    <cellStyle name="Calculation 2 2 3 2 4 2 2 3" xfId="1262"/>
    <cellStyle name="Calculation 2 2 3 2 4 2 2 3 2" xfId="1263"/>
    <cellStyle name="Calculation 2 2 3 2 4 2 2 4" xfId="1264"/>
    <cellStyle name="Calculation 2 2 3 2 4 2 2 5" xfId="1265"/>
    <cellStyle name="Calculation 2 2 3 2 4 2 2 6" xfId="1266"/>
    <cellStyle name="Calculation 2 2 3 2 4 2 3" xfId="1267"/>
    <cellStyle name="Calculation 2 2 3 2 4 2 3 2" xfId="1268"/>
    <cellStyle name="Calculation 2 2 3 2 4 2 4" xfId="1269"/>
    <cellStyle name="Calculation 2 2 3 2 4 2 4 2" xfId="1270"/>
    <cellStyle name="Calculation 2 2 3 2 4 2 5" xfId="1271"/>
    <cellStyle name="Calculation 2 2 3 2 4 2 6" xfId="1272"/>
    <cellStyle name="Calculation 2 2 3 2 4 2 7" xfId="1273"/>
    <cellStyle name="Calculation 2 2 3 2 4 3" xfId="1274"/>
    <cellStyle name="Calculation 2 2 3 2 4 3 2" xfId="1275"/>
    <cellStyle name="Calculation 2 2 3 2 4 3 2 2" xfId="1276"/>
    <cellStyle name="Calculation 2 2 3 2 4 3 3" xfId="1277"/>
    <cellStyle name="Calculation 2 2 3 2 4 3 3 2" xfId="1278"/>
    <cellStyle name="Calculation 2 2 3 2 4 3 4" xfId="1279"/>
    <cellStyle name="Calculation 2 2 3 2 4 3 5" xfId="1280"/>
    <cellStyle name="Calculation 2 2 3 2 4 3 6" xfId="1281"/>
    <cellStyle name="Calculation 2 2 3 2 4 4" xfId="1282"/>
    <cellStyle name="Calculation 2 2 3 2 4 4 2" xfId="1283"/>
    <cellStyle name="Calculation 2 2 3 2 4 5" xfId="1284"/>
    <cellStyle name="Calculation 2 2 3 2 4 5 2" xfId="1285"/>
    <cellStyle name="Calculation 2 2 3 2 4 6" xfId="1286"/>
    <cellStyle name="Calculation 2 2 3 2 4 7" xfId="1287"/>
    <cellStyle name="Calculation 2 2 3 2 4 8" xfId="1288"/>
    <cellStyle name="Calculation 2 2 3 2 5" xfId="1289"/>
    <cellStyle name="Calculation 2 2 3 2 5 2" xfId="1290"/>
    <cellStyle name="Calculation 2 2 3 2 5 2 2" xfId="1291"/>
    <cellStyle name="Calculation 2 2 3 2 5 2 2 2" xfId="1292"/>
    <cellStyle name="Calculation 2 2 3 2 5 2 3" xfId="1293"/>
    <cellStyle name="Calculation 2 2 3 2 5 2 3 2" xfId="1294"/>
    <cellStyle name="Calculation 2 2 3 2 5 2 4" xfId="1295"/>
    <cellStyle name="Calculation 2 2 3 2 5 2 5" xfId="1296"/>
    <cellStyle name="Calculation 2 2 3 2 5 2 6" xfId="1297"/>
    <cellStyle name="Calculation 2 2 3 2 5 3" xfId="1298"/>
    <cellStyle name="Calculation 2 2 3 2 5 3 2" xfId="1299"/>
    <cellStyle name="Calculation 2 2 3 2 5 4" xfId="1300"/>
    <cellStyle name="Calculation 2 2 3 2 5 4 2" xfId="1301"/>
    <cellStyle name="Calculation 2 2 3 2 5 5" xfId="1302"/>
    <cellStyle name="Calculation 2 2 3 2 5 6" xfId="1303"/>
    <cellStyle name="Calculation 2 2 3 2 5 7" xfId="1304"/>
    <cellStyle name="Calculation 2 2 3 2 6" xfId="1305"/>
    <cellStyle name="Calculation 2 2 3 2 6 2" xfId="1306"/>
    <cellStyle name="Calculation 2 2 3 2 6 2 2" xfId="1307"/>
    <cellStyle name="Calculation 2 2 3 2 6 3" xfId="1308"/>
    <cellStyle name="Calculation 2 2 3 2 6 3 2" xfId="1309"/>
    <cellStyle name="Calculation 2 2 3 2 6 4" xfId="1310"/>
    <cellStyle name="Calculation 2 2 3 2 6 5" xfId="1311"/>
    <cellStyle name="Calculation 2 2 3 2 6 6" xfId="1312"/>
    <cellStyle name="Calculation 2 2 3 2 7" xfId="1313"/>
    <cellStyle name="Calculation 2 2 3 2 7 2" xfId="1314"/>
    <cellStyle name="Calculation 2 2 3 2 8" xfId="1315"/>
    <cellStyle name="Calculation 2 2 3 2 8 2" xfId="1316"/>
    <cellStyle name="Calculation 2 2 3 2 9" xfId="1317"/>
    <cellStyle name="Calculation 2 2 3 3" xfId="1318"/>
    <cellStyle name="Calculation 2 2 3 3 10" xfId="1319"/>
    <cellStyle name="Calculation 2 2 3 3 2" xfId="1320"/>
    <cellStyle name="Calculation 2 2 3 3 2 10" xfId="1321"/>
    <cellStyle name="Calculation 2 2 3 3 2 2" xfId="1322"/>
    <cellStyle name="Calculation 2 2 3 3 2 2 2" xfId="1323"/>
    <cellStyle name="Calculation 2 2 3 3 2 2 2 2" xfId="1324"/>
    <cellStyle name="Calculation 2 2 3 3 2 2 2 2 2" xfId="1325"/>
    <cellStyle name="Calculation 2 2 3 3 2 2 2 2 2 2" xfId="1326"/>
    <cellStyle name="Calculation 2 2 3 3 2 2 2 2 3" xfId="1327"/>
    <cellStyle name="Calculation 2 2 3 3 2 2 2 2 3 2" xfId="1328"/>
    <cellStyle name="Calculation 2 2 3 3 2 2 2 2 4" xfId="1329"/>
    <cellStyle name="Calculation 2 2 3 3 2 2 2 2 5" xfId="1330"/>
    <cellStyle name="Calculation 2 2 3 3 2 2 2 2 6" xfId="1331"/>
    <cellStyle name="Calculation 2 2 3 3 2 2 2 3" xfId="1332"/>
    <cellStyle name="Calculation 2 2 3 3 2 2 2 3 2" xfId="1333"/>
    <cellStyle name="Calculation 2 2 3 3 2 2 2 4" xfId="1334"/>
    <cellStyle name="Calculation 2 2 3 3 2 2 2 4 2" xfId="1335"/>
    <cellStyle name="Calculation 2 2 3 3 2 2 2 5" xfId="1336"/>
    <cellStyle name="Calculation 2 2 3 3 2 2 2 6" xfId="1337"/>
    <cellStyle name="Calculation 2 2 3 3 2 2 2 7" xfId="1338"/>
    <cellStyle name="Calculation 2 2 3 3 2 2 3" xfId="1339"/>
    <cellStyle name="Calculation 2 2 3 3 2 2 3 2" xfId="1340"/>
    <cellStyle name="Calculation 2 2 3 3 2 2 3 2 2" xfId="1341"/>
    <cellStyle name="Calculation 2 2 3 3 2 2 3 3" xfId="1342"/>
    <cellStyle name="Calculation 2 2 3 3 2 2 3 3 2" xfId="1343"/>
    <cellStyle name="Calculation 2 2 3 3 2 2 3 4" xfId="1344"/>
    <cellStyle name="Calculation 2 2 3 3 2 2 3 5" xfId="1345"/>
    <cellStyle name="Calculation 2 2 3 3 2 2 3 6" xfId="1346"/>
    <cellStyle name="Calculation 2 2 3 3 2 2 4" xfId="1347"/>
    <cellStyle name="Calculation 2 2 3 3 2 2 4 2" xfId="1348"/>
    <cellStyle name="Calculation 2 2 3 3 2 2 5" xfId="1349"/>
    <cellStyle name="Calculation 2 2 3 3 2 2 5 2" xfId="1350"/>
    <cellStyle name="Calculation 2 2 3 3 2 2 6" xfId="1351"/>
    <cellStyle name="Calculation 2 2 3 3 2 2 7" xfId="1352"/>
    <cellStyle name="Calculation 2 2 3 3 2 2 8" xfId="1353"/>
    <cellStyle name="Calculation 2 2 3 3 2 3" xfId="1354"/>
    <cellStyle name="Calculation 2 2 3 3 2 3 2" xfId="1355"/>
    <cellStyle name="Calculation 2 2 3 3 2 3 2 2" xfId="1356"/>
    <cellStyle name="Calculation 2 2 3 3 2 3 2 2 2" xfId="1357"/>
    <cellStyle name="Calculation 2 2 3 3 2 3 2 2 2 2" xfId="1358"/>
    <cellStyle name="Calculation 2 2 3 3 2 3 2 2 3" xfId="1359"/>
    <cellStyle name="Calculation 2 2 3 3 2 3 2 2 3 2" xfId="1360"/>
    <cellStyle name="Calculation 2 2 3 3 2 3 2 2 4" xfId="1361"/>
    <cellStyle name="Calculation 2 2 3 3 2 3 2 2 5" xfId="1362"/>
    <cellStyle name="Calculation 2 2 3 3 2 3 2 2 6" xfId="1363"/>
    <cellStyle name="Calculation 2 2 3 3 2 3 2 3" xfId="1364"/>
    <cellStyle name="Calculation 2 2 3 3 2 3 2 3 2" xfId="1365"/>
    <cellStyle name="Calculation 2 2 3 3 2 3 2 4" xfId="1366"/>
    <cellStyle name="Calculation 2 2 3 3 2 3 2 4 2" xfId="1367"/>
    <cellStyle name="Calculation 2 2 3 3 2 3 2 5" xfId="1368"/>
    <cellStyle name="Calculation 2 2 3 3 2 3 2 6" xfId="1369"/>
    <cellStyle name="Calculation 2 2 3 3 2 3 2 7" xfId="1370"/>
    <cellStyle name="Calculation 2 2 3 3 2 3 3" xfId="1371"/>
    <cellStyle name="Calculation 2 2 3 3 2 3 3 2" xfId="1372"/>
    <cellStyle name="Calculation 2 2 3 3 2 3 3 2 2" xfId="1373"/>
    <cellStyle name="Calculation 2 2 3 3 2 3 3 3" xfId="1374"/>
    <cellStyle name="Calculation 2 2 3 3 2 3 3 3 2" xfId="1375"/>
    <cellStyle name="Calculation 2 2 3 3 2 3 3 4" xfId="1376"/>
    <cellStyle name="Calculation 2 2 3 3 2 3 3 5" xfId="1377"/>
    <cellStyle name="Calculation 2 2 3 3 2 3 3 6" xfId="1378"/>
    <cellStyle name="Calculation 2 2 3 3 2 3 4" xfId="1379"/>
    <cellStyle name="Calculation 2 2 3 3 2 3 4 2" xfId="1380"/>
    <cellStyle name="Calculation 2 2 3 3 2 3 5" xfId="1381"/>
    <cellStyle name="Calculation 2 2 3 3 2 3 5 2" xfId="1382"/>
    <cellStyle name="Calculation 2 2 3 3 2 3 6" xfId="1383"/>
    <cellStyle name="Calculation 2 2 3 3 2 3 7" xfId="1384"/>
    <cellStyle name="Calculation 2 2 3 3 2 3 8" xfId="1385"/>
    <cellStyle name="Calculation 2 2 3 3 2 4" xfId="1386"/>
    <cellStyle name="Calculation 2 2 3 3 2 4 2" xfId="1387"/>
    <cellStyle name="Calculation 2 2 3 3 2 4 2 2" xfId="1388"/>
    <cellStyle name="Calculation 2 2 3 3 2 4 2 2 2" xfId="1389"/>
    <cellStyle name="Calculation 2 2 3 3 2 4 2 3" xfId="1390"/>
    <cellStyle name="Calculation 2 2 3 3 2 4 2 3 2" xfId="1391"/>
    <cellStyle name="Calculation 2 2 3 3 2 4 2 4" xfId="1392"/>
    <cellStyle name="Calculation 2 2 3 3 2 4 2 5" xfId="1393"/>
    <cellStyle name="Calculation 2 2 3 3 2 4 2 6" xfId="1394"/>
    <cellStyle name="Calculation 2 2 3 3 2 4 3" xfId="1395"/>
    <cellStyle name="Calculation 2 2 3 3 2 4 3 2" xfId="1396"/>
    <cellStyle name="Calculation 2 2 3 3 2 4 4" xfId="1397"/>
    <cellStyle name="Calculation 2 2 3 3 2 4 4 2" xfId="1398"/>
    <cellStyle name="Calculation 2 2 3 3 2 4 5" xfId="1399"/>
    <cellStyle name="Calculation 2 2 3 3 2 4 6" xfId="1400"/>
    <cellStyle name="Calculation 2 2 3 3 2 4 7" xfId="1401"/>
    <cellStyle name="Calculation 2 2 3 3 2 5" xfId="1402"/>
    <cellStyle name="Calculation 2 2 3 3 2 5 2" xfId="1403"/>
    <cellStyle name="Calculation 2 2 3 3 2 5 2 2" xfId="1404"/>
    <cellStyle name="Calculation 2 2 3 3 2 5 3" xfId="1405"/>
    <cellStyle name="Calculation 2 2 3 3 2 5 3 2" xfId="1406"/>
    <cellStyle name="Calculation 2 2 3 3 2 5 4" xfId="1407"/>
    <cellStyle name="Calculation 2 2 3 3 2 5 5" xfId="1408"/>
    <cellStyle name="Calculation 2 2 3 3 2 5 6" xfId="1409"/>
    <cellStyle name="Calculation 2 2 3 3 2 6" xfId="1410"/>
    <cellStyle name="Calculation 2 2 3 3 2 6 2" xfId="1411"/>
    <cellStyle name="Calculation 2 2 3 3 2 7" xfId="1412"/>
    <cellStyle name="Calculation 2 2 3 3 2 7 2" xfId="1413"/>
    <cellStyle name="Calculation 2 2 3 3 2 8" xfId="1414"/>
    <cellStyle name="Calculation 2 2 3 3 2 9" xfId="1415"/>
    <cellStyle name="Calculation 2 2 3 3 3" xfId="1416"/>
    <cellStyle name="Calculation 2 2 3 3 3 2" xfId="1417"/>
    <cellStyle name="Calculation 2 2 3 3 3 2 2" xfId="1418"/>
    <cellStyle name="Calculation 2 2 3 3 3 2 2 2" xfId="1419"/>
    <cellStyle name="Calculation 2 2 3 3 3 2 2 2 2" xfId="1420"/>
    <cellStyle name="Calculation 2 2 3 3 3 2 2 3" xfId="1421"/>
    <cellStyle name="Calculation 2 2 3 3 3 2 2 3 2" xfId="1422"/>
    <cellStyle name="Calculation 2 2 3 3 3 2 2 4" xfId="1423"/>
    <cellStyle name="Calculation 2 2 3 3 3 2 2 5" xfId="1424"/>
    <cellStyle name="Calculation 2 2 3 3 3 2 2 6" xfId="1425"/>
    <cellStyle name="Calculation 2 2 3 3 3 2 3" xfId="1426"/>
    <cellStyle name="Calculation 2 2 3 3 3 2 3 2" xfId="1427"/>
    <cellStyle name="Calculation 2 2 3 3 3 2 4" xfId="1428"/>
    <cellStyle name="Calculation 2 2 3 3 3 2 4 2" xfId="1429"/>
    <cellStyle name="Calculation 2 2 3 3 3 2 5" xfId="1430"/>
    <cellStyle name="Calculation 2 2 3 3 3 2 6" xfId="1431"/>
    <cellStyle name="Calculation 2 2 3 3 3 2 7" xfId="1432"/>
    <cellStyle name="Calculation 2 2 3 3 3 3" xfId="1433"/>
    <cellStyle name="Calculation 2 2 3 3 3 3 2" xfId="1434"/>
    <cellStyle name="Calculation 2 2 3 3 3 3 2 2" xfId="1435"/>
    <cellStyle name="Calculation 2 2 3 3 3 3 3" xfId="1436"/>
    <cellStyle name="Calculation 2 2 3 3 3 3 3 2" xfId="1437"/>
    <cellStyle name="Calculation 2 2 3 3 3 3 4" xfId="1438"/>
    <cellStyle name="Calculation 2 2 3 3 3 3 5" xfId="1439"/>
    <cellStyle name="Calculation 2 2 3 3 3 3 6" xfId="1440"/>
    <cellStyle name="Calculation 2 2 3 3 3 4" xfId="1441"/>
    <cellStyle name="Calculation 2 2 3 3 3 4 2" xfId="1442"/>
    <cellStyle name="Calculation 2 2 3 3 3 5" xfId="1443"/>
    <cellStyle name="Calculation 2 2 3 3 3 5 2" xfId="1444"/>
    <cellStyle name="Calculation 2 2 3 3 3 6" xfId="1445"/>
    <cellStyle name="Calculation 2 2 3 3 3 7" xfId="1446"/>
    <cellStyle name="Calculation 2 2 3 3 3 8" xfId="1447"/>
    <cellStyle name="Calculation 2 2 3 3 4" xfId="1448"/>
    <cellStyle name="Calculation 2 2 3 3 4 2" xfId="1449"/>
    <cellStyle name="Calculation 2 2 3 3 4 2 2" xfId="1450"/>
    <cellStyle name="Calculation 2 2 3 3 4 2 2 2" xfId="1451"/>
    <cellStyle name="Calculation 2 2 3 3 4 2 3" xfId="1452"/>
    <cellStyle name="Calculation 2 2 3 3 4 2 3 2" xfId="1453"/>
    <cellStyle name="Calculation 2 2 3 3 4 2 4" xfId="1454"/>
    <cellStyle name="Calculation 2 2 3 3 4 2 5" xfId="1455"/>
    <cellStyle name="Calculation 2 2 3 3 4 2 6" xfId="1456"/>
    <cellStyle name="Calculation 2 2 3 3 4 3" xfId="1457"/>
    <cellStyle name="Calculation 2 2 3 3 4 3 2" xfId="1458"/>
    <cellStyle name="Calculation 2 2 3 3 4 4" xfId="1459"/>
    <cellStyle name="Calculation 2 2 3 3 4 4 2" xfId="1460"/>
    <cellStyle name="Calculation 2 2 3 3 4 5" xfId="1461"/>
    <cellStyle name="Calculation 2 2 3 3 4 6" xfId="1462"/>
    <cellStyle name="Calculation 2 2 3 3 4 7" xfId="1463"/>
    <cellStyle name="Calculation 2 2 3 3 5" xfId="1464"/>
    <cellStyle name="Calculation 2 2 3 3 5 2" xfId="1465"/>
    <cellStyle name="Calculation 2 2 3 3 5 2 2" xfId="1466"/>
    <cellStyle name="Calculation 2 2 3 3 5 3" xfId="1467"/>
    <cellStyle name="Calculation 2 2 3 3 5 3 2" xfId="1468"/>
    <cellStyle name="Calculation 2 2 3 3 5 4" xfId="1469"/>
    <cellStyle name="Calculation 2 2 3 3 5 5" xfId="1470"/>
    <cellStyle name="Calculation 2 2 3 3 5 6" xfId="1471"/>
    <cellStyle name="Calculation 2 2 3 3 6" xfId="1472"/>
    <cellStyle name="Calculation 2 2 3 3 6 2" xfId="1473"/>
    <cellStyle name="Calculation 2 2 3 3 7" xfId="1474"/>
    <cellStyle name="Calculation 2 2 3 3 7 2" xfId="1475"/>
    <cellStyle name="Calculation 2 2 3 3 8" xfId="1476"/>
    <cellStyle name="Calculation 2 2 3 3 9" xfId="1477"/>
    <cellStyle name="Calculation 2 2 3 4" xfId="1478"/>
    <cellStyle name="Calculation 2 2 3 4 10" xfId="1479"/>
    <cellStyle name="Calculation 2 2 3 4 2" xfId="1480"/>
    <cellStyle name="Calculation 2 2 3 4 2 2" xfId="1481"/>
    <cellStyle name="Calculation 2 2 3 4 2 2 2" xfId="1482"/>
    <cellStyle name="Calculation 2 2 3 4 2 2 2 2" xfId="1483"/>
    <cellStyle name="Calculation 2 2 3 4 2 2 2 2 2" xfId="1484"/>
    <cellStyle name="Calculation 2 2 3 4 2 2 2 3" xfId="1485"/>
    <cellStyle name="Calculation 2 2 3 4 2 2 2 3 2" xfId="1486"/>
    <cellStyle name="Calculation 2 2 3 4 2 2 2 4" xfId="1487"/>
    <cellStyle name="Calculation 2 2 3 4 2 2 2 5" xfId="1488"/>
    <cellStyle name="Calculation 2 2 3 4 2 2 2 6" xfId="1489"/>
    <cellStyle name="Calculation 2 2 3 4 2 2 3" xfId="1490"/>
    <cellStyle name="Calculation 2 2 3 4 2 2 3 2" xfId="1491"/>
    <cellStyle name="Calculation 2 2 3 4 2 2 4" xfId="1492"/>
    <cellStyle name="Calculation 2 2 3 4 2 2 4 2" xfId="1493"/>
    <cellStyle name="Calculation 2 2 3 4 2 2 5" xfId="1494"/>
    <cellStyle name="Calculation 2 2 3 4 2 2 6" xfId="1495"/>
    <cellStyle name="Calculation 2 2 3 4 2 2 7" xfId="1496"/>
    <cellStyle name="Calculation 2 2 3 4 2 3" xfId="1497"/>
    <cellStyle name="Calculation 2 2 3 4 2 3 2" xfId="1498"/>
    <cellStyle name="Calculation 2 2 3 4 2 3 2 2" xfId="1499"/>
    <cellStyle name="Calculation 2 2 3 4 2 3 3" xfId="1500"/>
    <cellStyle name="Calculation 2 2 3 4 2 3 3 2" xfId="1501"/>
    <cellStyle name="Calculation 2 2 3 4 2 3 4" xfId="1502"/>
    <cellStyle name="Calculation 2 2 3 4 2 3 5" xfId="1503"/>
    <cellStyle name="Calculation 2 2 3 4 2 3 6" xfId="1504"/>
    <cellStyle name="Calculation 2 2 3 4 2 4" xfId="1505"/>
    <cellStyle name="Calculation 2 2 3 4 2 4 2" xfId="1506"/>
    <cellStyle name="Calculation 2 2 3 4 2 5" xfId="1507"/>
    <cellStyle name="Calculation 2 2 3 4 2 5 2" xfId="1508"/>
    <cellStyle name="Calculation 2 2 3 4 2 6" xfId="1509"/>
    <cellStyle name="Calculation 2 2 3 4 2 7" xfId="1510"/>
    <cellStyle name="Calculation 2 2 3 4 2 8" xfId="1511"/>
    <cellStyle name="Calculation 2 2 3 4 3" xfId="1512"/>
    <cellStyle name="Calculation 2 2 3 4 3 2" xfId="1513"/>
    <cellStyle name="Calculation 2 2 3 4 3 2 2" xfId="1514"/>
    <cellStyle name="Calculation 2 2 3 4 3 2 2 2" xfId="1515"/>
    <cellStyle name="Calculation 2 2 3 4 3 2 2 2 2" xfId="1516"/>
    <cellStyle name="Calculation 2 2 3 4 3 2 2 3" xfId="1517"/>
    <cellStyle name="Calculation 2 2 3 4 3 2 2 3 2" xfId="1518"/>
    <cellStyle name="Calculation 2 2 3 4 3 2 2 4" xfId="1519"/>
    <cellStyle name="Calculation 2 2 3 4 3 2 2 5" xfId="1520"/>
    <cellStyle name="Calculation 2 2 3 4 3 2 2 6" xfId="1521"/>
    <cellStyle name="Calculation 2 2 3 4 3 2 3" xfId="1522"/>
    <cellStyle name="Calculation 2 2 3 4 3 2 3 2" xfId="1523"/>
    <cellStyle name="Calculation 2 2 3 4 3 2 4" xfId="1524"/>
    <cellStyle name="Calculation 2 2 3 4 3 2 4 2" xfId="1525"/>
    <cellStyle name="Calculation 2 2 3 4 3 2 5" xfId="1526"/>
    <cellStyle name="Calculation 2 2 3 4 3 2 6" xfId="1527"/>
    <cellStyle name="Calculation 2 2 3 4 3 2 7" xfId="1528"/>
    <cellStyle name="Calculation 2 2 3 4 3 3" xfId="1529"/>
    <cellStyle name="Calculation 2 2 3 4 3 3 2" xfId="1530"/>
    <cellStyle name="Calculation 2 2 3 4 3 3 2 2" xfId="1531"/>
    <cellStyle name="Calculation 2 2 3 4 3 3 3" xfId="1532"/>
    <cellStyle name="Calculation 2 2 3 4 3 3 3 2" xfId="1533"/>
    <cellStyle name="Calculation 2 2 3 4 3 3 4" xfId="1534"/>
    <cellStyle name="Calculation 2 2 3 4 3 3 5" xfId="1535"/>
    <cellStyle name="Calculation 2 2 3 4 3 3 6" xfId="1536"/>
    <cellStyle name="Calculation 2 2 3 4 3 4" xfId="1537"/>
    <cellStyle name="Calculation 2 2 3 4 3 4 2" xfId="1538"/>
    <cellStyle name="Calculation 2 2 3 4 3 5" xfId="1539"/>
    <cellStyle name="Calculation 2 2 3 4 3 5 2" xfId="1540"/>
    <cellStyle name="Calculation 2 2 3 4 3 6" xfId="1541"/>
    <cellStyle name="Calculation 2 2 3 4 3 7" xfId="1542"/>
    <cellStyle name="Calculation 2 2 3 4 3 8" xfId="1543"/>
    <cellStyle name="Calculation 2 2 3 4 4" xfId="1544"/>
    <cellStyle name="Calculation 2 2 3 4 4 2" xfId="1545"/>
    <cellStyle name="Calculation 2 2 3 4 4 2 2" xfId="1546"/>
    <cellStyle name="Calculation 2 2 3 4 4 2 2 2" xfId="1547"/>
    <cellStyle name="Calculation 2 2 3 4 4 2 3" xfId="1548"/>
    <cellStyle name="Calculation 2 2 3 4 4 2 3 2" xfId="1549"/>
    <cellStyle name="Calculation 2 2 3 4 4 2 4" xfId="1550"/>
    <cellStyle name="Calculation 2 2 3 4 4 2 5" xfId="1551"/>
    <cellStyle name="Calculation 2 2 3 4 4 2 6" xfId="1552"/>
    <cellStyle name="Calculation 2 2 3 4 4 3" xfId="1553"/>
    <cellStyle name="Calculation 2 2 3 4 4 3 2" xfId="1554"/>
    <cellStyle name="Calculation 2 2 3 4 4 4" xfId="1555"/>
    <cellStyle name="Calculation 2 2 3 4 4 4 2" xfId="1556"/>
    <cellStyle name="Calculation 2 2 3 4 4 5" xfId="1557"/>
    <cellStyle name="Calculation 2 2 3 4 4 6" xfId="1558"/>
    <cellStyle name="Calculation 2 2 3 4 4 7" xfId="1559"/>
    <cellStyle name="Calculation 2 2 3 4 5" xfId="1560"/>
    <cellStyle name="Calculation 2 2 3 4 5 2" xfId="1561"/>
    <cellStyle name="Calculation 2 2 3 4 5 2 2" xfId="1562"/>
    <cellStyle name="Calculation 2 2 3 4 5 3" xfId="1563"/>
    <cellStyle name="Calculation 2 2 3 4 5 3 2" xfId="1564"/>
    <cellStyle name="Calculation 2 2 3 4 5 4" xfId="1565"/>
    <cellStyle name="Calculation 2 2 3 4 5 5" xfId="1566"/>
    <cellStyle name="Calculation 2 2 3 4 5 6" xfId="1567"/>
    <cellStyle name="Calculation 2 2 3 4 6" xfId="1568"/>
    <cellStyle name="Calculation 2 2 3 4 6 2" xfId="1569"/>
    <cellStyle name="Calculation 2 2 3 4 7" xfId="1570"/>
    <cellStyle name="Calculation 2 2 3 4 7 2" xfId="1571"/>
    <cellStyle name="Calculation 2 2 3 4 8" xfId="1572"/>
    <cellStyle name="Calculation 2 2 3 4 9" xfId="1573"/>
    <cellStyle name="Calculation 2 2 3 5" xfId="1574"/>
    <cellStyle name="Calculation 2 2 3 5 2" xfId="1575"/>
    <cellStyle name="Calculation 2 2 3 5 2 2" xfId="1576"/>
    <cellStyle name="Calculation 2 2 3 5 2 2 2" xfId="1577"/>
    <cellStyle name="Calculation 2 2 3 5 2 2 2 2" xfId="1578"/>
    <cellStyle name="Calculation 2 2 3 5 2 2 3" xfId="1579"/>
    <cellStyle name="Calculation 2 2 3 5 2 2 3 2" xfId="1580"/>
    <cellStyle name="Calculation 2 2 3 5 2 2 4" xfId="1581"/>
    <cellStyle name="Calculation 2 2 3 5 2 2 5" xfId="1582"/>
    <cellStyle name="Calculation 2 2 3 5 2 2 6" xfId="1583"/>
    <cellStyle name="Calculation 2 2 3 5 2 3" xfId="1584"/>
    <cellStyle name="Calculation 2 2 3 5 2 3 2" xfId="1585"/>
    <cellStyle name="Calculation 2 2 3 5 2 4" xfId="1586"/>
    <cellStyle name="Calculation 2 2 3 5 2 4 2" xfId="1587"/>
    <cellStyle name="Calculation 2 2 3 5 2 5" xfId="1588"/>
    <cellStyle name="Calculation 2 2 3 5 2 6" xfId="1589"/>
    <cellStyle name="Calculation 2 2 3 5 2 7" xfId="1590"/>
    <cellStyle name="Calculation 2 2 3 5 3" xfId="1591"/>
    <cellStyle name="Calculation 2 2 3 5 3 2" xfId="1592"/>
    <cellStyle name="Calculation 2 2 3 5 3 2 2" xfId="1593"/>
    <cellStyle name="Calculation 2 2 3 5 3 3" xfId="1594"/>
    <cellStyle name="Calculation 2 2 3 5 3 3 2" xfId="1595"/>
    <cellStyle name="Calculation 2 2 3 5 3 4" xfId="1596"/>
    <cellStyle name="Calculation 2 2 3 5 3 5" xfId="1597"/>
    <cellStyle name="Calculation 2 2 3 5 3 6" xfId="1598"/>
    <cellStyle name="Calculation 2 2 3 5 4" xfId="1599"/>
    <cellStyle name="Calculation 2 2 3 5 4 2" xfId="1600"/>
    <cellStyle name="Calculation 2 2 3 5 5" xfId="1601"/>
    <cellStyle name="Calculation 2 2 3 5 5 2" xfId="1602"/>
    <cellStyle name="Calculation 2 2 3 5 6" xfId="1603"/>
    <cellStyle name="Calculation 2 2 3 5 7" xfId="1604"/>
    <cellStyle name="Calculation 2 2 3 5 8" xfId="1605"/>
    <cellStyle name="Calculation 2 2 3 6" xfId="1606"/>
    <cellStyle name="Calculation 2 2 3 6 2" xfId="1607"/>
    <cellStyle name="Calculation 2 2 3 6 2 2" xfId="1608"/>
    <cellStyle name="Calculation 2 2 3 6 2 2 2" xfId="1609"/>
    <cellStyle name="Calculation 2 2 3 6 2 3" xfId="1610"/>
    <cellStyle name="Calculation 2 2 3 6 2 3 2" xfId="1611"/>
    <cellStyle name="Calculation 2 2 3 6 2 4" xfId="1612"/>
    <cellStyle name="Calculation 2 2 3 6 2 5" xfId="1613"/>
    <cellStyle name="Calculation 2 2 3 6 2 6" xfId="1614"/>
    <cellStyle name="Calculation 2 2 3 6 3" xfId="1615"/>
    <cellStyle name="Calculation 2 2 3 6 3 2" xfId="1616"/>
    <cellStyle name="Calculation 2 2 3 6 4" xfId="1617"/>
    <cellStyle name="Calculation 2 2 3 6 4 2" xfId="1618"/>
    <cellStyle name="Calculation 2 2 3 6 5" xfId="1619"/>
    <cellStyle name="Calculation 2 2 3 6 6" xfId="1620"/>
    <cellStyle name="Calculation 2 2 3 6 7" xfId="1621"/>
    <cellStyle name="Calculation 2 2 3 7" xfId="1622"/>
    <cellStyle name="Calculation 2 2 3 7 2" xfId="1623"/>
    <cellStyle name="Calculation 2 2 3 7 2 2" xfId="1624"/>
    <cellStyle name="Calculation 2 2 3 7 3" xfId="1625"/>
    <cellStyle name="Calculation 2 2 3 7 3 2" xfId="1626"/>
    <cellStyle name="Calculation 2 2 3 7 4" xfId="1627"/>
    <cellStyle name="Calculation 2 2 3 7 5" xfId="1628"/>
    <cellStyle name="Calculation 2 2 3 7 6" xfId="1629"/>
    <cellStyle name="Calculation 2 2 3 8" xfId="1630"/>
    <cellStyle name="Calculation 2 2 3 8 2" xfId="1631"/>
    <cellStyle name="Calculation 2 2 3 9" xfId="1632"/>
    <cellStyle name="Calculation 2 2 3 9 2" xfId="1633"/>
    <cellStyle name="Calculation 2 2 4" xfId="1634"/>
    <cellStyle name="Calculation 2 2 4 10" xfId="1635"/>
    <cellStyle name="Calculation 2 2 4 11" xfId="1636"/>
    <cellStyle name="Calculation 2 2 4 2" xfId="1637"/>
    <cellStyle name="Calculation 2 2 4 2 10" xfId="1638"/>
    <cellStyle name="Calculation 2 2 4 2 2" xfId="1639"/>
    <cellStyle name="Calculation 2 2 4 2 2 10" xfId="1640"/>
    <cellStyle name="Calculation 2 2 4 2 2 2" xfId="1641"/>
    <cellStyle name="Calculation 2 2 4 2 2 2 2" xfId="1642"/>
    <cellStyle name="Calculation 2 2 4 2 2 2 2 2" xfId="1643"/>
    <cellStyle name="Calculation 2 2 4 2 2 2 2 2 2" xfId="1644"/>
    <cellStyle name="Calculation 2 2 4 2 2 2 2 2 2 2" xfId="1645"/>
    <cellStyle name="Calculation 2 2 4 2 2 2 2 2 3" xfId="1646"/>
    <cellStyle name="Calculation 2 2 4 2 2 2 2 2 3 2" xfId="1647"/>
    <cellStyle name="Calculation 2 2 4 2 2 2 2 2 4" xfId="1648"/>
    <cellStyle name="Calculation 2 2 4 2 2 2 2 2 5" xfId="1649"/>
    <cellStyle name="Calculation 2 2 4 2 2 2 2 2 6" xfId="1650"/>
    <cellStyle name="Calculation 2 2 4 2 2 2 2 3" xfId="1651"/>
    <cellStyle name="Calculation 2 2 4 2 2 2 2 3 2" xfId="1652"/>
    <cellStyle name="Calculation 2 2 4 2 2 2 2 4" xfId="1653"/>
    <cellStyle name="Calculation 2 2 4 2 2 2 2 4 2" xfId="1654"/>
    <cellStyle name="Calculation 2 2 4 2 2 2 2 5" xfId="1655"/>
    <cellStyle name="Calculation 2 2 4 2 2 2 2 6" xfId="1656"/>
    <cellStyle name="Calculation 2 2 4 2 2 2 2 7" xfId="1657"/>
    <cellStyle name="Calculation 2 2 4 2 2 2 3" xfId="1658"/>
    <cellStyle name="Calculation 2 2 4 2 2 2 3 2" xfId="1659"/>
    <cellStyle name="Calculation 2 2 4 2 2 2 3 2 2" xfId="1660"/>
    <cellStyle name="Calculation 2 2 4 2 2 2 3 3" xfId="1661"/>
    <cellStyle name="Calculation 2 2 4 2 2 2 3 3 2" xfId="1662"/>
    <cellStyle name="Calculation 2 2 4 2 2 2 3 4" xfId="1663"/>
    <cellStyle name="Calculation 2 2 4 2 2 2 3 5" xfId="1664"/>
    <cellStyle name="Calculation 2 2 4 2 2 2 3 6" xfId="1665"/>
    <cellStyle name="Calculation 2 2 4 2 2 2 4" xfId="1666"/>
    <cellStyle name="Calculation 2 2 4 2 2 2 4 2" xfId="1667"/>
    <cellStyle name="Calculation 2 2 4 2 2 2 5" xfId="1668"/>
    <cellStyle name="Calculation 2 2 4 2 2 2 5 2" xfId="1669"/>
    <cellStyle name="Calculation 2 2 4 2 2 2 6" xfId="1670"/>
    <cellStyle name="Calculation 2 2 4 2 2 2 7" xfId="1671"/>
    <cellStyle name="Calculation 2 2 4 2 2 2 8" xfId="1672"/>
    <cellStyle name="Calculation 2 2 4 2 2 3" xfId="1673"/>
    <cellStyle name="Calculation 2 2 4 2 2 3 2" xfId="1674"/>
    <cellStyle name="Calculation 2 2 4 2 2 3 2 2" xfId="1675"/>
    <cellStyle name="Calculation 2 2 4 2 2 3 2 2 2" xfId="1676"/>
    <cellStyle name="Calculation 2 2 4 2 2 3 2 2 2 2" xfId="1677"/>
    <cellStyle name="Calculation 2 2 4 2 2 3 2 2 3" xfId="1678"/>
    <cellStyle name="Calculation 2 2 4 2 2 3 2 2 3 2" xfId="1679"/>
    <cellStyle name="Calculation 2 2 4 2 2 3 2 2 4" xfId="1680"/>
    <cellStyle name="Calculation 2 2 4 2 2 3 2 2 5" xfId="1681"/>
    <cellStyle name="Calculation 2 2 4 2 2 3 2 2 6" xfId="1682"/>
    <cellStyle name="Calculation 2 2 4 2 2 3 2 3" xfId="1683"/>
    <cellStyle name="Calculation 2 2 4 2 2 3 2 3 2" xfId="1684"/>
    <cellStyle name="Calculation 2 2 4 2 2 3 2 4" xfId="1685"/>
    <cellStyle name="Calculation 2 2 4 2 2 3 2 4 2" xfId="1686"/>
    <cellStyle name="Calculation 2 2 4 2 2 3 2 5" xfId="1687"/>
    <cellStyle name="Calculation 2 2 4 2 2 3 2 6" xfId="1688"/>
    <cellStyle name="Calculation 2 2 4 2 2 3 2 7" xfId="1689"/>
    <cellStyle name="Calculation 2 2 4 2 2 3 3" xfId="1690"/>
    <cellStyle name="Calculation 2 2 4 2 2 3 3 2" xfId="1691"/>
    <cellStyle name="Calculation 2 2 4 2 2 3 3 2 2" xfId="1692"/>
    <cellStyle name="Calculation 2 2 4 2 2 3 3 3" xfId="1693"/>
    <cellStyle name="Calculation 2 2 4 2 2 3 3 3 2" xfId="1694"/>
    <cellStyle name="Calculation 2 2 4 2 2 3 3 4" xfId="1695"/>
    <cellStyle name="Calculation 2 2 4 2 2 3 3 5" xfId="1696"/>
    <cellStyle name="Calculation 2 2 4 2 2 3 3 6" xfId="1697"/>
    <cellStyle name="Calculation 2 2 4 2 2 3 4" xfId="1698"/>
    <cellStyle name="Calculation 2 2 4 2 2 3 4 2" xfId="1699"/>
    <cellStyle name="Calculation 2 2 4 2 2 3 5" xfId="1700"/>
    <cellStyle name="Calculation 2 2 4 2 2 3 5 2" xfId="1701"/>
    <cellStyle name="Calculation 2 2 4 2 2 3 6" xfId="1702"/>
    <cellStyle name="Calculation 2 2 4 2 2 3 7" xfId="1703"/>
    <cellStyle name="Calculation 2 2 4 2 2 3 8" xfId="1704"/>
    <cellStyle name="Calculation 2 2 4 2 2 4" xfId="1705"/>
    <cellStyle name="Calculation 2 2 4 2 2 4 2" xfId="1706"/>
    <cellStyle name="Calculation 2 2 4 2 2 4 2 2" xfId="1707"/>
    <cellStyle name="Calculation 2 2 4 2 2 4 2 2 2" xfId="1708"/>
    <cellStyle name="Calculation 2 2 4 2 2 4 2 3" xfId="1709"/>
    <cellStyle name="Calculation 2 2 4 2 2 4 2 3 2" xfId="1710"/>
    <cellStyle name="Calculation 2 2 4 2 2 4 2 4" xfId="1711"/>
    <cellStyle name="Calculation 2 2 4 2 2 4 2 5" xfId="1712"/>
    <cellStyle name="Calculation 2 2 4 2 2 4 2 6" xfId="1713"/>
    <cellStyle name="Calculation 2 2 4 2 2 4 3" xfId="1714"/>
    <cellStyle name="Calculation 2 2 4 2 2 4 3 2" xfId="1715"/>
    <cellStyle name="Calculation 2 2 4 2 2 4 4" xfId="1716"/>
    <cellStyle name="Calculation 2 2 4 2 2 4 4 2" xfId="1717"/>
    <cellStyle name="Calculation 2 2 4 2 2 4 5" xfId="1718"/>
    <cellStyle name="Calculation 2 2 4 2 2 4 6" xfId="1719"/>
    <cellStyle name="Calculation 2 2 4 2 2 4 7" xfId="1720"/>
    <cellStyle name="Calculation 2 2 4 2 2 5" xfId="1721"/>
    <cellStyle name="Calculation 2 2 4 2 2 5 2" xfId="1722"/>
    <cellStyle name="Calculation 2 2 4 2 2 5 2 2" xfId="1723"/>
    <cellStyle name="Calculation 2 2 4 2 2 5 3" xfId="1724"/>
    <cellStyle name="Calculation 2 2 4 2 2 5 3 2" xfId="1725"/>
    <cellStyle name="Calculation 2 2 4 2 2 5 4" xfId="1726"/>
    <cellStyle name="Calculation 2 2 4 2 2 5 5" xfId="1727"/>
    <cellStyle name="Calculation 2 2 4 2 2 5 6" xfId="1728"/>
    <cellStyle name="Calculation 2 2 4 2 2 6" xfId="1729"/>
    <cellStyle name="Calculation 2 2 4 2 2 6 2" xfId="1730"/>
    <cellStyle name="Calculation 2 2 4 2 2 7" xfId="1731"/>
    <cellStyle name="Calculation 2 2 4 2 2 7 2" xfId="1732"/>
    <cellStyle name="Calculation 2 2 4 2 2 8" xfId="1733"/>
    <cellStyle name="Calculation 2 2 4 2 2 9" xfId="1734"/>
    <cellStyle name="Calculation 2 2 4 2 3" xfId="1735"/>
    <cellStyle name="Calculation 2 2 4 2 3 2" xfId="1736"/>
    <cellStyle name="Calculation 2 2 4 2 3 2 2" xfId="1737"/>
    <cellStyle name="Calculation 2 2 4 2 3 2 2 2" xfId="1738"/>
    <cellStyle name="Calculation 2 2 4 2 3 2 2 2 2" xfId="1739"/>
    <cellStyle name="Calculation 2 2 4 2 3 2 2 3" xfId="1740"/>
    <cellStyle name="Calculation 2 2 4 2 3 2 2 3 2" xfId="1741"/>
    <cellStyle name="Calculation 2 2 4 2 3 2 2 4" xfId="1742"/>
    <cellStyle name="Calculation 2 2 4 2 3 2 2 5" xfId="1743"/>
    <cellStyle name="Calculation 2 2 4 2 3 2 2 6" xfId="1744"/>
    <cellStyle name="Calculation 2 2 4 2 3 2 3" xfId="1745"/>
    <cellStyle name="Calculation 2 2 4 2 3 2 3 2" xfId="1746"/>
    <cellStyle name="Calculation 2 2 4 2 3 2 4" xfId="1747"/>
    <cellStyle name="Calculation 2 2 4 2 3 2 4 2" xfId="1748"/>
    <cellStyle name="Calculation 2 2 4 2 3 2 5" xfId="1749"/>
    <cellStyle name="Calculation 2 2 4 2 3 2 6" xfId="1750"/>
    <cellStyle name="Calculation 2 2 4 2 3 2 7" xfId="1751"/>
    <cellStyle name="Calculation 2 2 4 2 3 3" xfId="1752"/>
    <cellStyle name="Calculation 2 2 4 2 3 3 2" xfId="1753"/>
    <cellStyle name="Calculation 2 2 4 2 3 3 2 2" xfId="1754"/>
    <cellStyle name="Calculation 2 2 4 2 3 3 3" xfId="1755"/>
    <cellStyle name="Calculation 2 2 4 2 3 3 3 2" xfId="1756"/>
    <cellStyle name="Calculation 2 2 4 2 3 3 4" xfId="1757"/>
    <cellStyle name="Calculation 2 2 4 2 3 3 5" xfId="1758"/>
    <cellStyle name="Calculation 2 2 4 2 3 3 6" xfId="1759"/>
    <cellStyle name="Calculation 2 2 4 2 3 4" xfId="1760"/>
    <cellStyle name="Calculation 2 2 4 2 3 4 2" xfId="1761"/>
    <cellStyle name="Calculation 2 2 4 2 3 5" xfId="1762"/>
    <cellStyle name="Calculation 2 2 4 2 3 5 2" xfId="1763"/>
    <cellStyle name="Calculation 2 2 4 2 3 6" xfId="1764"/>
    <cellStyle name="Calculation 2 2 4 2 3 7" xfId="1765"/>
    <cellStyle name="Calculation 2 2 4 2 3 8" xfId="1766"/>
    <cellStyle name="Calculation 2 2 4 2 4" xfId="1767"/>
    <cellStyle name="Calculation 2 2 4 2 4 2" xfId="1768"/>
    <cellStyle name="Calculation 2 2 4 2 4 2 2" xfId="1769"/>
    <cellStyle name="Calculation 2 2 4 2 4 2 2 2" xfId="1770"/>
    <cellStyle name="Calculation 2 2 4 2 4 2 3" xfId="1771"/>
    <cellStyle name="Calculation 2 2 4 2 4 2 3 2" xfId="1772"/>
    <cellStyle name="Calculation 2 2 4 2 4 2 4" xfId="1773"/>
    <cellStyle name="Calculation 2 2 4 2 4 2 5" xfId="1774"/>
    <cellStyle name="Calculation 2 2 4 2 4 2 6" xfId="1775"/>
    <cellStyle name="Calculation 2 2 4 2 4 3" xfId="1776"/>
    <cellStyle name="Calculation 2 2 4 2 4 3 2" xfId="1777"/>
    <cellStyle name="Calculation 2 2 4 2 4 4" xfId="1778"/>
    <cellStyle name="Calculation 2 2 4 2 4 4 2" xfId="1779"/>
    <cellStyle name="Calculation 2 2 4 2 4 5" xfId="1780"/>
    <cellStyle name="Calculation 2 2 4 2 4 6" xfId="1781"/>
    <cellStyle name="Calculation 2 2 4 2 4 7" xfId="1782"/>
    <cellStyle name="Calculation 2 2 4 2 5" xfId="1783"/>
    <cellStyle name="Calculation 2 2 4 2 5 2" xfId="1784"/>
    <cellStyle name="Calculation 2 2 4 2 5 2 2" xfId="1785"/>
    <cellStyle name="Calculation 2 2 4 2 5 3" xfId="1786"/>
    <cellStyle name="Calculation 2 2 4 2 5 3 2" xfId="1787"/>
    <cellStyle name="Calculation 2 2 4 2 5 4" xfId="1788"/>
    <cellStyle name="Calculation 2 2 4 2 5 5" xfId="1789"/>
    <cellStyle name="Calculation 2 2 4 2 5 6" xfId="1790"/>
    <cellStyle name="Calculation 2 2 4 2 6" xfId="1791"/>
    <cellStyle name="Calculation 2 2 4 2 6 2" xfId="1792"/>
    <cellStyle name="Calculation 2 2 4 2 7" xfId="1793"/>
    <cellStyle name="Calculation 2 2 4 2 7 2" xfId="1794"/>
    <cellStyle name="Calculation 2 2 4 2 8" xfId="1795"/>
    <cellStyle name="Calculation 2 2 4 2 9" xfId="1796"/>
    <cellStyle name="Calculation 2 2 4 3" xfId="1797"/>
    <cellStyle name="Calculation 2 2 4 3 10" xfId="1798"/>
    <cellStyle name="Calculation 2 2 4 3 2" xfId="1799"/>
    <cellStyle name="Calculation 2 2 4 3 2 2" xfId="1800"/>
    <cellStyle name="Calculation 2 2 4 3 2 2 2" xfId="1801"/>
    <cellStyle name="Calculation 2 2 4 3 2 2 2 2" xfId="1802"/>
    <cellStyle name="Calculation 2 2 4 3 2 2 2 2 2" xfId="1803"/>
    <cellStyle name="Calculation 2 2 4 3 2 2 2 3" xfId="1804"/>
    <cellStyle name="Calculation 2 2 4 3 2 2 2 3 2" xfId="1805"/>
    <cellStyle name="Calculation 2 2 4 3 2 2 2 4" xfId="1806"/>
    <cellStyle name="Calculation 2 2 4 3 2 2 2 5" xfId="1807"/>
    <cellStyle name="Calculation 2 2 4 3 2 2 2 6" xfId="1808"/>
    <cellStyle name="Calculation 2 2 4 3 2 2 3" xfId="1809"/>
    <cellStyle name="Calculation 2 2 4 3 2 2 3 2" xfId="1810"/>
    <cellStyle name="Calculation 2 2 4 3 2 2 4" xfId="1811"/>
    <cellStyle name="Calculation 2 2 4 3 2 2 4 2" xfId="1812"/>
    <cellStyle name="Calculation 2 2 4 3 2 2 5" xfId="1813"/>
    <cellStyle name="Calculation 2 2 4 3 2 2 6" xfId="1814"/>
    <cellStyle name="Calculation 2 2 4 3 2 2 7" xfId="1815"/>
    <cellStyle name="Calculation 2 2 4 3 2 3" xfId="1816"/>
    <cellStyle name="Calculation 2 2 4 3 2 3 2" xfId="1817"/>
    <cellStyle name="Calculation 2 2 4 3 2 3 2 2" xfId="1818"/>
    <cellStyle name="Calculation 2 2 4 3 2 3 3" xfId="1819"/>
    <cellStyle name="Calculation 2 2 4 3 2 3 3 2" xfId="1820"/>
    <cellStyle name="Calculation 2 2 4 3 2 3 4" xfId="1821"/>
    <cellStyle name="Calculation 2 2 4 3 2 3 5" xfId="1822"/>
    <cellStyle name="Calculation 2 2 4 3 2 3 6" xfId="1823"/>
    <cellStyle name="Calculation 2 2 4 3 2 4" xfId="1824"/>
    <cellStyle name="Calculation 2 2 4 3 2 4 2" xfId="1825"/>
    <cellStyle name="Calculation 2 2 4 3 2 5" xfId="1826"/>
    <cellStyle name="Calculation 2 2 4 3 2 5 2" xfId="1827"/>
    <cellStyle name="Calculation 2 2 4 3 2 6" xfId="1828"/>
    <cellStyle name="Calculation 2 2 4 3 2 7" xfId="1829"/>
    <cellStyle name="Calculation 2 2 4 3 2 8" xfId="1830"/>
    <cellStyle name="Calculation 2 2 4 3 3" xfId="1831"/>
    <cellStyle name="Calculation 2 2 4 3 3 2" xfId="1832"/>
    <cellStyle name="Calculation 2 2 4 3 3 2 2" xfId="1833"/>
    <cellStyle name="Calculation 2 2 4 3 3 2 2 2" xfId="1834"/>
    <cellStyle name="Calculation 2 2 4 3 3 2 2 2 2" xfId="1835"/>
    <cellStyle name="Calculation 2 2 4 3 3 2 2 3" xfId="1836"/>
    <cellStyle name="Calculation 2 2 4 3 3 2 2 3 2" xfId="1837"/>
    <cellStyle name="Calculation 2 2 4 3 3 2 2 4" xfId="1838"/>
    <cellStyle name="Calculation 2 2 4 3 3 2 2 5" xfId="1839"/>
    <cellStyle name="Calculation 2 2 4 3 3 2 2 6" xfId="1840"/>
    <cellStyle name="Calculation 2 2 4 3 3 2 3" xfId="1841"/>
    <cellStyle name="Calculation 2 2 4 3 3 2 3 2" xfId="1842"/>
    <cellStyle name="Calculation 2 2 4 3 3 2 4" xfId="1843"/>
    <cellStyle name="Calculation 2 2 4 3 3 2 4 2" xfId="1844"/>
    <cellStyle name="Calculation 2 2 4 3 3 2 5" xfId="1845"/>
    <cellStyle name="Calculation 2 2 4 3 3 2 6" xfId="1846"/>
    <cellStyle name="Calculation 2 2 4 3 3 2 7" xfId="1847"/>
    <cellStyle name="Calculation 2 2 4 3 3 3" xfId="1848"/>
    <cellStyle name="Calculation 2 2 4 3 3 3 2" xfId="1849"/>
    <cellStyle name="Calculation 2 2 4 3 3 3 2 2" xfId="1850"/>
    <cellStyle name="Calculation 2 2 4 3 3 3 3" xfId="1851"/>
    <cellStyle name="Calculation 2 2 4 3 3 3 3 2" xfId="1852"/>
    <cellStyle name="Calculation 2 2 4 3 3 3 4" xfId="1853"/>
    <cellStyle name="Calculation 2 2 4 3 3 3 5" xfId="1854"/>
    <cellStyle name="Calculation 2 2 4 3 3 3 6" xfId="1855"/>
    <cellStyle name="Calculation 2 2 4 3 3 4" xfId="1856"/>
    <cellStyle name="Calculation 2 2 4 3 3 4 2" xfId="1857"/>
    <cellStyle name="Calculation 2 2 4 3 3 5" xfId="1858"/>
    <cellStyle name="Calculation 2 2 4 3 3 5 2" xfId="1859"/>
    <cellStyle name="Calculation 2 2 4 3 3 6" xfId="1860"/>
    <cellStyle name="Calculation 2 2 4 3 3 7" xfId="1861"/>
    <cellStyle name="Calculation 2 2 4 3 3 8" xfId="1862"/>
    <cellStyle name="Calculation 2 2 4 3 4" xfId="1863"/>
    <cellStyle name="Calculation 2 2 4 3 4 2" xfId="1864"/>
    <cellStyle name="Calculation 2 2 4 3 4 2 2" xfId="1865"/>
    <cellStyle name="Calculation 2 2 4 3 4 2 2 2" xfId="1866"/>
    <cellStyle name="Calculation 2 2 4 3 4 2 3" xfId="1867"/>
    <cellStyle name="Calculation 2 2 4 3 4 2 3 2" xfId="1868"/>
    <cellStyle name="Calculation 2 2 4 3 4 2 4" xfId="1869"/>
    <cellStyle name="Calculation 2 2 4 3 4 2 5" xfId="1870"/>
    <cellStyle name="Calculation 2 2 4 3 4 2 6" xfId="1871"/>
    <cellStyle name="Calculation 2 2 4 3 4 3" xfId="1872"/>
    <cellStyle name="Calculation 2 2 4 3 4 3 2" xfId="1873"/>
    <cellStyle name="Calculation 2 2 4 3 4 4" xfId="1874"/>
    <cellStyle name="Calculation 2 2 4 3 4 4 2" xfId="1875"/>
    <cellStyle name="Calculation 2 2 4 3 4 5" xfId="1876"/>
    <cellStyle name="Calculation 2 2 4 3 4 6" xfId="1877"/>
    <cellStyle name="Calculation 2 2 4 3 4 7" xfId="1878"/>
    <cellStyle name="Calculation 2 2 4 3 5" xfId="1879"/>
    <cellStyle name="Calculation 2 2 4 3 5 2" xfId="1880"/>
    <cellStyle name="Calculation 2 2 4 3 5 2 2" xfId="1881"/>
    <cellStyle name="Calculation 2 2 4 3 5 3" xfId="1882"/>
    <cellStyle name="Calculation 2 2 4 3 5 3 2" xfId="1883"/>
    <cellStyle name="Calculation 2 2 4 3 5 4" xfId="1884"/>
    <cellStyle name="Calculation 2 2 4 3 5 5" xfId="1885"/>
    <cellStyle name="Calculation 2 2 4 3 5 6" xfId="1886"/>
    <cellStyle name="Calculation 2 2 4 3 6" xfId="1887"/>
    <cellStyle name="Calculation 2 2 4 3 6 2" xfId="1888"/>
    <cellStyle name="Calculation 2 2 4 3 7" xfId="1889"/>
    <cellStyle name="Calculation 2 2 4 3 7 2" xfId="1890"/>
    <cellStyle name="Calculation 2 2 4 3 8" xfId="1891"/>
    <cellStyle name="Calculation 2 2 4 3 9" xfId="1892"/>
    <cellStyle name="Calculation 2 2 4 4" xfId="1893"/>
    <cellStyle name="Calculation 2 2 4 4 2" xfId="1894"/>
    <cellStyle name="Calculation 2 2 4 4 2 2" xfId="1895"/>
    <cellStyle name="Calculation 2 2 4 4 2 2 2" xfId="1896"/>
    <cellStyle name="Calculation 2 2 4 4 2 2 2 2" xfId="1897"/>
    <cellStyle name="Calculation 2 2 4 4 2 2 3" xfId="1898"/>
    <cellStyle name="Calculation 2 2 4 4 2 2 3 2" xfId="1899"/>
    <cellStyle name="Calculation 2 2 4 4 2 2 4" xfId="1900"/>
    <cellStyle name="Calculation 2 2 4 4 2 2 5" xfId="1901"/>
    <cellStyle name="Calculation 2 2 4 4 2 2 6" xfId="1902"/>
    <cellStyle name="Calculation 2 2 4 4 2 3" xfId="1903"/>
    <cellStyle name="Calculation 2 2 4 4 2 3 2" xfId="1904"/>
    <cellStyle name="Calculation 2 2 4 4 2 4" xfId="1905"/>
    <cellStyle name="Calculation 2 2 4 4 2 4 2" xfId="1906"/>
    <cellStyle name="Calculation 2 2 4 4 2 5" xfId="1907"/>
    <cellStyle name="Calculation 2 2 4 4 2 6" xfId="1908"/>
    <cellStyle name="Calculation 2 2 4 4 2 7" xfId="1909"/>
    <cellStyle name="Calculation 2 2 4 4 3" xfId="1910"/>
    <cellStyle name="Calculation 2 2 4 4 3 2" xfId="1911"/>
    <cellStyle name="Calculation 2 2 4 4 3 2 2" xfId="1912"/>
    <cellStyle name="Calculation 2 2 4 4 3 3" xfId="1913"/>
    <cellStyle name="Calculation 2 2 4 4 3 3 2" xfId="1914"/>
    <cellStyle name="Calculation 2 2 4 4 3 4" xfId="1915"/>
    <cellStyle name="Calculation 2 2 4 4 3 5" xfId="1916"/>
    <cellStyle name="Calculation 2 2 4 4 3 6" xfId="1917"/>
    <cellStyle name="Calculation 2 2 4 4 4" xfId="1918"/>
    <cellStyle name="Calculation 2 2 4 4 4 2" xfId="1919"/>
    <cellStyle name="Calculation 2 2 4 4 5" xfId="1920"/>
    <cellStyle name="Calculation 2 2 4 4 5 2" xfId="1921"/>
    <cellStyle name="Calculation 2 2 4 4 6" xfId="1922"/>
    <cellStyle name="Calculation 2 2 4 4 7" xfId="1923"/>
    <cellStyle name="Calculation 2 2 4 4 8" xfId="1924"/>
    <cellStyle name="Calculation 2 2 4 5" xfId="1925"/>
    <cellStyle name="Calculation 2 2 4 5 2" xfId="1926"/>
    <cellStyle name="Calculation 2 2 4 5 2 2" xfId="1927"/>
    <cellStyle name="Calculation 2 2 4 5 2 2 2" xfId="1928"/>
    <cellStyle name="Calculation 2 2 4 5 2 3" xfId="1929"/>
    <cellStyle name="Calculation 2 2 4 5 2 3 2" xfId="1930"/>
    <cellStyle name="Calculation 2 2 4 5 2 4" xfId="1931"/>
    <cellStyle name="Calculation 2 2 4 5 2 5" xfId="1932"/>
    <cellStyle name="Calculation 2 2 4 5 2 6" xfId="1933"/>
    <cellStyle name="Calculation 2 2 4 5 3" xfId="1934"/>
    <cellStyle name="Calculation 2 2 4 5 3 2" xfId="1935"/>
    <cellStyle name="Calculation 2 2 4 5 4" xfId="1936"/>
    <cellStyle name="Calculation 2 2 4 5 4 2" xfId="1937"/>
    <cellStyle name="Calculation 2 2 4 5 5" xfId="1938"/>
    <cellStyle name="Calculation 2 2 4 5 6" xfId="1939"/>
    <cellStyle name="Calculation 2 2 4 5 7" xfId="1940"/>
    <cellStyle name="Calculation 2 2 4 6" xfId="1941"/>
    <cellStyle name="Calculation 2 2 4 6 2" xfId="1942"/>
    <cellStyle name="Calculation 2 2 4 6 2 2" xfId="1943"/>
    <cellStyle name="Calculation 2 2 4 6 3" xfId="1944"/>
    <cellStyle name="Calculation 2 2 4 6 3 2" xfId="1945"/>
    <cellStyle name="Calculation 2 2 4 6 4" xfId="1946"/>
    <cellStyle name="Calculation 2 2 4 6 5" xfId="1947"/>
    <cellStyle name="Calculation 2 2 4 6 6" xfId="1948"/>
    <cellStyle name="Calculation 2 2 4 7" xfId="1949"/>
    <cellStyle name="Calculation 2 2 4 7 2" xfId="1950"/>
    <cellStyle name="Calculation 2 2 4 8" xfId="1951"/>
    <cellStyle name="Calculation 2 2 4 8 2" xfId="1952"/>
    <cellStyle name="Calculation 2 2 4 9" xfId="1953"/>
    <cellStyle name="Calculation 2 2 5" xfId="1954"/>
    <cellStyle name="Calculation 2 2 5 10" xfId="1955"/>
    <cellStyle name="Calculation 2 2 5 2" xfId="1956"/>
    <cellStyle name="Calculation 2 2 5 2 2" xfId="1957"/>
    <cellStyle name="Calculation 2 2 5 2 2 2" xfId="1958"/>
    <cellStyle name="Calculation 2 2 5 2 2 2 2" xfId="1959"/>
    <cellStyle name="Calculation 2 2 5 2 2 2 2 2" xfId="1960"/>
    <cellStyle name="Calculation 2 2 5 2 2 2 3" xfId="1961"/>
    <cellStyle name="Calculation 2 2 5 2 2 2 3 2" xfId="1962"/>
    <cellStyle name="Calculation 2 2 5 2 2 2 4" xfId="1963"/>
    <cellStyle name="Calculation 2 2 5 2 2 2 5" xfId="1964"/>
    <cellStyle name="Calculation 2 2 5 2 2 2 6" xfId="1965"/>
    <cellStyle name="Calculation 2 2 5 2 2 3" xfId="1966"/>
    <cellStyle name="Calculation 2 2 5 2 2 3 2" xfId="1967"/>
    <cellStyle name="Calculation 2 2 5 2 2 4" xfId="1968"/>
    <cellStyle name="Calculation 2 2 5 2 2 4 2" xfId="1969"/>
    <cellStyle name="Calculation 2 2 5 2 2 5" xfId="1970"/>
    <cellStyle name="Calculation 2 2 5 2 2 6" xfId="1971"/>
    <cellStyle name="Calculation 2 2 5 2 2 7" xfId="1972"/>
    <cellStyle name="Calculation 2 2 5 2 3" xfId="1973"/>
    <cellStyle name="Calculation 2 2 5 2 3 2" xfId="1974"/>
    <cellStyle name="Calculation 2 2 5 2 3 2 2" xfId="1975"/>
    <cellStyle name="Calculation 2 2 5 2 3 3" xfId="1976"/>
    <cellStyle name="Calculation 2 2 5 2 3 3 2" xfId="1977"/>
    <cellStyle name="Calculation 2 2 5 2 3 4" xfId="1978"/>
    <cellStyle name="Calculation 2 2 5 2 3 5" xfId="1979"/>
    <cellStyle name="Calculation 2 2 5 2 3 6" xfId="1980"/>
    <cellStyle name="Calculation 2 2 5 2 4" xfId="1981"/>
    <cellStyle name="Calculation 2 2 5 2 4 2" xfId="1982"/>
    <cellStyle name="Calculation 2 2 5 2 5" xfId="1983"/>
    <cellStyle name="Calculation 2 2 5 2 5 2" xfId="1984"/>
    <cellStyle name="Calculation 2 2 5 2 6" xfId="1985"/>
    <cellStyle name="Calculation 2 2 5 2 7" xfId="1986"/>
    <cellStyle name="Calculation 2 2 5 2 8" xfId="1987"/>
    <cellStyle name="Calculation 2 2 5 3" xfId="1988"/>
    <cellStyle name="Calculation 2 2 5 3 2" xfId="1989"/>
    <cellStyle name="Calculation 2 2 5 3 2 2" xfId="1990"/>
    <cellStyle name="Calculation 2 2 5 3 2 2 2" xfId="1991"/>
    <cellStyle name="Calculation 2 2 5 3 2 2 2 2" xfId="1992"/>
    <cellStyle name="Calculation 2 2 5 3 2 2 3" xfId="1993"/>
    <cellStyle name="Calculation 2 2 5 3 2 2 3 2" xfId="1994"/>
    <cellStyle name="Calculation 2 2 5 3 2 2 4" xfId="1995"/>
    <cellStyle name="Calculation 2 2 5 3 2 2 5" xfId="1996"/>
    <cellStyle name="Calculation 2 2 5 3 2 2 6" xfId="1997"/>
    <cellStyle name="Calculation 2 2 5 3 2 3" xfId="1998"/>
    <cellStyle name="Calculation 2 2 5 3 2 3 2" xfId="1999"/>
    <cellStyle name="Calculation 2 2 5 3 2 4" xfId="2000"/>
    <cellStyle name="Calculation 2 2 5 3 2 4 2" xfId="2001"/>
    <cellStyle name="Calculation 2 2 5 3 2 5" xfId="2002"/>
    <cellStyle name="Calculation 2 2 5 3 2 6" xfId="2003"/>
    <cellStyle name="Calculation 2 2 5 3 2 7" xfId="2004"/>
    <cellStyle name="Calculation 2 2 5 3 3" xfId="2005"/>
    <cellStyle name="Calculation 2 2 5 3 3 2" xfId="2006"/>
    <cellStyle name="Calculation 2 2 5 3 3 2 2" xfId="2007"/>
    <cellStyle name="Calculation 2 2 5 3 3 3" xfId="2008"/>
    <cellStyle name="Calculation 2 2 5 3 3 3 2" xfId="2009"/>
    <cellStyle name="Calculation 2 2 5 3 3 4" xfId="2010"/>
    <cellStyle name="Calculation 2 2 5 3 3 5" xfId="2011"/>
    <cellStyle name="Calculation 2 2 5 3 3 6" xfId="2012"/>
    <cellStyle name="Calculation 2 2 5 3 4" xfId="2013"/>
    <cellStyle name="Calculation 2 2 5 3 4 2" xfId="2014"/>
    <cellStyle name="Calculation 2 2 5 3 5" xfId="2015"/>
    <cellStyle name="Calculation 2 2 5 3 5 2" xfId="2016"/>
    <cellStyle name="Calculation 2 2 5 3 6" xfId="2017"/>
    <cellStyle name="Calculation 2 2 5 3 7" xfId="2018"/>
    <cellStyle name="Calculation 2 2 5 3 8" xfId="2019"/>
    <cellStyle name="Calculation 2 2 5 4" xfId="2020"/>
    <cellStyle name="Calculation 2 2 5 4 2" xfId="2021"/>
    <cellStyle name="Calculation 2 2 5 4 2 2" xfId="2022"/>
    <cellStyle name="Calculation 2 2 5 4 2 2 2" xfId="2023"/>
    <cellStyle name="Calculation 2 2 5 4 2 3" xfId="2024"/>
    <cellStyle name="Calculation 2 2 5 4 2 3 2" xfId="2025"/>
    <cellStyle name="Calculation 2 2 5 4 2 4" xfId="2026"/>
    <cellStyle name="Calculation 2 2 5 4 2 5" xfId="2027"/>
    <cellStyle name="Calculation 2 2 5 4 2 6" xfId="2028"/>
    <cellStyle name="Calculation 2 2 5 4 3" xfId="2029"/>
    <cellStyle name="Calculation 2 2 5 4 3 2" xfId="2030"/>
    <cellStyle name="Calculation 2 2 5 4 4" xfId="2031"/>
    <cellStyle name="Calculation 2 2 5 4 4 2" xfId="2032"/>
    <cellStyle name="Calculation 2 2 5 4 5" xfId="2033"/>
    <cellStyle name="Calculation 2 2 5 4 6" xfId="2034"/>
    <cellStyle name="Calculation 2 2 5 4 7" xfId="2035"/>
    <cellStyle name="Calculation 2 2 5 5" xfId="2036"/>
    <cellStyle name="Calculation 2 2 5 5 2" xfId="2037"/>
    <cellStyle name="Calculation 2 2 5 5 2 2" xfId="2038"/>
    <cellStyle name="Calculation 2 2 5 5 3" xfId="2039"/>
    <cellStyle name="Calculation 2 2 5 5 3 2" xfId="2040"/>
    <cellStyle name="Calculation 2 2 5 5 4" xfId="2041"/>
    <cellStyle name="Calculation 2 2 5 5 5" xfId="2042"/>
    <cellStyle name="Calculation 2 2 5 5 6" xfId="2043"/>
    <cellStyle name="Calculation 2 2 5 6" xfId="2044"/>
    <cellStyle name="Calculation 2 2 5 6 2" xfId="2045"/>
    <cellStyle name="Calculation 2 2 5 7" xfId="2046"/>
    <cellStyle name="Calculation 2 2 5 7 2" xfId="2047"/>
    <cellStyle name="Calculation 2 2 5 8" xfId="2048"/>
    <cellStyle name="Calculation 2 2 5 9" xfId="2049"/>
    <cellStyle name="Calculation 2 2 6" xfId="2050"/>
    <cellStyle name="Calculation 2 2 6 2" xfId="2051"/>
    <cellStyle name="Calculation 2 2 6 2 2" xfId="2052"/>
    <cellStyle name="Calculation 2 2 6 2 2 2" xfId="2053"/>
    <cellStyle name="Calculation 2 2 6 2 2 2 2" xfId="2054"/>
    <cellStyle name="Calculation 2 2 6 2 2 3" xfId="2055"/>
    <cellStyle name="Calculation 2 2 6 2 2 3 2" xfId="2056"/>
    <cellStyle name="Calculation 2 2 6 2 2 4" xfId="2057"/>
    <cellStyle name="Calculation 2 2 6 2 2 5" xfId="2058"/>
    <cellStyle name="Calculation 2 2 6 2 2 6" xfId="2059"/>
    <cellStyle name="Calculation 2 2 6 2 3" xfId="2060"/>
    <cellStyle name="Calculation 2 2 6 2 3 2" xfId="2061"/>
    <cellStyle name="Calculation 2 2 6 2 4" xfId="2062"/>
    <cellStyle name="Calculation 2 2 6 2 4 2" xfId="2063"/>
    <cellStyle name="Calculation 2 2 6 2 5" xfId="2064"/>
    <cellStyle name="Calculation 2 2 6 2 6" xfId="2065"/>
    <cellStyle name="Calculation 2 2 6 2 7" xfId="2066"/>
    <cellStyle name="Calculation 2 2 6 3" xfId="2067"/>
    <cellStyle name="Calculation 2 2 6 3 2" xfId="2068"/>
    <cellStyle name="Calculation 2 2 6 3 2 2" xfId="2069"/>
    <cellStyle name="Calculation 2 2 6 3 3" xfId="2070"/>
    <cellStyle name="Calculation 2 2 6 3 3 2" xfId="2071"/>
    <cellStyle name="Calculation 2 2 6 3 4" xfId="2072"/>
    <cellStyle name="Calculation 2 2 6 3 5" xfId="2073"/>
    <cellStyle name="Calculation 2 2 6 3 6" xfId="2074"/>
    <cellStyle name="Calculation 2 2 6 4" xfId="2075"/>
    <cellStyle name="Calculation 2 2 6 4 2" xfId="2076"/>
    <cellStyle name="Calculation 2 2 6 5" xfId="2077"/>
    <cellStyle name="Calculation 2 2 6 5 2" xfId="2078"/>
    <cellStyle name="Calculation 2 2 6 6" xfId="2079"/>
    <cellStyle name="Calculation 2 2 6 7" xfId="2080"/>
    <cellStyle name="Calculation 2 2 6 8" xfId="2081"/>
    <cellStyle name="Calculation 2 2 7" xfId="2082"/>
    <cellStyle name="Calculation 2 2 7 2" xfId="2083"/>
    <cellStyle name="Calculation 2 2 7 2 2" xfId="2084"/>
    <cellStyle name="Calculation 2 2 7 2 2 2" xfId="2085"/>
    <cellStyle name="Calculation 2 2 7 2 3" xfId="2086"/>
    <cellStyle name="Calculation 2 2 7 2 3 2" xfId="2087"/>
    <cellStyle name="Calculation 2 2 7 2 4" xfId="2088"/>
    <cellStyle name="Calculation 2 2 7 2 5" xfId="2089"/>
    <cellStyle name="Calculation 2 2 7 2 6" xfId="2090"/>
    <cellStyle name="Calculation 2 2 7 3" xfId="2091"/>
    <cellStyle name="Calculation 2 2 7 3 2" xfId="2092"/>
    <cellStyle name="Calculation 2 2 7 4" xfId="2093"/>
    <cellStyle name="Calculation 2 2 7 4 2" xfId="2094"/>
    <cellStyle name="Calculation 2 2 7 5" xfId="2095"/>
    <cellStyle name="Calculation 2 2 7 6" xfId="2096"/>
    <cellStyle name="Calculation 2 2 7 7" xfId="2097"/>
    <cellStyle name="Calculation 2 2 8" xfId="2098"/>
    <cellStyle name="Calculation 2 2 8 2" xfId="2099"/>
    <cellStyle name="Calculation 2 2 9" xfId="2100"/>
    <cellStyle name="Calculation 2 2 9 2" xfId="2101"/>
    <cellStyle name="Calculation 2 3" xfId="2102"/>
    <cellStyle name="Calculation 2 3 10" xfId="2103"/>
    <cellStyle name="Calculation 2 3 11" xfId="2104"/>
    <cellStyle name="Calculation 2 3 12" xfId="2105"/>
    <cellStyle name="Calculation 2 3 2" xfId="2106"/>
    <cellStyle name="Calculation 2 3 2 10" xfId="2107"/>
    <cellStyle name="Calculation 2 3 2 11" xfId="2108"/>
    <cellStyle name="Calculation 2 3 2 12" xfId="2109"/>
    <cellStyle name="Calculation 2 3 2 2" xfId="2110"/>
    <cellStyle name="Calculation 2 3 2 2 10" xfId="2111"/>
    <cellStyle name="Calculation 2 3 2 2 11" xfId="2112"/>
    <cellStyle name="Calculation 2 3 2 2 2" xfId="2113"/>
    <cellStyle name="Calculation 2 3 2 2 2 10" xfId="2114"/>
    <cellStyle name="Calculation 2 3 2 2 2 2" xfId="2115"/>
    <cellStyle name="Calculation 2 3 2 2 2 2 2" xfId="2116"/>
    <cellStyle name="Calculation 2 3 2 2 2 2 2 2" xfId="2117"/>
    <cellStyle name="Calculation 2 3 2 2 2 2 2 2 2" xfId="2118"/>
    <cellStyle name="Calculation 2 3 2 2 2 2 2 2 2 2" xfId="2119"/>
    <cellStyle name="Calculation 2 3 2 2 2 2 2 2 3" xfId="2120"/>
    <cellStyle name="Calculation 2 3 2 2 2 2 2 2 3 2" xfId="2121"/>
    <cellStyle name="Calculation 2 3 2 2 2 2 2 2 4" xfId="2122"/>
    <cellStyle name="Calculation 2 3 2 2 2 2 2 2 5" xfId="2123"/>
    <cellStyle name="Calculation 2 3 2 2 2 2 2 2 6" xfId="2124"/>
    <cellStyle name="Calculation 2 3 2 2 2 2 2 3" xfId="2125"/>
    <cellStyle name="Calculation 2 3 2 2 2 2 2 3 2" xfId="2126"/>
    <cellStyle name="Calculation 2 3 2 2 2 2 2 4" xfId="2127"/>
    <cellStyle name="Calculation 2 3 2 2 2 2 2 4 2" xfId="2128"/>
    <cellStyle name="Calculation 2 3 2 2 2 2 2 5" xfId="2129"/>
    <cellStyle name="Calculation 2 3 2 2 2 2 2 6" xfId="2130"/>
    <cellStyle name="Calculation 2 3 2 2 2 2 2 7" xfId="2131"/>
    <cellStyle name="Calculation 2 3 2 2 2 2 3" xfId="2132"/>
    <cellStyle name="Calculation 2 3 2 2 2 2 3 2" xfId="2133"/>
    <cellStyle name="Calculation 2 3 2 2 2 2 3 2 2" xfId="2134"/>
    <cellStyle name="Calculation 2 3 2 2 2 2 3 3" xfId="2135"/>
    <cellStyle name="Calculation 2 3 2 2 2 2 3 3 2" xfId="2136"/>
    <cellStyle name="Calculation 2 3 2 2 2 2 3 4" xfId="2137"/>
    <cellStyle name="Calculation 2 3 2 2 2 2 3 5" xfId="2138"/>
    <cellStyle name="Calculation 2 3 2 2 2 2 3 6" xfId="2139"/>
    <cellStyle name="Calculation 2 3 2 2 2 2 4" xfId="2140"/>
    <cellStyle name="Calculation 2 3 2 2 2 2 4 2" xfId="2141"/>
    <cellStyle name="Calculation 2 3 2 2 2 2 5" xfId="2142"/>
    <cellStyle name="Calculation 2 3 2 2 2 2 5 2" xfId="2143"/>
    <cellStyle name="Calculation 2 3 2 2 2 2 6" xfId="2144"/>
    <cellStyle name="Calculation 2 3 2 2 2 2 7" xfId="2145"/>
    <cellStyle name="Calculation 2 3 2 2 2 2 8" xfId="2146"/>
    <cellStyle name="Calculation 2 3 2 2 2 3" xfId="2147"/>
    <cellStyle name="Calculation 2 3 2 2 2 3 2" xfId="2148"/>
    <cellStyle name="Calculation 2 3 2 2 2 3 2 2" xfId="2149"/>
    <cellStyle name="Calculation 2 3 2 2 2 3 2 2 2" xfId="2150"/>
    <cellStyle name="Calculation 2 3 2 2 2 3 2 2 2 2" xfId="2151"/>
    <cellStyle name="Calculation 2 3 2 2 2 3 2 2 3" xfId="2152"/>
    <cellStyle name="Calculation 2 3 2 2 2 3 2 2 3 2" xfId="2153"/>
    <cellStyle name="Calculation 2 3 2 2 2 3 2 2 4" xfId="2154"/>
    <cellStyle name="Calculation 2 3 2 2 2 3 2 2 5" xfId="2155"/>
    <cellStyle name="Calculation 2 3 2 2 2 3 2 2 6" xfId="2156"/>
    <cellStyle name="Calculation 2 3 2 2 2 3 2 3" xfId="2157"/>
    <cellStyle name="Calculation 2 3 2 2 2 3 2 3 2" xfId="2158"/>
    <cellStyle name="Calculation 2 3 2 2 2 3 2 4" xfId="2159"/>
    <cellStyle name="Calculation 2 3 2 2 2 3 2 4 2" xfId="2160"/>
    <cellStyle name="Calculation 2 3 2 2 2 3 2 5" xfId="2161"/>
    <cellStyle name="Calculation 2 3 2 2 2 3 2 6" xfId="2162"/>
    <cellStyle name="Calculation 2 3 2 2 2 3 2 7" xfId="2163"/>
    <cellStyle name="Calculation 2 3 2 2 2 3 3" xfId="2164"/>
    <cellStyle name="Calculation 2 3 2 2 2 3 3 2" xfId="2165"/>
    <cellStyle name="Calculation 2 3 2 2 2 3 3 2 2" xfId="2166"/>
    <cellStyle name="Calculation 2 3 2 2 2 3 3 3" xfId="2167"/>
    <cellStyle name="Calculation 2 3 2 2 2 3 3 3 2" xfId="2168"/>
    <cellStyle name="Calculation 2 3 2 2 2 3 3 4" xfId="2169"/>
    <cellStyle name="Calculation 2 3 2 2 2 3 3 5" xfId="2170"/>
    <cellStyle name="Calculation 2 3 2 2 2 3 3 6" xfId="2171"/>
    <cellStyle name="Calculation 2 3 2 2 2 3 4" xfId="2172"/>
    <cellStyle name="Calculation 2 3 2 2 2 3 4 2" xfId="2173"/>
    <cellStyle name="Calculation 2 3 2 2 2 3 5" xfId="2174"/>
    <cellStyle name="Calculation 2 3 2 2 2 3 5 2" xfId="2175"/>
    <cellStyle name="Calculation 2 3 2 2 2 3 6" xfId="2176"/>
    <cellStyle name="Calculation 2 3 2 2 2 3 7" xfId="2177"/>
    <cellStyle name="Calculation 2 3 2 2 2 3 8" xfId="2178"/>
    <cellStyle name="Calculation 2 3 2 2 2 4" xfId="2179"/>
    <cellStyle name="Calculation 2 3 2 2 2 4 2" xfId="2180"/>
    <cellStyle name="Calculation 2 3 2 2 2 4 2 2" xfId="2181"/>
    <cellStyle name="Calculation 2 3 2 2 2 4 2 2 2" xfId="2182"/>
    <cellStyle name="Calculation 2 3 2 2 2 4 2 3" xfId="2183"/>
    <cellStyle name="Calculation 2 3 2 2 2 4 2 3 2" xfId="2184"/>
    <cellStyle name="Calculation 2 3 2 2 2 4 2 4" xfId="2185"/>
    <cellStyle name="Calculation 2 3 2 2 2 4 2 5" xfId="2186"/>
    <cellStyle name="Calculation 2 3 2 2 2 4 2 6" xfId="2187"/>
    <cellStyle name="Calculation 2 3 2 2 2 4 3" xfId="2188"/>
    <cellStyle name="Calculation 2 3 2 2 2 4 3 2" xfId="2189"/>
    <cellStyle name="Calculation 2 3 2 2 2 4 4" xfId="2190"/>
    <cellStyle name="Calculation 2 3 2 2 2 4 4 2" xfId="2191"/>
    <cellStyle name="Calculation 2 3 2 2 2 4 5" xfId="2192"/>
    <cellStyle name="Calculation 2 3 2 2 2 4 6" xfId="2193"/>
    <cellStyle name="Calculation 2 3 2 2 2 4 7" xfId="2194"/>
    <cellStyle name="Calculation 2 3 2 2 2 5" xfId="2195"/>
    <cellStyle name="Calculation 2 3 2 2 2 5 2" xfId="2196"/>
    <cellStyle name="Calculation 2 3 2 2 2 5 2 2" xfId="2197"/>
    <cellStyle name="Calculation 2 3 2 2 2 5 3" xfId="2198"/>
    <cellStyle name="Calculation 2 3 2 2 2 5 3 2" xfId="2199"/>
    <cellStyle name="Calculation 2 3 2 2 2 5 4" xfId="2200"/>
    <cellStyle name="Calculation 2 3 2 2 2 5 5" xfId="2201"/>
    <cellStyle name="Calculation 2 3 2 2 2 5 6" xfId="2202"/>
    <cellStyle name="Calculation 2 3 2 2 2 6" xfId="2203"/>
    <cellStyle name="Calculation 2 3 2 2 2 6 2" xfId="2204"/>
    <cellStyle name="Calculation 2 3 2 2 2 7" xfId="2205"/>
    <cellStyle name="Calculation 2 3 2 2 2 7 2" xfId="2206"/>
    <cellStyle name="Calculation 2 3 2 2 2 8" xfId="2207"/>
    <cellStyle name="Calculation 2 3 2 2 2 9" xfId="2208"/>
    <cellStyle name="Calculation 2 3 2 2 3" xfId="2209"/>
    <cellStyle name="Calculation 2 3 2 2 3 2" xfId="2210"/>
    <cellStyle name="Calculation 2 3 2 2 3 2 2" xfId="2211"/>
    <cellStyle name="Calculation 2 3 2 2 3 2 2 2" xfId="2212"/>
    <cellStyle name="Calculation 2 3 2 2 3 2 2 2 2" xfId="2213"/>
    <cellStyle name="Calculation 2 3 2 2 3 2 2 3" xfId="2214"/>
    <cellStyle name="Calculation 2 3 2 2 3 2 2 3 2" xfId="2215"/>
    <cellStyle name="Calculation 2 3 2 2 3 2 2 4" xfId="2216"/>
    <cellStyle name="Calculation 2 3 2 2 3 2 2 5" xfId="2217"/>
    <cellStyle name="Calculation 2 3 2 2 3 2 2 6" xfId="2218"/>
    <cellStyle name="Calculation 2 3 2 2 3 2 3" xfId="2219"/>
    <cellStyle name="Calculation 2 3 2 2 3 2 3 2" xfId="2220"/>
    <cellStyle name="Calculation 2 3 2 2 3 2 4" xfId="2221"/>
    <cellStyle name="Calculation 2 3 2 2 3 2 4 2" xfId="2222"/>
    <cellStyle name="Calculation 2 3 2 2 3 2 5" xfId="2223"/>
    <cellStyle name="Calculation 2 3 2 2 3 2 6" xfId="2224"/>
    <cellStyle name="Calculation 2 3 2 2 3 2 7" xfId="2225"/>
    <cellStyle name="Calculation 2 3 2 2 3 3" xfId="2226"/>
    <cellStyle name="Calculation 2 3 2 2 3 3 2" xfId="2227"/>
    <cellStyle name="Calculation 2 3 2 2 3 3 2 2" xfId="2228"/>
    <cellStyle name="Calculation 2 3 2 2 3 3 3" xfId="2229"/>
    <cellStyle name="Calculation 2 3 2 2 3 3 3 2" xfId="2230"/>
    <cellStyle name="Calculation 2 3 2 2 3 3 4" xfId="2231"/>
    <cellStyle name="Calculation 2 3 2 2 3 3 5" xfId="2232"/>
    <cellStyle name="Calculation 2 3 2 2 3 3 6" xfId="2233"/>
    <cellStyle name="Calculation 2 3 2 2 3 4" xfId="2234"/>
    <cellStyle name="Calculation 2 3 2 2 3 4 2" xfId="2235"/>
    <cellStyle name="Calculation 2 3 2 2 3 5" xfId="2236"/>
    <cellStyle name="Calculation 2 3 2 2 3 5 2" xfId="2237"/>
    <cellStyle name="Calculation 2 3 2 2 3 6" xfId="2238"/>
    <cellStyle name="Calculation 2 3 2 2 3 7" xfId="2239"/>
    <cellStyle name="Calculation 2 3 2 2 3 8" xfId="2240"/>
    <cellStyle name="Calculation 2 3 2 2 4" xfId="2241"/>
    <cellStyle name="Calculation 2 3 2 2 4 2" xfId="2242"/>
    <cellStyle name="Calculation 2 3 2 2 4 2 2" xfId="2243"/>
    <cellStyle name="Calculation 2 3 2 2 4 2 2 2" xfId="2244"/>
    <cellStyle name="Calculation 2 3 2 2 4 2 2 2 2" xfId="2245"/>
    <cellStyle name="Calculation 2 3 2 2 4 2 2 3" xfId="2246"/>
    <cellStyle name="Calculation 2 3 2 2 4 2 2 3 2" xfId="2247"/>
    <cellStyle name="Calculation 2 3 2 2 4 2 2 4" xfId="2248"/>
    <cellStyle name="Calculation 2 3 2 2 4 2 2 5" xfId="2249"/>
    <cellStyle name="Calculation 2 3 2 2 4 2 2 6" xfId="2250"/>
    <cellStyle name="Calculation 2 3 2 2 4 2 3" xfId="2251"/>
    <cellStyle name="Calculation 2 3 2 2 4 2 3 2" xfId="2252"/>
    <cellStyle name="Calculation 2 3 2 2 4 2 4" xfId="2253"/>
    <cellStyle name="Calculation 2 3 2 2 4 2 4 2" xfId="2254"/>
    <cellStyle name="Calculation 2 3 2 2 4 2 5" xfId="2255"/>
    <cellStyle name="Calculation 2 3 2 2 4 2 6" xfId="2256"/>
    <cellStyle name="Calculation 2 3 2 2 4 2 7" xfId="2257"/>
    <cellStyle name="Calculation 2 3 2 2 4 3" xfId="2258"/>
    <cellStyle name="Calculation 2 3 2 2 4 3 2" xfId="2259"/>
    <cellStyle name="Calculation 2 3 2 2 4 3 2 2" xfId="2260"/>
    <cellStyle name="Calculation 2 3 2 2 4 3 3" xfId="2261"/>
    <cellStyle name="Calculation 2 3 2 2 4 3 3 2" xfId="2262"/>
    <cellStyle name="Calculation 2 3 2 2 4 3 4" xfId="2263"/>
    <cellStyle name="Calculation 2 3 2 2 4 3 5" xfId="2264"/>
    <cellStyle name="Calculation 2 3 2 2 4 3 6" xfId="2265"/>
    <cellStyle name="Calculation 2 3 2 2 4 4" xfId="2266"/>
    <cellStyle name="Calculation 2 3 2 2 4 4 2" xfId="2267"/>
    <cellStyle name="Calculation 2 3 2 2 4 5" xfId="2268"/>
    <cellStyle name="Calculation 2 3 2 2 4 5 2" xfId="2269"/>
    <cellStyle name="Calculation 2 3 2 2 4 6" xfId="2270"/>
    <cellStyle name="Calculation 2 3 2 2 4 7" xfId="2271"/>
    <cellStyle name="Calculation 2 3 2 2 4 8" xfId="2272"/>
    <cellStyle name="Calculation 2 3 2 2 5" xfId="2273"/>
    <cellStyle name="Calculation 2 3 2 2 5 2" xfId="2274"/>
    <cellStyle name="Calculation 2 3 2 2 5 2 2" xfId="2275"/>
    <cellStyle name="Calculation 2 3 2 2 5 2 2 2" xfId="2276"/>
    <cellStyle name="Calculation 2 3 2 2 5 2 3" xfId="2277"/>
    <cellStyle name="Calculation 2 3 2 2 5 2 3 2" xfId="2278"/>
    <cellStyle name="Calculation 2 3 2 2 5 2 4" xfId="2279"/>
    <cellStyle name="Calculation 2 3 2 2 5 2 5" xfId="2280"/>
    <cellStyle name="Calculation 2 3 2 2 5 2 6" xfId="2281"/>
    <cellStyle name="Calculation 2 3 2 2 5 3" xfId="2282"/>
    <cellStyle name="Calculation 2 3 2 2 5 3 2" xfId="2283"/>
    <cellStyle name="Calculation 2 3 2 2 5 4" xfId="2284"/>
    <cellStyle name="Calculation 2 3 2 2 5 4 2" xfId="2285"/>
    <cellStyle name="Calculation 2 3 2 2 5 5" xfId="2286"/>
    <cellStyle name="Calculation 2 3 2 2 5 6" xfId="2287"/>
    <cellStyle name="Calculation 2 3 2 2 5 7" xfId="2288"/>
    <cellStyle name="Calculation 2 3 2 2 6" xfId="2289"/>
    <cellStyle name="Calculation 2 3 2 2 6 2" xfId="2290"/>
    <cellStyle name="Calculation 2 3 2 2 6 2 2" xfId="2291"/>
    <cellStyle name="Calculation 2 3 2 2 6 3" xfId="2292"/>
    <cellStyle name="Calculation 2 3 2 2 6 3 2" xfId="2293"/>
    <cellStyle name="Calculation 2 3 2 2 6 4" xfId="2294"/>
    <cellStyle name="Calculation 2 3 2 2 6 5" xfId="2295"/>
    <cellStyle name="Calculation 2 3 2 2 6 6" xfId="2296"/>
    <cellStyle name="Calculation 2 3 2 2 7" xfId="2297"/>
    <cellStyle name="Calculation 2 3 2 2 7 2" xfId="2298"/>
    <cellStyle name="Calculation 2 3 2 2 8" xfId="2299"/>
    <cellStyle name="Calculation 2 3 2 2 8 2" xfId="2300"/>
    <cellStyle name="Calculation 2 3 2 2 9" xfId="2301"/>
    <cellStyle name="Calculation 2 3 2 3" xfId="2302"/>
    <cellStyle name="Calculation 2 3 2 3 10" xfId="2303"/>
    <cellStyle name="Calculation 2 3 2 3 2" xfId="2304"/>
    <cellStyle name="Calculation 2 3 2 3 2 10" xfId="2305"/>
    <cellStyle name="Calculation 2 3 2 3 2 2" xfId="2306"/>
    <cellStyle name="Calculation 2 3 2 3 2 2 2" xfId="2307"/>
    <cellStyle name="Calculation 2 3 2 3 2 2 2 2" xfId="2308"/>
    <cellStyle name="Calculation 2 3 2 3 2 2 2 2 2" xfId="2309"/>
    <cellStyle name="Calculation 2 3 2 3 2 2 2 2 2 2" xfId="2310"/>
    <cellStyle name="Calculation 2 3 2 3 2 2 2 2 3" xfId="2311"/>
    <cellStyle name="Calculation 2 3 2 3 2 2 2 2 3 2" xfId="2312"/>
    <cellStyle name="Calculation 2 3 2 3 2 2 2 2 4" xfId="2313"/>
    <cellStyle name="Calculation 2 3 2 3 2 2 2 2 5" xfId="2314"/>
    <cellStyle name="Calculation 2 3 2 3 2 2 2 2 6" xfId="2315"/>
    <cellStyle name="Calculation 2 3 2 3 2 2 2 3" xfId="2316"/>
    <cellStyle name="Calculation 2 3 2 3 2 2 2 3 2" xfId="2317"/>
    <cellStyle name="Calculation 2 3 2 3 2 2 2 4" xfId="2318"/>
    <cellStyle name="Calculation 2 3 2 3 2 2 2 4 2" xfId="2319"/>
    <cellStyle name="Calculation 2 3 2 3 2 2 2 5" xfId="2320"/>
    <cellStyle name="Calculation 2 3 2 3 2 2 2 6" xfId="2321"/>
    <cellStyle name="Calculation 2 3 2 3 2 2 2 7" xfId="2322"/>
    <cellStyle name="Calculation 2 3 2 3 2 2 3" xfId="2323"/>
    <cellStyle name="Calculation 2 3 2 3 2 2 3 2" xfId="2324"/>
    <cellStyle name="Calculation 2 3 2 3 2 2 3 2 2" xfId="2325"/>
    <cellStyle name="Calculation 2 3 2 3 2 2 3 3" xfId="2326"/>
    <cellStyle name="Calculation 2 3 2 3 2 2 3 3 2" xfId="2327"/>
    <cellStyle name="Calculation 2 3 2 3 2 2 3 4" xfId="2328"/>
    <cellStyle name="Calculation 2 3 2 3 2 2 3 5" xfId="2329"/>
    <cellStyle name="Calculation 2 3 2 3 2 2 3 6" xfId="2330"/>
    <cellStyle name="Calculation 2 3 2 3 2 2 4" xfId="2331"/>
    <cellStyle name="Calculation 2 3 2 3 2 2 4 2" xfId="2332"/>
    <cellStyle name="Calculation 2 3 2 3 2 2 5" xfId="2333"/>
    <cellStyle name="Calculation 2 3 2 3 2 2 5 2" xfId="2334"/>
    <cellStyle name="Calculation 2 3 2 3 2 2 6" xfId="2335"/>
    <cellStyle name="Calculation 2 3 2 3 2 2 7" xfId="2336"/>
    <cellStyle name="Calculation 2 3 2 3 2 2 8" xfId="2337"/>
    <cellStyle name="Calculation 2 3 2 3 2 3" xfId="2338"/>
    <cellStyle name="Calculation 2 3 2 3 2 3 2" xfId="2339"/>
    <cellStyle name="Calculation 2 3 2 3 2 3 2 2" xfId="2340"/>
    <cellStyle name="Calculation 2 3 2 3 2 3 2 2 2" xfId="2341"/>
    <cellStyle name="Calculation 2 3 2 3 2 3 2 2 2 2" xfId="2342"/>
    <cellStyle name="Calculation 2 3 2 3 2 3 2 2 3" xfId="2343"/>
    <cellStyle name="Calculation 2 3 2 3 2 3 2 2 3 2" xfId="2344"/>
    <cellStyle name="Calculation 2 3 2 3 2 3 2 2 4" xfId="2345"/>
    <cellStyle name="Calculation 2 3 2 3 2 3 2 2 5" xfId="2346"/>
    <cellStyle name="Calculation 2 3 2 3 2 3 2 2 6" xfId="2347"/>
    <cellStyle name="Calculation 2 3 2 3 2 3 2 3" xfId="2348"/>
    <cellStyle name="Calculation 2 3 2 3 2 3 2 3 2" xfId="2349"/>
    <cellStyle name="Calculation 2 3 2 3 2 3 2 4" xfId="2350"/>
    <cellStyle name="Calculation 2 3 2 3 2 3 2 4 2" xfId="2351"/>
    <cellStyle name="Calculation 2 3 2 3 2 3 2 5" xfId="2352"/>
    <cellStyle name="Calculation 2 3 2 3 2 3 2 6" xfId="2353"/>
    <cellStyle name="Calculation 2 3 2 3 2 3 2 7" xfId="2354"/>
    <cellStyle name="Calculation 2 3 2 3 2 3 3" xfId="2355"/>
    <cellStyle name="Calculation 2 3 2 3 2 3 3 2" xfId="2356"/>
    <cellStyle name="Calculation 2 3 2 3 2 3 3 2 2" xfId="2357"/>
    <cellStyle name="Calculation 2 3 2 3 2 3 3 3" xfId="2358"/>
    <cellStyle name="Calculation 2 3 2 3 2 3 3 3 2" xfId="2359"/>
    <cellStyle name="Calculation 2 3 2 3 2 3 3 4" xfId="2360"/>
    <cellStyle name="Calculation 2 3 2 3 2 3 3 5" xfId="2361"/>
    <cellStyle name="Calculation 2 3 2 3 2 3 3 6" xfId="2362"/>
    <cellStyle name="Calculation 2 3 2 3 2 3 4" xfId="2363"/>
    <cellStyle name="Calculation 2 3 2 3 2 3 4 2" xfId="2364"/>
    <cellStyle name="Calculation 2 3 2 3 2 3 5" xfId="2365"/>
    <cellStyle name="Calculation 2 3 2 3 2 3 5 2" xfId="2366"/>
    <cellStyle name="Calculation 2 3 2 3 2 3 6" xfId="2367"/>
    <cellStyle name="Calculation 2 3 2 3 2 3 7" xfId="2368"/>
    <cellStyle name="Calculation 2 3 2 3 2 3 8" xfId="2369"/>
    <cellStyle name="Calculation 2 3 2 3 2 4" xfId="2370"/>
    <cellStyle name="Calculation 2 3 2 3 2 4 2" xfId="2371"/>
    <cellStyle name="Calculation 2 3 2 3 2 4 2 2" xfId="2372"/>
    <cellStyle name="Calculation 2 3 2 3 2 4 2 2 2" xfId="2373"/>
    <cellStyle name="Calculation 2 3 2 3 2 4 2 3" xfId="2374"/>
    <cellStyle name="Calculation 2 3 2 3 2 4 2 3 2" xfId="2375"/>
    <cellStyle name="Calculation 2 3 2 3 2 4 2 4" xfId="2376"/>
    <cellStyle name="Calculation 2 3 2 3 2 4 2 5" xfId="2377"/>
    <cellStyle name="Calculation 2 3 2 3 2 4 2 6" xfId="2378"/>
    <cellStyle name="Calculation 2 3 2 3 2 4 3" xfId="2379"/>
    <cellStyle name="Calculation 2 3 2 3 2 4 3 2" xfId="2380"/>
    <cellStyle name="Calculation 2 3 2 3 2 4 4" xfId="2381"/>
    <cellStyle name="Calculation 2 3 2 3 2 4 4 2" xfId="2382"/>
    <cellStyle name="Calculation 2 3 2 3 2 4 5" xfId="2383"/>
    <cellStyle name="Calculation 2 3 2 3 2 4 6" xfId="2384"/>
    <cellStyle name="Calculation 2 3 2 3 2 4 7" xfId="2385"/>
    <cellStyle name="Calculation 2 3 2 3 2 5" xfId="2386"/>
    <cellStyle name="Calculation 2 3 2 3 2 5 2" xfId="2387"/>
    <cellStyle name="Calculation 2 3 2 3 2 5 2 2" xfId="2388"/>
    <cellStyle name="Calculation 2 3 2 3 2 5 3" xfId="2389"/>
    <cellStyle name="Calculation 2 3 2 3 2 5 3 2" xfId="2390"/>
    <cellStyle name="Calculation 2 3 2 3 2 5 4" xfId="2391"/>
    <cellStyle name="Calculation 2 3 2 3 2 5 5" xfId="2392"/>
    <cellStyle name="Calculation 2 3 2 3 2 5 6" xfId="2393"/>
    <cellStyle name="Calculation 2 3 2 3 2 6" xfId="2394"/>
    <cellStyle name="Calculation 2 3 2 3 2 6 2" xfId="2395"/>
    <cellStyle name="Calculation 2 3 2 3 2 7" xfId="2396"/>
    <cellStyle name="Calculation 2 3 2 3 2 7 2" xfId="2397"/>
    <cellStyle name="Calculation 2 3 2 3 2 8" xfId="2398"/>
    <cellStyle name="Calculation 2 3 2 3 2 9" xfId="2399"/>
    <cellStyle name="Calculation 2 3 2 3 3" xfId="2400"/>
    <cellStyle name="Calculation 2 3 2 3 3 2" xfId="2401"/>
    <cellStyle name="Calculation 2 3 2 3 3 2 2" xfId="2402"/>
    <cellStyle name="Calculation 2 3 2 3 3 2 2 2" xfId="2403"/>
    <cellStyle name="Calculation 2 3 2 3 3 2 2 2 2" xfId="2404"/>
    <cellStyle name="Calculation 2 3 2 3 3 2 2 3" xfId="2405"/>
    <cellStyle name="Calculation 2 3 2 3 3 2 2 3 2" xfId="2406"/>
    <cellStyle name="Calculation 2 3 2 3 3 2 2 4" xfId="2407"/>
    <cellStyle name="Calculation 2 3 2 3 3 2 2 5" xfId="2408"/>
    <cellStyle name="Calculation 2 3 2 3 3 2 2 6" xfId="2409"/>
    <cellStyle name="Calculation 2 3 2 3 3 2 3" xfId="2410"/>
    <cellStyle name="Calculation 2 3 2 3 3 2 3 2" xfId="2411"/>
    <cellStyle name="Calculation 2 3 2 3 3 2 4" xfId="2412"/>
    <cellStyle name="Calculation 2 3 2 3 3 2 4 2" xfId="2413"/>
    <cellStyle name="Calculation 2 3 2 3 3 2 5" xfId="2414"/>
    <cellStyle name="Calculation 2 3 2 3 3 2 6" xfId="2415"/>
    <cellStyle name="Calculation 2 3 2 3 3 2 7" xfId="2416"/>
    <cellStyle name="Calculation 2 3 2 3 3 3" xfId="2417"/>
    <cellStyle name="Calculation 2 3 2 3 3 3 2" xfId="2418"/>
    <cellStyle name="Calculation 2 3 2 3 3 3 2 2" xfId="2419"/>
    <cellStyle name="Calculation 2 3 2 3 3 3 3" xfId="2420"/>
    <cellStyle name="Calculation 2 3 2 3 3 3 3 2" xfId="2421"/>
    <cellStyle name="Calculation 2 3 2 3 3 3 4" xfId="2422"/>
    <cellStyle name="Calculation 2 3 2 3 3 3 5" xfId="2423"/>
    <cellStyle name="Calculation 2 3 2 3 3 3 6" xfId="2424"/>
    <cellStyle name="Calculation 2 3 2 3 3 4" xfId="2425"/>
    <cellStyle name="Calculation 2 3 2 3 3 4 2" xfId="2426"/>
    <cellStyle name="Calculation 2 3 2 3 3 5" xfId="2427"/>
    <cellStyle name="Calculation 2 3 2 3 3 5 2" xfId="2428"/>
    <cellStyle name="Calculation 2 3 2 3 3 6" xfId="2429"/>
    <cellStyle name="Calculation 2 3 2 3 3 7" xfId="2430"/>
    <cellStyle name="Calculation 2 3 2 3 3 8" xfId="2431"/>
    <cellStyle name="Calculation 2 3 2 3 4" xfId="2432"/>
    <cellStyle name="Calculation 2 3 2 3 4 2" xfId="2433"/>
    <cellStyle name="Calculation 2 3 2 3 4 2 2" xfId="2434"/>
    <cellStyle name="Calculation 2 3 2 3 4 2 2 2" xfId="2435"/>
    <cellStyle name="Calculation 2 3 2 3 4 2 3" xfId="2436"/>
    <cellStyle name="Calculation 2 3 2 3 4 2 3 2" xfId="2437"/>
    <cellStyle name="Calculation 2 3 2 3 4 2 4" xfId="2438"/>
    <cellStyle name="Calculation 2 3 2 3 4 2 5" xfId="2439"/>
    <cellStyle name="Calculation 2 3 2 3 4 2 6" xfId="2440"/>
    <cellStyle name="Calculation 2 3 2 3 4 3" xfId="2441"/>
    <cellStyle name="Calculation 2 3 2 3 4 3 2" xfId="2442"/>
    <cellStyle name="Calculation 2 3 2 3 4 4" xfId="2443"/>
    <cellStyle name="Calculation 2 3 2 3 4 4 2" xfId="2444"/>
    <cellStyle name="Calculation 2 3 2 3 4 5" xfId="2445"/>
    <cellStyle name="Calculation 2 3 2 3 4 6" xfId="2446"/>
    <cellStyle name="Calculation 2 3 2 3 4 7" xfId="2447"/>
    <cellStyle name="Calculation 2 3 2 3 5" xfId="2448"/>
    <cellStyle name="Calculation 2 3 2 3 5 2" xfId="2449"/>
    <cellStyle name="Calculation 2 3 2 3 5 2 2" xfId="2450"/>
    <cellStyle name="Calculation 2 3 2 3 5 3" xfId="2451"/>
    <cellStyle name="Calculation 2 3 2 3 5 3 2" xfId="2452"/>
    <cellStyle name="Calculation 2 3 2 3 5 4" xfId="2453"/>
    <cellStyle name="Calculation 2 3 2 3 5 5" xfId="2454"/>
    <cellStyle name="Calculation 2 3 2 3 5 6" xfId="2455"/>
    <cellStyle name="Calculation 2 3 2 3 6" xfId="2456"/>
    <cellStyle name="Calculation 2 3 2 3 6 2" xfId="2457"/>
    <cellStyle name="Calculation 2 3 2 3 7" xfId="2458"/>
    <cellStyle name="Calculation 2 3 2 3 7 2" xfId="2459"/>
    <cellStyle name="Calculation 2 3 2 3 8" xfId="2460"/>
    <cellStyle name="Calculation 2 3 2 3 9" xfId="2461"/>
    <cellStyle name="Calculation 2 3 2 4" xfId="2462"/>
    <cellStyle name="Calculation 2 3 2 4 10" xfId="2463"/>
    <cellStyle name="Calculation 2 3 2 4 2" xfId="2464"/>
    <cellStyle name="Calculation 2 3 2 4 2 2" xfId="2465"/>
    <cellStyle name="Calculation 2 3 2 4 2 2 2" xfId="2466"/>
    <cellStyle name="Calculation 2 3 2 4 2 2 2 2" xfId="2467"/>
    <cellStyle name="Calculation 2 3 2 4 2 2 2 2 2" xfId="2468"/>
    <cellStyle name="Calculation 2 3 2 4 2 2 2 3" xfId="2469"/>
    <cellStyle name="Calculation 2 3 2 4 2 2 2 3 2" xfId="2470"/>
    <cellStyle name="Calculation 2 3 2 4 2 2 2 4" xfId="2471"/>
    <cellStyle name="Calculation 2 3 2 4 2 2 2 5" xfId="2472"/>
    <cellStyle name="Calculation 2 3 2 4 2 2 2 6" xfId="2473"/>
    <cellStyle name="Calculation 2 3 2 4 2 2 3" xfId="2474"/>
    <cellStyle name="Calculation 2 3 2 4 2 2 3 2" xfId="2475"/>
    <cellStyle name="Calculation 2 3 2 4 2 2 4" xfId="2476"/>
    <cellStyle name="Calculation 2 3 2 4 2 2 4 2" xfId="2477"/>
    <cellStyle name="Calculation 2 3 2 4 2 2 5" xfId="2478"/>
    <cellStyle name="Calculation 2 3 2 4 2 2 6" xfId="2479"/>
    <cellStyle name="Calculation 2 3 2 4 2 2 7" xfId="2480"/>
    <cellStyle name="Calculation 2 3 2 4 2 3" xfId="2481"/>
    <cellStyle name="Calculation 2 3 2 4 2 3 2" xfId="2482"/>
    <cellStyle name="Calculation 2 3 2 4 2 3 2 2" xfId="2483"/>
    <cellStyle name="Calculation 2 3 2 4 2 3 3" xfId="2484"/>
    <cellStyle name="Calculation 2 3 2 4 2 3 3 2" xfId="2485"/>
    <cellStyle name="Calculation 2 3 2 4 2 3 4" xfId="2486"/>
    <cellStyle name="Calculation 2 3 2 4 2 3 5" xfId="2487"/>
    <cellStyle name="Calculation 2 3 2 4 2 3 6" xfId="2488"/>
    <cellStyle name="Calculation 2 3 2 4 2 4" xfId="2489"/>
    <cellStyle name="Calculation 2 3 2 4 2 4 2" xfId="2490"/>
    <cellStyle name="Calculation 2 3 2 4 2 5" xfId="2491"/>
    <cellStyle name="Calculation 2 3 2 4 2 5 2" xfId="2492"/>
    <cellStyle name="Calculation 2 3 2 4 2 6" xfId="2493"/>
    <cellStyle name="Calculation 2 3 2 4 2 7" xfId="2494"/>
    <cellStyle name="Calculation 2 3 2 4 2 8" xfId="2495"/>
    <cellStyle name="Calculation 2 3 2 4 3" xfId="2496"/>
    <cellStyle name="Calculation 2 3 2 4 3 2" xfId="2497"/>
    <cellStyle name="Calculation 2 3 2 4 3 2 2" xfId="2498"/>
    <cellStyle name="Calculation 2 3 2 4 3 2 2 2" xfId="2499"/>
    <cellStyle name="Calculation 2 3 2 4 3 2 2 2 2" xfId="2500"/>
    <cellStyle name="Calculation 2 3 2 4 3 2 2 3" xfId="2501"/>
    <cellStyle name="Calculation 2 3 2 4 3 2 2 3 2" xfId="2502"/>
    <cellStyle name="Calculation 2 3 2 4 3 2 2 4" xfId="2503"/>
    <cellStyle name="Calculation 2 3 2 4 3 2 2 5" xfId="2504"/>
    <cellStyle name="Calculation 2 3 2 4 3 2 2 6" xfId="2505"/>
    <cellStyle name="Calculation 2 3 2 4 3 2 3" xfId="2506"/>
    <cellStyle name="Calculation 2 3 2 4 3 2 3 2" xfId="2507"/>
    <cellStyle name="Calculation 2 3 2 4 3 2 4" xfId="2508"/>
    <cellStyle name="Calculation 2 3 2 4 3 2 4 2" xfId="2509"/>
    <cellStyle name="Calculation 2 3 2 4 3 2 5" xfId="2510"/>
    <cellStyle name="Calculation 2 3 2 4 3 2 6" xfId="2511"/>
    <cellStyle name="Calculation 2 3 2 4 3 2 7" xfId="2512"/>
    <cellStyle name="Calculation 2 3 2 4 3 3" xfId="2513"/>
    <cellStyle name="Calculation 2 3 2 4 3 3 2" xfId="2514"/>
    <cellStyle name="Calculation 2 3 2 4 3 3 2 2" xfId="2515"/>
    <cellStyle name="Calculation 2 3 2 4 3 3 3" xfId="2516"/>
    <cellStyle name="Calculation 2 3 2 4 3 3 3 2" xfId="2517"/>
    <cellStyle name="Calculation 2 3 2 4 3 3 4" xfId="2518"/>
    <cellStyle name="Calculation 2 3 2 4 3 3 5" xfId="2519"/>
    <cellStyle name="Calculation 2 3 2 4 3 3 6" xfId="2520"/>
    <cellStyle name="Calculation 2 3 2 4 3 4" xfId="2521"/>
    <cellStyle name="Calculation 2 3 2 4 3 4 2" xfId="2522"/>
    <cellStyle name="Calculation 2 3 2 4 3 5" xfId="2523"/>
    <cellStyle name="Calculation 2 3 2 4 3 5 2" xfId="2524"/>
    <cellStyle name="Calculation 2 3 2 4 3 6" xfId="2525"/>
    <cellStyle name="Calculation 2 3 2 4 3 7" xfId="2526"/>
    <cellStyle name="Calculation 2 3 2 4 3 8" xfId="2527"/>
    <cellStyle name="Calculation 2 3 2 4 4" xfId="2528"/>
    <cellStyle name="Calculation 2 3 2 4 4 2" xfId="2529"/>
    <cellStyle name="Calculation 2 3 2 4 4 2 2" xfId="2530"/>
    <cellStyle name="Calculation 2 3 2 4 4 2 2 2" xfId="2531"/>
    <cellStyle name="Calculation 2 3 2 4 4 2 3" xfId="2532"/>
    <cellStyle name="Calculation 2 3 2 4 4 2 3 2" xfId="2533"/>
    <cellStyle name="Calculation 2 3 2 4 4 2 4" xfId="2534"/>
    <cellStyle name="Calculation 2 3 2 4 4 2 5" xfId="2535"/>
    <cellStyle name="Calculation 2 3 2 4 4 2 6" xfId="2536"/>
    <cellStyle name="Calculation 2 3 2 4 4 3" xfId="2537"/>
    <cellStyle name="Calculation 2 3 2 4 4 3 2" xfId="2538"/>
    <cellStyle name="Calculation 2 3 2 4 4 4" xfId="2539"/>
    <cellStyle name="Calculation 2 3 2 4 4 4 2" xfId="2540"/>
    <cellStyle name="Calculation 2 3 2 4 4 5" xfId="2541"/>
    <cellStyle name="Calculation 2 3 2 4 4 6" xfId="2542"/>
    <cellStyle name="Calculation 2 3 2 4 4 7" xfId="2543"/>
    <cellStyle name="Calculation 2 3 2 4 5" xfId="2544"/>
    <cellStyle name="Calculation 2 3 2 4 5 2" xfId="2545"/>
    <cellStyle name="Calculation 2 3 2 4 5 2 2" xfId="2546"/>
    <cellStyle name="Calculation 2 3 2 4 5 3" xfId="2547"/>
    <cellStyle name="Calculation 2 3 2 4 5 3 2" xfId="2548"/>
    <cellStyle name="Calculation 2 3 2 4 5 4" xfId="2549"/>
    <cellStyle name="Calculation 2 3 2 4 5 5" xfId="2550"/>
    <cellStyle name="Calculation 2 3 2 4 5 6" xfId="2551"/>
    <cellStyle name="Calculation 2 3 2 4 6" xfId="2552"/>
    <cellStyle name="Calculation 2 3 2 4 6 2" xfId="2553"/>
    <cellStyle name="Calculation 2 3 2 4 7" xfId="2554"/>
    <cellStyle name="Calculation 2 3 2 4 7 2" xfId="2555"/>
    <cellStyle name="Calculation 2 3 2 4 8" xfId="2556"/>
    <cellStyle name="Calculation 2 3 2 4 9" xfId="2557"/>
    <cellStyle name="Calculation 2 3 2 5" xfId="2558"/>
    <cellStyle name="Calculation 2 3 2 5 2" xfId="2559"/>
    <cellStyle name="Calculation 2 3 2 5 2 2" xfId="2560"/>
    <cellStyle name="Calculation 2 3 2 5 2 2 2" xfId="2561"/>
    <cellStyle name="Calculation 2 3 2 5 2 2 2 2" xfId="2562"/>
    <cellStyle name="Calculation 2 3 2 5 2 2 3" xfId="2563"/>
    <cellStyle name="Calculation 2 3 2 5 2 2 3 2" xfId="2564"/>
    <cellStyle name="Calculation 2 3 2 5 2 2 4" xfId="2565"/>
    <cellStyle name="Calculation 2 3 2 5 2 2 5" xfId="2566"/>
    <cellStyle name="Calculation 2 3 2 5 2 2 6" xfId="2567"/>
    <cellStyle name="Calculation 2 3 2 5 2 3" xfId="2568"/>
    <cellStyle name="Calculation 2 3 2 5 2 3 2" xfId="2569"/>
    <cellStyle name="Calculation 2 3 2 5 2 4" xfId="2570"/>
    <cellStyle name="Calculation 2 3 2 5 2 4 2" xfId="2571"/>
    <cellStyle name="Calculation 2 3 2 5 2 5" xfId="2572"/>
    <cellStyle name="Calculation 2 3 2 5 2 6" xfId="2573"/>
    <cellStyle name="Calculation 2 3 2 5 2 7" xfId="2574"/>
    <cellStyle name="Calculation 2 3 2 5 3" xfId="2575"/>
    <cellStyle name="Calculation 2 3 2 5 3 2" xfId="2576"/>
    <cellStyle name="Calculation 2 3 2 5 3 2 2" xfId="2577"/>
    <cellStyle name="Calculation 2 3 2 5 3 3" xfId="2578"/>
    <cellStyle name="Calculation 2 3 2 5 3 3 2" xfId="2579"/>
    <cellStyle name="Calculation 2 3 2 5 3 4" xfId="2580"/>
    <cellStyle name="Calculation 2 3 2 5 3 5" xfId="2581"/>
    <cellStyle name="Calculation 2 3 2 5 3 6" xfId="2582"/>
    <cellStyle name="Calculation 2 3 2 5 4" xfId="2583"/>
    <cellStyle name="Calculation 2 3 2 5 4 2" xfId="2584"/>
    <cellStyle name="Calculation 2 3 2 5 5" xfId="2585"/>
    <cellStyle name="Calculation 2 3 2 5 5 2" xfId="2586"/>
    <cellStyle name="Calculation 2 3 2 5 6" xfId="2587"/>
    <cellStyle name="Calculation 2 3 2 5 7" xfId="2588"/>
    <cellStyle name="Calculation 2 3 2 5 8" xfId="2589"/>
    <cellStyle name="Calculation 2 3 2 6" xfId="2590"/>
    <cellStyle name="Calculation 2 3 2 6 2" xfId="2591"/>
    <cellStyle name="Calculation 2 3 2 6 2 2" xfId="2592"/>
    <cellStyle name="Calculation 2 3 2 6 2 2 2" xfId="2593"/>
    <cellStyle name="Calculation 2 3 2 6 2 3" xfId="2594"/>
    <cellStyle name="Calculation 2 3 2 6 2 3 2" xfId="2595"/>
    <cellStyle name="Calculation 2 3 2 6 2 4" xfId="2596"/>
    <cellStyle name="Calculation 2 3 2 6 2 5" xfId="2597"/>
    <cellStyle name="Calculation 2 3 2 6 2 6" xfId="2598"/>
    <cellStyle name="Calculation 2 3 2 6 3" xfId="2599"/>
    <cellStyle name="Calculation 2 3 2 6 3 2" xfId="2600"/>
    <cellStyle name="Calculation 2 3 2 6 4" xfId="2601"/>
    <cellStyle name="Calculation 2 3 2 6 4 2" xfId="2602"/>
    <cellStyle name="Calculation 2 3 2 6 5" xfId="2603"/>
    <cellStyle name="Calculation 2 3 2 6 6" xfId="2604"/>
    <cellStyle name="Calculation 2 3 2 6 7" xfId="2605"/>
    <cellStyle name="Calculation 2 3 2 7" xfId="2606"/>
    <cellStyle name="Calculation 2 3 2 7 2" xfId="2607"/>
    <cellStyle name="Calculation 2 3 2 7 2 2" xfId="2608"/>
    <cellStyle name="Calculation 2 3 2 7 3" xfId="2609"/>
    <cellStyle name="Calculation 2 3 2 7 3 2" xfId="2610"/>
    <cellStyle name="Calculation 2 3 2 7 4" xfId="2611"/>
    <cellStyle name="Calculation 2 3 2 7 5" xfId="2612"/>
    <cellStyle name="Calculation 2 3 2 7 6" xfId="2613"/>
    <cellStyle name="Calculation 2 3 2 8" xfId="2614"/>
    <cellStyle name="Calculation 2 3 2 8 2" xfId="2615"/>
    <cellStyle name="Calculation 2 3 2 9" xfId="2616"/>
    <cellStyle name="Calculation 2 3 2 9 2" xfId="2617"/>
    <cellStyle name="Calculation 2 3 3" xfId="2618"/>
    <cellStyle name="Calculation 2 3 3 10" xfId="2619"/>
    <cellStyle name="Calculation 2 3 3 11" xfId="2620"/>
    <cellStyle name="Calculation 2 3 3 2" xfId="2621"/>
    <cellStyle name="Calculation 2 3 3 2 10" xfId="2622"/>
    <cellStyle name="Calculation 2 3 3 2 2" xfId="2623"/>
    <cellStyle name="Calculation 2 3 3 2 2 10" xfId="2624"/>
    <cellStyle name="Calculation 2 3 3 2 2 2" xfId="2625"/>
    <cellStyle name="Calculation 2 3 3 2 2 2 2" xfId="2626"/>
    <cellStyle name="Calculation 2 3 3 2 2 2 2 2" xfId="2627"/>
    <cellStyle name="Calculation 2 3 3 2 2 2 2 2 2" xfId="2628"/>
    <cellStyle name="Calculation 2 3 3 2 2 2 2 2 2 2" xfId="2629"/>
    <cellStyle name="Calculation 2 3 3 2 2 2 2 2 3" xfId="2630"/>
    <cellStyle name="Calculation 2 3 3 2 2 2 2 2 3 2" xfId="2631"/>
    <cellStyle name="Calculation 2 3 3 2 2 2 2 2 4" xfId="2632"/>
    <cellStyle name="Calculation 2 3 3 2 2 2 2 2 5" xfId="2633"/>
    <cellStyle name="Calculation 2 3 3 2 2 2 2 2 6" xfId="2634"/>
    <cellStyle name="Calculation 2 3 3 2 2 2 2 3" xfId="2635"/>
    <cellStyle name="Calculation 2 3 3 2 2 2 2 3 2" xfId="2636"/>
    <cellStyle name="Calculation 2 3 3 2 2 2 2 4" xfId="2637"/>
    <cellStyle name="Calculation 2 3 3 2 2 2 2 4 2" xfId="2638"/>
    <cellStyle name="Calculation 2 3 3 2 2 2 2 5" xfId="2639"/>
    <cellStyle name="Calculation 2 3 3 2 2 2 2 6" xfId="2640"/>
    <cellStyle name="Calculation 2 3 3 2 2 2 2 7" xfId="2641"/>
    <cellStyle name="Calculation 2 3 3 2 2 2 3" xfId="2642"/>
    <cellStyle name="Calculation 2 3 3 2 2 2 3 2" xfId="2643"/>
    <cellStyle name="Calculation 2 3 3 2 2 2 3 2 2" xfId="2644"/>
    <cellStyle name="Calculation 2 3 3 2 2 2 3 3" xfId="2645"/>
    <cellStyle name="Calculation 2 3 3 2 2 2 3 3 2" xfId="2646"/>
    <cellStyle name="Calculation 2 3 3 2 2 2 3 4" xfId="2647"/>
    <cellStyle name="Calculation 2 3 3 2 2 2 3 5" xfId="2648"/>
    <cellStyle name="Calculation 2 3 3 2 2 2 3 6" xfId="2649"/>
    <cellStyle name="Calculation 2 3 3 2 2 2 4" xfId="2650"/>
    <cellStyle name="Calculation 2 3 3 2 2 2 4 2" xfId="2651"/>
    <cellStyle name="Calculation 2 3 3 2 2 2 5" xfId="2652"/>
    <cellStyle name="Calculation 2 3 3 2 2 2 5 2" xfId="2653"/>
    <cellStyle name="Calculation 2 3 3 2 2 2 6" xfId="2654"/>
    <cellStyle name="Calculation 2 3 3 2 2 2 7" xfId="2655"/>
    <cellStyle name="Calculation 2 3 3 2 2 2 8" xfId="2656"/>
    <cellStyle name="Calculation 2 3 3 2 2 3" xfId="2657"/>
    <cellStyle name="Calculation 2 3 3 2 2 3 2" xfId="2658"/>
    <cellStyle name="Calculation 2 3 3 2 2 3 2 2" xfId="2659"/>
    <cellStyle name="Calculation 2 3 3 2 2 3 2 2 2" xfId="2660"/>
    <cellStyle name="Calculation 2 3 3 2 2 3 2 2 2 2" xfId="2661"/>
    <cellStyle name="Calculation 2 3 3 2 2 3 2 2 3" xfId="2662"/>
    <cellStyle name="Calculation 2 3 3 2 2 3 2 2 3 2" xfId="2663"/>
    <cellStyle name="Calculation 2 3 3 2 2 3 2 2 4" xfId="2664"/>
    <cellStyle name="Calculation 2 3 3 2 2 3 2 2 5" xfId="2665"/>
    <cellStyle name="Calculation 2 3 3 2 2 3 2 2 6" xfId="2666"/>
    <cellStyle name="Calculation 2 3 3 2 2 3 2 3" xfId="2667"/>
    <cellStyle name="Calculation 2 3 3 2 2 3 2 3 2" xfId="2668"/>
    <cellStyle name="Calculation 2 3 3 2 2 3 2 4" xfId="2669"/>
    <cellStyle name="Calculation 2 3 3 2 2 3 2 4 2" xfId="2670"/>
    <cellStyle name="Calculation 2 3 3 2 2 3 2 5" xfId="2671"/>
    <cellStyle name="Calculation 2 3 3 2 2 3 2 6" xfId="2672"/>
    <cellStyle name="Calculation 2 3 3 2 2 3 2 7" xfId="2673"/>
    <cellStyle name="Calculation 2 3 3 2 2 3 3" xfId="2674"/>
    <cellStyle name="Calculation 2 3 3 2 2 3 3 2" xfId="2675"/>
    <cellStyle name="Calculation 2 3 3 2 2 3 3 2 2" xfId="2676"/>
    <cellStyle name="Calculation 2 3 3 2 2 3 3 3" xfId="2677"/>
    <cellStyle name="Calculation 2 3 3 2 2 3 3 3 2" xfId="2678"/>
    <cellStyle name="Calculation 2 3 3 2 2 3 3 4" xfId="2679"/>
    <cellStyle name="Calculation 2 3 3 2 2 3 3 5" xfId="2680"/>
    <cellStyle name="Calculation 2 3 3 2 2 3 3 6" xfId="2681"/>
    <cellStyle name="Calculation 2 3 3 2 2 3 4" xfId="2682"/>
    <cellStyle name="Calculation 2 3 3 2 2 3 4 2" xfId="2683"/>
    <cellStyle name="Calculation 2 3 3 2 2 3 5" xfId="2684"/>
    <cellStyle name="Calculation 2 3 3 2 2 3 5 2" xfId="2685"/>
    <cellStyle name="Calculation 2 3 3 2 2 3 6" xfId="2686"/>
    <cellStyle name="Calculation 2 3 3 2 2 3 7" xfId="2687"/>
    <cellStyle name="Calculation 2 3 3 2 2 3 8" xfId="2688"/>
    <cellStyle name="Calculation 2 3 3 2 2 4" xfId="2689"/>
    <cellStyle name="Calculation 2 3 3 2 2 4 2" xfId="2690"/>
    <cellStyle name="Calculation 2 3 3 2 2 4 2 2" xfId="2691"/>
    <cellStyle name="Calculation 2 3 3 2 2 4 2 2 2" xfId="2692"/>
    <cellStyle name="Calculation 2 3 3 2 2 4 2 3" xfId="2693"/>
    <cellStyle name="Calculation 2 3 3 2 2 4 2 3 2" xfId="2694"/>
    <cellStyle name="Calculation 2 3 3 2 2 4 2 4" xfId="2695"/>
    <cellStyle name="Calculation 2 3 3 2 2 4 2 5" xfId="2696"/>
    <cellStyle name="Calculation 2 3 3 2 2 4 2 6" xfId="2697"/>
    <cellStyle name="Calculation 2 3 3 2 2 4 3" xfId="2698"/>
    <cellStyle name="Calculation 2 3 3 2 2 4 3 2" xfId="2699"/>
    <cellStyle name="Calculation 2 3 3 2 2 4 4" xfId="2700"/>
    <cellStyle name="Calculation 2 3 3 2 2 4 4 2" xfId="2701"/>
    <cellStyle name="Calculation 2 3 3 2 2 4 5" xfId="2702"/>
    <cellStyle name="Calculation 2 3 3 2 2 4 6" xfId="2703"/>
    <cellStyle name="Calculation 2 3 3 2 2 4 7" xfId="2704"/>
    <cellStyle name="Calculation 2 3 3 2 2 5" xfId="2705"/>
    <cellStyle name="Calculation 2 3 3 2 2 5 2" xfId="2706"/>
    <cellStyle name="Calculation 2 3 3 2 2 5 2 2" xfId="2707"/>
    <cellStyle name="Calculation 2 3 3 2 2 5 3" xfId="2708"/>
    <cellStyle name="Calculation 2 3 3 2 2 5 3 2" xfId="2709"/>
    <cellStyle name="Calculation 2 3 3 2 2 5 4" xfId="2710"/>
    <cellStyle name="Calculation 2 3 3 2 2 5 5" xfId="2711"/>
    <cellStyle name="Calculation 2 3 3 2 2 5 6" xfId="2712"/>
    <cellStyle name="Calculation 2 3 3 2 2 6" xfId="2713"/>
    <cellStyle name="Calculation 2 3 3 2 2 6 2" xfId="2714"/>
    <cellStyle name="Calculation 2 3 3 2 2 7" xfId="2715"/>
    <cellStyle name="Calculation 2 3 3 2 2 7 2" xfId="2716"/>
    <cellStyle name="Calculation 2 3 3 2 2 8" xfId="2717"/>
    <cellStyle name="Calculation 2 3 3 2 2 9" xfId="2718"/>
    <cellStyle name="Calculation 2 3 3 2 3" xfId="2719"/>
    <cellStyle name="Calculation 2 3 3 2 3 2" xfId="2720"/>
    <cellStyle name="Calculation 2 3 3 2 3 2 2" xfId="2721"/>
    <cellStyle name="Calculation 2 3 3 2 3 2 2 2" xfId="2722"/>
    <cellStyle name="Calculation 2 3 3 2 3 2 2 2 2" xfId="2723"/>
    <cellStyle name="Calculation 2 3 3 2 3 2 2 3" xfId="2724"/>
    <cellStyle name="Calculation 2 3 3 2 3 2 2 3 2" xfId="2725"/>
    <cellStyle name="Calculation 2 3 3 2 3 2 2 4" xfId="2726"/>
    <cellStyle name="Calculation 2 3 3 2 3 2 2 5" xfId="2727"/>
    <cellStyle name="Calculation 2 3 3 2 3 2 2 6" xfId="2728"/>
    <cellStyle name="Calculation 2 3 3 2 3 2 3" xfId="2729"/>
    <cellStyle name="Calculation 2 3 3 2 3 2 3 2" xfId="2730"/>
    <cellStyle name="Calculation 2 3 3 2 3 2 4" xfId="2731"/>
    <cellStyle name="Calculation 2 3 3 2 3 2 4 2" xfId="2732"/>
    <cellStyle name="Calculation 2 3 3 2 3 2 5" xfId="2733"/>
    <cellStyle name="Calculation 2 3 3 2 3 2 6" xfId="2734"/>
    <cellStyle name="Calculation 2 3 3 2 3 2 7" xfId="2735"/>
    <cellStyle name="Calculation 2 3 3 2 3 3" xfId="2736"/>
    <cellStyle name="Calculation 2 3 3 2 3 3 2" xfId="2737"/>
    <cellStyle name="Calculation 2 3 3 2 3 3 2 2" xfId="2738"/>
    <cellStyle name="Calculation 2 3 3 2 3 3 3" xfId="2739"/>
    <cellStyle name="Calculation 2 3 3 2 3 3 3 2" xfId="2740"/>
    <cellStyle name="Calculation 2 3 3 2 3 3 4" xfId="2741"/>
    <cellStyle name="Calculation 2 3 3 2 3 3 5" xfId="2742"/>
    <cellStyle name="Calculation 2 3 3 2 3 3 6" xfId="2743"/>
    <cellStyle name="Calculation 2 3 3 2 3 4" xfId="2744"/>
    <cellStyle name="Calculation 2 3 3 2 3 4 2" xfId="2745"/>
    <cellStyle name="Calculation 2 3 3 2 3 5" xfId="2746"/>
    <cellStyle name="Calculation 2 3 3 2 3 5 2" xfId="2747"/>
    <cellStyle name="Calculation 2 3 3 2 3 6" xfId="2748"/>
    <cellStyle name="Calculation 2 3 3 2 3 7" xfId="2749"/>
    <cellStyle name="Calculation 2 3 3 2 3 8" xfId="2750"/>
    <cellStyle name="Calculation 2 3 3 2 4" xfId="2751"/>
    <cellStyle name="Calculation 2 3 3 2 4 2" xfId="2752"/>
    <cellStyle name="Calculation 2 3 3 2 4 2 2" xfId="2753"/>
    <cellStyle name="Calculation 2 3 3 2 4 2 2 2" xfId="2754"/>
    <cellStyle name="Calculation 2 3 3 2 4 2 3" xfId="2755"/>
    <cellStyle name="Calculation 2 3 3 2 4 2 3 2" xfId="2756"/>
    <cellStyle name="Calculation 2 3 3 2 4 2 4" xfId="2757"/>
    <cellStyle name="Calculation 2 3 3 2 4 2 5" xfId="2758"/>
    <cellStyle name="Calculation 2 3 3 2 4 2 6" xfId="2759"/>
    <cellStyle name="Calculation 2 3 3 2 4 3" xfId="2760"/>
    <cellStyle name="Calculation 2 3 3 2 4 3 2" xfId="2761"/>
    <cellStyle name="Calculation 2 3 3 2 4 4" xfId="2762"/>
    <cellStyle name="Calculation 2 3 3 2 4 4 2" xfId="2763"/>
    <cellStyle name="Calculation 2 3 3 2 4 5" xfId="2764"/>
    <cellStyle name="Calculation 2 3 3 2 4 6" xfId="2765"/>
    <cellStyle name="Calculation 2 3 3 2 4 7" xfId="2766"/>
    <cellStyle name="Calculation 2 3 3 2 5" xfId="2767"/>
    <cellStyle name="Calculation 2 3 3 2 5 2" xfId="2768"/>
    <cellStyle name="Calculation 2 3 3 2 5 2 2" xfId="2769"/>
    <cellStyle name="Calculation 2 3 3 2 5 3" xfId="2770"/>
    <cellStyle name="Calculation 2 3 3 2 5 3 2" xfId="2771"/>
    <cellStyle name="Calculation 2 3 3 2 5 4" xfId="2772"/>
    <cellStyle name="Calculation 2 3 3 2 5 5" xfId="2773"/>
    <cellStyle name="Calculation 2 3 3 2 5 6" xfId="2774"/>
    <cellStyle name="Calculation 2 3 3 2 6" xfId="2775"/>
    <cellStyle name="Calculation 2 3 3 2 6 2" xfId="2776"/>
    <cellStyle name="Calculation 2 3 3 2 7" xfId="2777"/>
    <cellStyle name="Calculation 2 3 3 2 7 2" xfId="2778"/>
    <cellStyle name="Calculation 2 3 3 2 8" xfId="2779"/>
    <cellStyle name="Calculation 2 3 3 2 9" xfId="2780"/>
    <cellStyle name="Calculation 2 3 3 3" xfId="2781"/>
    <cellStyle name="Calculation 2 3 3 3 10" xfId="2782"/>
    <cellStyle name="Calculation 2 3 3 3 2" xfId="2783"/>
    <cellStyle name="Calculation 2 3 3 3 2 2" xfId="2784"/>
    <cellStyle name="Calculation 2 3 3 3 2 2 2" xfId="2785"/>
    <cellStyle name="Calculation 2 3 3 3 2 2 2 2" xfId="2786"/>
    <cellStyle name="Calculation 2 3 3 3 2 2 2 2 2" xfId="2787"/>
    <cellStyle name="Calculation 2 3 3 3 2 2 2 3" xfId="2788"/>
    <cellStyle name="Calculation 2 3 3 3 2 2 2 3 2" xfId="2789"/>
    <cellStyle name="Calculation 2 3 3 3 2 2 2 4" xfId="2790"/>
    <cellStyle name="Calculation 2 3 3 3 2 2 2 5" xfId="2791"/>
    <cellStyle name="Calculation 2 3 3 3 2 2 2 6" xfId="2792"/>
    <cellStyle name="Calculation 2 3 3 3 2 2 3" xfId="2793"/>
    <cellStyle name="Calculation 2 3 3 3 2 2 3 2" xfId="2794"/>
    <cellStyle name="Calculation 2 3 3 3 2 2 4" xfId="2795"/>
    <cellStyle name="Calculation 2 3 3 3 2 2 4 2" xfId="2796"/>
    <cellStyle name="Calculation 2 3 3 3 2 2 5" xfId="2797"/>
    <cellStyle name="Calculation 2 3 3 3 2 2 6" xfId="2798"/>
    <cellStyle name="Calculation 2 3 3 3 2 2 7" xfId="2799"/>
    <cellStyle name="Calculation 2 3 3 3 2 3" xfId="2800"/>
    <cellStyle name="Calculation 2 3 3 3 2 3 2" xfId="2801"/>
    <cellStyle name="Calculation 2 3 3 3 2 3 2 2" xfId="2802"/>
    <cellStyle name="Calculation 2 3 3 3 2 3 3" xfId="2803"/>
    <cellStyle name="Calculation 2 3 3 3 2 3 3 2" xfId="2804"/>
    <cellStyle name="Calculation 2 3 3 3 2 3 4" xfId="2805"/>
    <cellStyle name="Calculation 2 3 3 3 2 3 5" xfId="2806"/>
    <cellStyle name="Calculation 2 3 3 3 2 3 6" xfId="2807"/>
    <cellStyle name="Calculation 2 3 3 3 2 4" xfId="2808"/>
    <cellStyle name="Calculation 2 3 3 3 2 4 2" xfId="2809"/>
    <cellStyle name="Calculation 2 3 3 3 2 5" xfId="2810"/>
    <cellStyle name="Calculation 2 3 3 3 2 5 2" xfId="2811"/>
    <cellStyle name="Calculation 2 3 3 3 2 6" xfId="2812"/>
    <cellStyle name="Calculation 2 3 3 3 2 7" xfId="2813"/>
    <cellStyle name="Calculation 2 3 3 3 2 8" xfId="2814"/>
    <cellStyle name="Calculation 2 3 3 3 3" xfId="2815"/>
    <cellStyle name="Calculation 2 3 3 3 3 2" xfId="2816"/>
    <cellStyle name="Calculation 2 3 3 3 3 2 2" xfId="2817"/>
    <cellStyle name="Calculation 2 3 3 3 3 2 2 2" xfId="2818"/>
    <cellStyle name="Calculation 2 3 3 3 3 2 2 2 2" xfId="2819"/>
    <cellStyle name="Calculation 2 3 3 3 3 2 2 3" xfId="2820"/>
    <cellStyle name="Calculation 2 3 3 3 3 2 2 3 2" xfId="2821"/>
    <cellStyle name="Calculation 2 3 3 3 3 2 2 4" xfId="2822"/>
    <cellStyle name="Calculation 2 3 3 3 3 2 2 5" xfId="2823"/>
    <cellStyle name="Calculation 2 3 3 3 3 2 2 6" xfId="2824"/>
    <cellStyle name="Calculation 2 3 3 3 3 2 3" xfId="2825"/>
    <cellStyle name="Calculation 2 3 3 3 3 2 3 2" xfId="2826"/>
    <cellStyle name="Calculation 2 3 3 3 3 2 4" xfId="2827"/>
    <cellStyle name="Calculation 2 3 3 3 3 2 4 2" xfId="2828"/>
    <cellStyle name="Calculation 2 3 3 3 3 2 5" xfId="2829"/>
    <cellStyle name="Calculation 2 3 3 3 3 2 6" xfId="2830"/>
    <cellStyle name="Calculation 2 3 3 3 3 2 7" xfId="2831"/>
    <cellStyle name="Calculation 2 3 3 3 3 3" xfId="2832"/>
    <cellStyle name="Calculation 2 3 3 3 3 3 2" xfId="2833"/>
    <cellStyle name="Calculation 2 3 3 3 3 3 2 2" xfId="2834"/>
    <cellStyle name="Calculation 2 3 3 3 3 3 3" xfId="2835"/>
    <cellStyle name="Calculation 2 3 3 3 3 3 3 2" xfId="2836"/>
    <cellStyle name="Calculation 2 3 3 3 3 3 4" xfId="2837"/>
    <cellStyle name="Calculation 2 3 3 3 3 3 5" xfId="2838"/>
    <cellStyle name="Calculation 2 3 3 3 3 3 6" xfId="2839"/>
    <cellStyle name="Calculation 2 3 3 3 3 4" xfId="2840"/>
    <cellStyle name="Calculation 2 3 3 3 3 4 2" xfId="2841"/>
    <cellStyle name="Calculation 2 3 3 3 3 5" xfId="2842"/>
    <cellStyle name="Calculation 2 3 3 3 3 5 2" xfId="2843"/>
    <cellStyle name="Calculation 2 3 3 3 3 6" xfId="2844"/>
    <cellStyle name="Calculation 2 3 3 3 3 7" xfId="2845"/>
    <cellStyle name="Calculation 2 3 3 3 3 8" xfId="2846"/>
    <cellStyle name="Calculation 2 3 3 3 4" xfId="2847"/>
    <cellStyle name="Calculation 2 3 3 3 4 2" xfId="2848"/>
    <cellStyle name="Calculation 2 3 3 3 4 2 2" xfId="2849"/>
    <cellStyle name="Calculation 2 3 3 3 4 2 2 2" xfId="2850"/>
    <cellStyle name="Calculation 2 3 3 3 4 2 3" xfId="2851"/>
    <cellStyle name="Calculation 2 3 3 3 4 2 3 2" xfId="2852"/>
    <cellStyle name="Calculation 2 3 3 3 4 2 4" xfId="2853"/>
    <cellStyle name="Calculation 2 3 3 3 4 2 5" xfId="2854"/>
    <cellStyle name="Calculation 2 3 3 3 4 2 6" xfId="2855"/>
    <cellStyle name="Calculation 2 3 3 3 4 3" xfId="2856"/>
    <cellStyle name="Calculation 2 3 3 3 4 3 2" xfId="2857"/>
    <cellStyle name="Calculation 2 3 3 3 4 4" xfId="2858"/>
    <cellStyle name="Calculation 2 3 3 3 4 4 2" xfId="2859"/>
    <cellStyle name="Calculation 2 3 3 3 4 5" xfId="2860"/>
    <cellStyle name="Calculation 2 3 3 3 4 6" xfId="2861"/>
    <cellStyle name="Calculation 2 3 3 3 4 7" xfId="2862"/>
    <cellStyle name="Calculation 2 3 3 3 5" xfId="2863"/>
    <cellStyle name="Calculation 2 3 3 3 5 2" xfId="2864"/>
    <cellStyle name="Calculation 2 3 3 3 5 2 2" xfId="2865"/>
    <cellStyle name="Calculation 2 3 3 3 5 3" xfId="2866"/>
    <cellStyle name="Calculation 2 3 3 3 5 3 2" xfId="2867"/>
    <cellStyle name="Calculation 2 3 3 3 5 4" xfId="2868"/>
    <cellStyle name="Calculation 2 3 3 3 5 5" xfId="2869"/>
    <cellStyle name="Calculation 2 3 3 3 5 6" xfId="2870"/>
    <cellStyle name="Calculation 2 3 3 3 6" xfId="2871"/>
    <cellStyle name="Calculation 2 3 3 3 6 2" xfId="2872"/>
    <cellStyle name="Calculation 2 3 3 3 7" xfId="2873"/>
    <cellStyle name="Calculation 2 3 3 3 7 2" xfId="2874"/>
    <cellStyle name="Calculation 2 3 3 3 8" xfId="2875"/>
    <cellStyle name="Calculation 2 3 3 3 9" xfId="2876"/>
    <cellStyle name="Calculation 2 3 3 4" xfId="2877"/>
    <cellStyle name="Calculation 2 3 3 4 2" xfId="2878"/>
    <cellStyle name="Calculation 2 3 3 4 2 2" xfId="2879"/>
    <cellStyle name="Calculation 2 3 3 4 2 2 2" xfId="2880"/>
    <cellStyle name="Calculation 2 3 3 4 2 2 2 2" xfId="2881"/>
    <cellStyle name="Calculation 2 3 3 4 2 2 3" xfId="2882"/>
    <cellStyle name="Calculation 2 3 3 4 2 2 3 2" xfId="2883"/>
    <cellStyle name="Calculation 2 3 3 4 2 2 4" xfId="2884"/>
    <cellStyle name="Calculation 2 3 3 4 2 2 5" xfId="2885"/>
    <cellStyle name="Calculation 2 3 3 4 2 2 6" xfId="2886"/>
    <cellStyle name="Calculation 2 3 3 4 2 3" xfId="2887"/>
    <cellStyle name="Calculation 2 3 3 4 2 3 2" xfId="2888"/>
    <cellStyle name="Calculation 2 3 3 4 2 4" xfId="2889"/>
    <cellStyle name="Calculation 2 3 3 4 2 4 2" xfId="2890"/>
    <cellStyle name="Calculation 2 3 3 4 2 5" xfId="2891"/>
    <cellStyle name="Calculation 2 3 3 4 2 6" xfId="2892"/>
    <cellStyle name="Calculation 2 3 3 4 2 7" xfId="2893"/>
    <cellStyle name="Calculation 2 3 3 4 3" xfId="2894"/>
    <cellStyle name="Calculation 2 3 3 4 3 2" xfId="2895"/>
    <cellStyle name="Calculation 2 3 3 4 3 2 2" xfId="2896"/>
    <cellStyle name="Calculation 2 3 3 4 3 3" xfId="2897"/>
    <cellStyle name="Calculation 2 3 3 4 3 3 2" xfId="2898"/>
    <cellStyle name="Calculation 2 3 3 4 3 4" xfId="2899"/>
    <cellStyle name="Calculation 2 3 3 4 3 5" xfId="2900"/>
    <cellStyle name="Calculation 2 3 3 4 3 6" xfId="2901"/>
    <cellStyle name="Calculation 2 3 3 4 4" xfId="2902"/>
    <cellStyle name="Calculation 2 3 3 4 4 2" xfId="2903"/>
    <cellStyle name="Calculation 2 3 3 4 5" xfId="2904"/>
    <cellStyle name="Calculation 2 3 3 4 5 2" xfId="2905"/>
    <cellStyle name="Calculation 2 3 3 4 6" xfId="2906"/>
    <cellStyle name="Calculation 2 3 3 4 7" xfId="2907"/>
    <cellStyle name="Calculation 2 3 3 4 8" xfId="2908"/>
    <cellStyle name="Calculation 2 3 3 5" xfId="2909"/>
    <cellStyle name="Calculation 2 3 3 5 2" xfId="2910"/>
    <cellStyle name="Calculation 2 3 3 5 2 2" xfId="2911"/>
    <cellStyle name="Calculation 2 3 3 5 2 2 2" xfId="2912"/>
    <cellStyle name="Calculation 2 3 3 5 2 3" xfId="2913"/>
    <cellStyle name="Calculation 2 3 3 5 2 3 2" xfId="2914"/>
    <cellStyle name="Calculation 2 3 3 5 2 4" xfId="2915"/>
    <cellStyle name="Calculation 2 3 3 5 2 5" xfId="2916"/>
    <cellStyle name="Calculation 2 3 3 5 2 6" xfId="2917"/>
    <cellStyle name="Calculation 2 3 3 5 3" xfId="2918"/>
    <cellStyle name="Calculation 2 3 3 5 3 2" xfId="2919"/>
    <cellStyle name="Calculation 2 3 3 5 4" xfId="2920"/>
    <cellStyle name="Calculation 2 3 3 5 4 2" xfId="2921"/>
    <cellStyle name="Calculation 2 3 3 5 5" xfId="2922"/>
    <cellStyle name="Calculation 2 3 3 5 6" xfId="2923"/>
    <cellStyle name="Calculation 2 3 3 5 7" xfId="2924"/>
    <cellStyle name="Calculation 2 3 3 6" xfId="2925"/>
    <cellStyle name="Calculation 2 3 3 6 2" xfId="2926"/>
    <cellStyle name="Calculation 2 3 3 6 2 2" xfId="2927"/>
    <cellStyle name="Calculation 2 3 3 6 3" xfId="2928"/>
    <cellStyle name="Calculation 2 3 3 6 3 2" xfId="2929"/>
    <cellStyle name="Calculation 2 3 3 6 4" xfId="2930"/>
    <cellStyle name="Calculation 2 3 3 6 5" xfId="2931"/>
    <cellStyle name="Calculation 2 3 3 6 6" xfId="2932"/>
    <cellStyle name="Calculation 2 3 3 7" xfId="2933"/>
    <cellStyle name="Calculation 2 3 3 7 2" xfId="2934"/>
    <cellStyle name="Calculation 2 3 3 8" xfId="2935"/>
    <cellStyle name="Calculation 2 3 3 8 2" xfId="2936"/>
    <cellStyle name="Calculation 2 3 3 9" xfId="2937"/>
    <cellStyle name="Calculation 2 3 4" xfId="2938"/>
    <cellStyle name="Calculation 2 3 4 10" xfId="2939"/>
    <cellStyle name="Calculation 2 3 4 11" xfId="2940"/>
    <cellStyle name="Calculation 2 3 4 2" xfId="2941"/>
    <cellStyle name="Calculation 2 3 4 2 10" xfId="2942"/>
    <cellStyle name="Calculation 2 3 4 2 2" xfId="2943"/>
    <cellStyle name="Calculation 2 3 4 2 2 2" xfId="2944"/>
    <cellStyle name="Calculation 2 3 4 2 2 2 2" xfId="2945"/>
    <cellStyle name="Calculation 2 3 4 2 2 2 2 2" xfId="2946"/>
    <cellStyle name="Calculation 2 3 4 2 2 2 2 2 2" xfId="2947"/>
    <cellStyle name="Calculation 2 3 4 2 2 2 2 3" xfId="2948"/>
    <cellStyle name="Calculation 2 3 4 2 2 2 2 3 2" xfId="2949"/>
    <cellStyle name="Calculation 2 3 4 2 2 2 2 4" xfId="2950"/>
    <cellStyle name="Calculation 2 3 4 2 2 2 2 5" xfId="2951"/>
    <cellStyle name="Calculation 2 3 4 2 2 2 2 6" xfId="2952"/>
    <cellStyle name="Calculation 2 3 4 2 2 2 3" xfId="2953"/>
    <cellStyle name="Calculation 2 3 4 2 2 2 3 2" xfId="2954"/>
    <cellStyle name="Calculation 2 3 4 2 2 2 4" xfId="2955"/>
    <cellStyle name="Calculation 2 3 4 2 2 2 4 2" xfId="2956"/>
    <cellStyle name="Calculation 2 3 4 2 2 2 5" xfId="2957"/>
    <cellStyle name="Calculation 2 3 4 2 2 2 6" xfId="2958"/>
    <cellStyle name="Calculation 2 3 4 2 2 2 7" xfId="2959"/>
    <cellStyle name="Calculation 2 3 4 2 2 3" xfId="2960"/>
    <cellStyle name="Calculation 2 3 4 2 2 3 2" xfId="2961"/>
    <cellStyle name="Calculation 2 3 4 2 2 3 2 2" xfId="2962"/>
    <cellStyle name="Calculation 2 3 4 2 2 3 3" xfId="2963"/>
    <cellStyle name="Calculation 2 3 4 2 2 3 3 2" xfId="2964"/>
    <cellStyle name="Calculation 2 3 4 2 2 3 4" xfId="2965"/>
    <cellStyle name="Calculation 2 3 4 2 2 3 5" xfId="2966"/>
    <cellStyle name="Calculation 2 3 4 2 2 3 6" xfId="2967"/>
    <cellStyle name="Calculation 2 3 4 2 2 4" xfId="2968"/>
    <cellStyle name="Calculation 2 3 4 2 2 4 2" xfId="2969"/>
    <cellStyle name="Calculation 2 3 4 2 2 5" xfId="2970"/>
    <cellStyle name="Calculation 2 3 4 2 2 5 2" xfId="2971"/>
    <cellStyle name="Calculation 2 3 4 2 2 6" xfId="2972"/>
    <cellStyle name="Calculation 2 3 4 2 2 7" xfId="2973"/>
    <cellStyle name="Calculation 2 3 4 2 2 8" xfId="2974"/>
    <cellStyle name="Calculation 2 3 4 2 3" xfId="2975"/>
    <cellStyle name="Calculation 2 3 4 2 3 2" xfId="2976"/>
    <cellStyle name="Calculation 2 3 4 2 3 2 2" xfId="2977"/>
    <cellStyle name="Calculation 2 3 4 2 3 2 2 2" xfId="2978"/>
    <cellStyle name="Calculation 2 3 4 2 3 2 2 2 2" xfId="2979"/>
    <cellStyle name="Calculation 2 3 4 2 3 2 2 3" xfId="2980"/>
    <cellStyle name="Calculation 2 3 4 2 3 2 2 3 2" xfId="2981"/>
    <cellStyle name="Calculation 2 3 4 2 3 2 2 4" xfId="2982"/>
    <cellStyle name="Calculation 2 3 4 2 3 2 2 5" xfId="2983"/>
    <cellStyle name="Calculation 2 3 4 2 3 2 2 6" xfId="2984"/>
    <cellStyle name="Calculation 2 3 4 2 3 2 3" xfId="2985"/>
    <cellStyle name="Calculation 2 3 4 2 3 2 3 2" xfId="2986"/>
    <cellStyle name="Calculation 2 3 4 2 3 2 4" xfId="2987"/>
    <cellStyle name="Calculation 2 3 4 2 3 2 4 2" xfId="2988"/>
    <cellStyle name="Calculation 2 3 4 2 3 2 5" xfId="2989"/>
    <cellStyle name="Calculation 2 3 4 2 3 2 6" xfId="2990"/>
    <cellStyle name="Calculation 2 3 4 2 3 2 7" xfId="2991"/>
    <cellStyle name="Calculation 2 3 4 2 3 3" xfId="2992"/>
    <cellStyle name="Calculation 2 3 4 2 3 3 2" xfId="2993"/>
    <cellStyle name="Calculation 2 3 4 2 3 3 2 2" xfId="2994"/>
    <cellStyle name="Calculation 2 3 4 2 3 3 3" xfId="2995"/>
    <cellStyle name="Calculation 2 3 4 2 3 3 3 2" xfId="2996"/>
    <cellStyle name="Calculation 2 3 4 2 3 3 4" xfId="2997"/>
    <cellStyle name="Calculation 2 3 4 2 3 3 5" xfId="2998"/>
    <cellStyle name="Calculation 2 3 4 2 3 3 6" xfId="2999"/>
    <cellStyle name="Calculation 2 3 4 2 3 4" xfId="3000"/>
    <cellStyle name="Calculation 2 3 4 2 3 4 2" xfId="3001"/>
    <cellStyle name="Calculation 2 3 4 2 3 5" xfId="3002"/>
    <cellStyle name="Calculation 2 3 4 2 3 5 2" xfId="3003"/>
    <cellStyle name="Calculation 2 3 4 2 3 6" xfId="3004"/>
    <cellStyle name="Calculation 2 3 4 2 3 7" xfId="3005"/>
    <cellStyle name="Calculation 2 3 4 2 3 8" xfId="3006"/>
    <cellStyle name="Calculation 2 3 4 2 4" xfId="3007"/>
    <cellStyle name="Calculation 2 3 4 2 4 2" xfId="3008"/>
    <cellStyle name="Calculation 2 3 4 2 4 2 2" xfId="3009"/>
    <cellStyle name="Calculation 2 3 4 2 4 2 2 2" xfId="3010"/>
    <cellStyle name="Calculation 2 3 4 2 4 2 3" xfId="3011"/>
    <cellStyle name="Calculation 2 3 4 2 4 2 3 2" xfId="3012"/>
    <cellStyle name="Calculation 2 3 4 2 4 2 4" xfId="3013"/>
    <cellStyle name="Calculation 2 3 4 2 4 2 5" xfId="3014"/>
    <cellStyle name="Calculation 2 3 4 2 4 2 6" xfId="3015"/>
    <cellStyle name="Calculation 2 3 4 2 4 3" xfId="3016"/>
    <cellStyle name="Calculation 2 3 4 2 4 3 2" xfId="3017"/>
    <cellStyle name="Calculation 2 3 4 2 4 4" xfId="3018"/>
    <cellStyle name="Calculation 2 3 4 2 4 4 2" xfId="3019"/>
    <cellStyle name="Calculation 2 3 4 2 4 5" xfId="3020"/>
    <cellStyle name="Calculation 2 3 4 2 4 6" xfId="3021"/>
    <cellStyle name="Calculation 2 3 4 2 4 7" xfId="3022"/>
    <cellStyle name="Calculation 2 3 4 2 5" xfId="3023"/>
    <cellStyle name="Calculation 2 3 4 2 5 2" xfId="3024"/>
    <cellStyle name="Calculation 2 3 4 2 5 2 2" xfId="3025"/>
    <cellStyle name="Calculation 2 3 4 2 5 3" xfId="3026"/>
    <cellStyle name="Calculation 2 3 4 2 5 3 2" xfId="3027"/>
    <cellStyle name="Calculation 2 3 4 2 5 4" xfId="3028"/>
    <cellStyle name="Calculation 2 3 4 2 5 5" xfId="3029"/>
    <cellStyle name="Calculation 2 3 4 2 5 6" xfId="3030"/>
    <cellStyle name="Calculation 2 3 4 2 6" xfId="3031"/>
    <cellStyle name="Calculation 2 3 4 2 6 2" xfId="3032"/>
    <cellStyle name="Calculation 2 3 4 2 7" xfId="3033"/>
    <cellStyle name="Calculation 2 3 4 2 7 2" xfId="3034"/>
    <cellStyle name="Calculation 2 3 4 2 8" xfId="3035"/>
    <cellStyle name="Calculation 2 3 4 2 9" xfId="3036"/>
    <cellStyle name="Calculation 2 3 4 3" xfId="3037"/>
    <cellStyle name="Calculation 2 3 4 3 2" xfId="3038"/>
    <cellStyle name="Calculation 2 3 4 3 2 2" xfId="3039"/>
    <cellStyle name="Calculation 2 3 4 3 2 2 2" xfId="3040"/>
    <cellStyle name="Calculation 2 3 4 3 2 2 2 2" xfId="3041"/>
    <cellStyle name="Calculation 2 3 4 3 2 2 3" xfId="3042"/>
    <cellStyle name="Calculation 2 3 4 3 2 2 3 2" xfId="3043"/>
    <cellStyle name="Calculation 2 3 4 3 2 2 4" xfId="3044"/>
    <cellStyle name="Calculation 2 3 4 3 2 2 5" xfId="3045"/>
    <cellStyle name="Calculation 2 3 4 3 2 2 6" xfId="3046"/>
    <cellStyle name="Calculation 2 3 4 3 2 3" xfId="3047"/>
    <cellStyle name="Calculation 2 3 4 3 2 3 2" xfId="3048"/>
    <cellStyle name="Calculation 2 3 4 3 2 4" xfId="3049"/>
    <cellStyle name="Calculation 2 3 4 3 2 4 2" xfId="3050"/>
    <cellStyle name="Calculation 2 3 4 3 2 5" xfId="3051"/>
    <cellStyle name="Calculation 2 3 4 3 2 6" xfId="3052"/>
    <cellStyle name="Calculation 2 3 4 3 2 7" xfId="3053"/>
    <cellStyle name="Calculation 2 3 4 3 3" xfId="3054"/>
    <cellStyle name="Calculation 2 3 4 3 3 2" xfId="3055"/>
    <cellStyle name="Calculation 2 3 4 3 3 2 2" xfId="3056"/>
    <cellStyle name="Calculation 2 3 4 3 3 3" xfId="3057"/>
    <cellStyle name="Calculation 2 3 4 3 3 3 2" xfId="3058"/>
    <cellStyle name="Calculation 2 3 4 3 3 4" xfId="3059"/>
    <cellStyle name="Calculation 2 3 4 3 3 5" xfId="3060"/>
    <cellStyle name="Calculation 2 3 4 3 3 6" xfId="3061"/>
    <cellStyle name="Calculation 2 3 4 3 4" xfId="3062"/>
    <cellStyle name="Calculation 2 3 4 3 4 2" xfId="3063"/>
    <cellStyle name="Calculation 2 3 4 3 5" xfId="3064"/>
    <cellStyle name="Calculation 2 3 4 3 5 2" xfId="3065"/>
    <cellStyle name="Calculation 2 3 4 3 6" xfId="3066"/>
    <cellStyle name="Calculation 2 3 4 3 7" xfId="3067"/>
    <cellStyle name="Calculation 2 3 4 3 8" xfId="3068"/>
    <cellStyle name="Calculation 2 3 4 4" xfId="3069"/>
    <cellStyle name="Calculation 2 3 4 4 2" xfId="3070"/>
    <cellStyle name="Calculation 2 3 4 4 2 2" xfId="3071"/>
    <cellStyle name="Calculation 2 3 4 4 2 2 2" xfId="3072"/>
    <cellStyle name="Calculation 2 3 4 4 2 2 2 2" xfId="3073"/>
    <cellStyle name="Calculation 2 3 4 4 2 2 3" xfId="3074"/>
    <cellStyle name="Calculation 2 3 4 4 2 2 3 2" xfId="3075"/>
    <cellStyle name="Calculation 2 3 4 4 2 2 4" xfId="3076"/>
    <cellStyle name="Calculation 2 3 4 4 2 2 5" xfId="3077"/>
    <cellStyle name="Calculation 2 3 4 4 2 2 6" xfId="3078"/>
    <cellStyle name="Calculation 2 3 4 4 2 3" xfId="3079"/>
    <cellStyle name="Calculation 2 3 4 4 2 3 2" xfId="3080"/>
    <cellStyle name="Calculation 2 3 4 4 2 4" xfId="3081"/>
    <cellStyle name="Calculation 2 3 4 4 2 4 2" xfId="3082"/>
    <cellStyle name="Calculation 2 3 4 4 2 5" xfId="3083"/>
    <cellStyle name="Calculation 2 3 4 4 2 6" xfId="3084"/>
    <cellStyle name="Calculation 2 3 4 4 2 7" xfId="3085"/>
    <cellStyle name="Calculation 2 3 4 4 3" xfId="3086"/>
    <cellStyle name="Calculation 2 3 4 4 3 2" xfId="3087"/>
    <cellStyle name="Calculation 2 3 4 4 3 2 2" xfId="3088"/>
    <cellStyle name="Calculation 2 3 4 4 3 3" xfId="3089"/>
    <cellStyle name="Calculation 2 3 4 4 3 3 2" xfId="3090"/>
    <cellStyle name="Calculation 2 3 4 4 3 4" xfId="3091"/>
    <cellStyle name="Calculation 2 3 4 4 3 5" xfId="3092"/>
    <cellStyle name="Calculation 2 3 4 4 3 6" xfId="3093"/>
    <cellStyle name="Calculation 2 3 4 4 4" xfId="3094"/>
    <cellStyle name="Calculation 2 3 4 4 4 2" xfId="3095"/>
    <cellStyle name="Calculation 2 3 4 4 5" xfId="3096"/>
    <cellStyle name="Calculation 2 3 4 4 5 2" xfId="3097"/>
    <cellStyle name="Calculation 2 3 4 4 6" xfId="3098"/>
    <cellStyle name="Calculation 2 3 4 4 7" xfId="3099"/>
    <cellStyle name="Calculation 2 3 4 4 8" xfId="3100"/>
    <cellStyle name="Calculation 2 3 4 5" xfId="3101"/>
    <cellStyle name="Calculation 2 3 4 5 2" xfId="3102"/>
    <cellStyle name="Calculation 2 3 4 5 2 2" xfId="3103"/>
    <cellStyle name="Calculation 2 3 4 5 2 2 2" xfId="3104"/>
    <cellStyle name="Calculation 2 3 4 5 2 3" xfId="3105"/>
    <cellStyle name="Calculation 2 3 4 5 2 3 2" xfId="3106"/>
    <cellStyle name="Calculation 2 3 4 5 2 4" xfId="3107"/>
    <cellStyle name="Calculation 2 3 4 5 2 5" xfId="3108"/>
    <cellStyle name="Calculation 2 3 4 5 2 6" xfId="3109"/>
    <cellStyle name="Calculation 2 3 4 5 3" xfId="3110"/>
    <cellStyle name="Calculation 2 3 4 5 3 2" xfId="3111"/>
    <cellStyle name="Calculation 2 3 4 5 4" xfId="3112"/>
    <cellStyle name="Calculation 2 3 4 5 4 2" xfId="3113"/>
    <cellStyle name="Calculation 2 3 4 5 5" xfId="3114"/>
    <cellStyle name="Calculation 2 3 4 5 6" xfId="3115"/>
    <cellStyle name="Calculation 2 3 4 5 7" xfId="3116"/>
    <cellStyle name="Calculation 2 3 4 6" xfId="3117"/>
    <cellStyle name="Calculation 2 3 4 6 2" xfId="3118"/>
    <cellStyle name="Calculation 2 3 4 6 2 2" xfId="3119"/>
    <cellStyle name="Calculation 2 3 4 6 3" xfId="3120"/>
    <cellStyle name="Calculation 2 3 4 6 3 2" xfId="3121"/>
    <cellStyle name="Calculation 2 3 4 6 4" xfId="3122"/>
    <cellStyle name="Calculation 2 3 4 6 5" xfId="3123"/>
    <cellStyle name="Calculation 2 3 4 6 6" xfId="3124"/>
    <cellStyle name="Calculation 2 3 4 7" xfId="3125"/>
    <cellStyle name="Calculation 2 3 4 7 2" xfId="3126"/>
    <cellStyle name="Calculation 2 3 4 8" xfId="3127"/>
    <cellStyle name="Calculation 2 3 4 8 2" xfId="3128"/>
    <cellStyle name="Calculation 2 3 4 9" xfId="3129"/>
    <cellStyle name="Calculation 2 3 5" xfId="3130"/>
    <cellStyle name="Calculation 2 3 5 10" xfId="3131"/>
    <cellStyle name="Calculation 2 3 5 2" xfId="3132"/>
    <cellStyle name="Calculation 2 3 5 2 2" xfId="3133"/>
    <cellStyle name="Calculation 2 3 5 2 2 2" xfId="3134"/>
    <cellStyle name="Calculation 2 3 5 2 2 2 2" xfId="3135"/>
    <cellStyle name="Calculation 2 3 5 2 2 2 2 2" xfId="3136"/>
    <cellStyle name="Calculation 2 3 5 2 2 2 3" xfId="3137"/>
    <cellStyle name="Calculation 2 3 5 2 2 2 3 2" xfId="3138"/>
    <cellStyle name="Calculation 2 3 5 2 2 2 4" xfId="3139"/>
    <cellStyle name="Calculation 2 3 5 2 2 2 5" xfId="3140"/>
    <cellStyle name="Calculation 2 3 5 2 2 2 6" xfId="3141"/>
    <cellStyle name="Calculation 2 3 5 2 2 3" xfId="3142"/>
    <cellStyle name="Calculation 2 3 5 2 2 3 2" xfId="3143"/>
    <cellStyle name="Calculation 2 3 5 2 2 4" xfId="3144"/>
    <cellStyle name="Calculation 2 3 5 2 2 4 2" xfId="3145"/>
    <cellStyle name="Calculation 2 3 5 2 2 5" xfId="3146"/>
    <cellStyle name="Calculation 2 3 5 2 2 6" xfId="3147"/>
    <cellStyle name="Calculation 2 3 5 2 2 7" xfId="3148"/>
    <cellStyle name="Calculation 2 3 5 2 3" xfId="3149"/>
    <cellStyle name="Calculation 2 3 5 2 3 2" xfId="3150"/>
    <cellStyle name="Calculation 2 3 5 2 3 2 2" xfId="3151"/>
    <cellStyle name="Calculation 2 3 5 2 3 3" xfId="3152"/>
    <cellStyle name="Calculation 2 3 5 2 3 3 2" xfId="3153"/>
    <cellStyle name="Calculation 2 3 5 2 3 4" xfId="3154"/>
    <cellStyle name="Calculation 2 3 5 2 3 5" xfId="3155"/>
    <cellStyle name="Calculation 2 3 5 2 3 6" xfId="3156"/>
    <cellStyle name="Calculation 2 3 5 2 4" xfId="3157"/>
    <cellStyle name="Calculation 2 3 5 2 4 2" xfId="3158"/>
    <cellStyle name="Calculation 2 3 5 2 5" xfId="3159"/>
    <cellStyle name="Calculation 2 3 5 2 5 2" xfId="3160"/>
    <cellStyle name="Calculation 2 3 5 2 6" xfId="3161"/>
    <cellStyle name="Calculation 2 3 5 2 7" xfId="3162"/>
    <cellStyle name="Calculation 2 3 5 2 8" xfId="3163"/>
    <cellStyle name="Calculation 2 3 5 3" xfId="3164"/>
    <cellStyle name="Calculation 2 3 5 3 2" xfId="3165"/>
    <cellStyle name="Calculation 2 3 5 3 2 2" xfId="3166"/>
    <cellStyle name="Calculation 2 3 5 3 2 2 2" xfId="3167"/>
    <cellStyle name="Calculation 2 3 5 3 2 2 2 2" xfId="3168"/>
    <cellStyle name="Calculation 2 3 5 3 2 2 3" xfId="3169"/>
    <cellStyle name="Calculation 2 3 5 3 2 2 3 2" xfId="3170"/>
    <cellStyle name="Calculation 2 3 5 3 2 2 4" xfId="3171"/>
    <cellStyle name="Calculation 2 3 5 3 2 2 5" xfId="3172"/>
    <cellStyle name="Calculation 2 3 5 3 2 2 6" xfId="3173"/>
    <cellStyle name="Calculation 2 3 5 3 2 3" xfId="3174"/>
    <cellStyle name="Calculation 2 3 5 3 2 3 2" xfId="3175"/>
    <cellStyle name="Calculation 2 3 5 3 2 4" xfId="3176"/>
    <cellStyle name="Calculation 2 3 5 3 2 4 2" xfId="3177"/>
    <cellStyle name="Calculation 2 3 5 3 2 5" xfId="3178"/>
    <cellStyle name="Calculation 2 3 5 3 2 6" xfId="3179"/>
    <cellStyle name="Calculation 2 3 5 3 2 7" xfId="3180"/>
    <cellStyle name="Calculation 2 3 5 3 3" xfId="3181"/>
    <cellStyle name="Calculation 2 3 5 3 3 2" xfId="3182"/>
    <cellStyle name="Calculation 2 3 5 3 3 2 2" xfId="3183"/>
    <cellStyle name="Calculation 2 3 5 3 3 3" xfId="3184"/>
    <cellStyle name="Calculation 2 3 5 3 3 3 2" xfId="3185"/>
    <cellStyle name="Calculation 2 3 5 3 3 4" xfId="3186"/>
    <cellStyle name="Calculation 2 3 5 3 3 5" xfId="3187"/>
    <cellStyle name="Calculation 2 3 5 3 3 6" xfId="3188"/>
    <cellStyle name="Calculation 2 3 5 3 4" xfId="3189"/>
    <cellStyle name="Calculation 2 3 5 3 4 2" xfId="3190"/>
    <cellStyle name="Calculation 2 3 5 3 5" xfId="3191"/>
    <cellStyle name="Calculation 2 3 5 3 5 2" xfId="3192"/>
    <cellStyle name="Calculation 2 3 5 3 6" xfId="3193"/>
    <cellStyle name="Calculation 2 3 5 3 7" xfId="3194"/>
    <cellStyle name="Calculation 2 3 5 3 8" xfId="3195"/>
    <cellStyle name="Calculation 2 3 5 4" xfId="3196"/>
    <cellStyle name="Calculation 2 3 5 4 2" xfId="3197"/>
    <cellStyle name="Calculation 2 3 5 4 2 2" xfId="3198"/>
    <cellStyle name="Calculation 2 3 5 4 2 2 2" xfId="3199"/>
    <cellStyle name="Calculation 2 3 5 4 2 3" xfId="3200"/>
    <cellStyle name="Calculation 2 3 5 4 2 3 2" xfId="3201"/>
    <cellStyle name="Calculation 2 3 5 4 2 4" xfId="3202"/>
    <cellStyle name="Calculation 2 3 5 4 2 5" xfId="3203"/>
    <cellStyle name="Calculation 2 3 5 4 2 6" xfId="3204"/>
    <cellStyle name="Calculation 2 3 5 4 3" xfId="3205"/>
    <cellStyle name="Calculation 2 3 5 4 3 2" xfId="3206"/>
    <cellStyle name="Calculation 2 3 5 4 4" xfId="3207"/>
    <cellStyle name="Calculation 2 3 5 4 4 2" xfId="3208"/>
    <cellStyle name="Calculation 2 3 5 4 5" xfId="3209"/>
    <cellStyle name="Calculation 2 3 5 4 6" xfId="3210"/>
    <cellStyle name="Calculation 2 3 5 4 7" xfId="3211"/>
    <cellStyle name="Calculation 2 3 5 5" xfId="3212"/>
    <cellStyle name="Calculation 2 3 5 5 2" xfId="3213"/>
    <cellStyle name="Calculation 2 3 5 5 2 2" xfId="3214"/>
    <cellStyle name="Calculation 2 3 5 5 3" xfId="3215"/>
    <cellStyle name="Calculation 2 3 5 5 3 2" xfId="3216"/>
    <cellStyle name="Calculation 2 3 5 5 4" xfId="3217"/>
    <cellStyle name="Calculation 2 3 5 5 5" xfId="3218"/>
    <cellStyle name="Calculation 2 3 5 5 6" xfId="3219"/>
    <cellStyle name="Calculation 2 3 5 6" xfId="3220"/>
    <cellStyle name="Calculation 2 3 5 6 2" xfId="3221"/>
    <cellStyle name="Calculation 2 3 5 7" xfId="3222"/>
    <cellStyle name="Calculation 2 3 5 7 2" xfId="3223"/>
    <cellStyle name="Calculation 2 3 5 8" xfId="3224"/>
    <cellStyle name="Calculation 2 3 5 9" xfId="3225"/>
    <cellStyle name="Calculation 2 3 6" xfId="3226"/>
    <cellStyle name="Calculation 2 3 6 2" xfId="3227"/>
    <cellStyle name="Calculation 2 3 6 2 2" xfId="3228"/>
    <cellStyle name="Calculation 2 3 6 2 2 2" xfId="3229"/>
    <cellStyle name="Calculation 2 3 6 2 2 2 2" xfId="3230"/>
    <cellStyle name="Calculation 2 3 6 2 2 3" xfId="3231"/>
    <cellStyle name="Calculation 2 3 6 2 2 3 2" xfId="3232"/>
    <cellStyle name="Calculation 2 3 6 2 2 4" xfId="3233"/>
    <cellStyle name="Calculation 2 3 6 2 2 5" xfId="3234"/>
    <cellStyle name="Calculation 2 3 6 2 2 6" xfId="3235"/>
    <cellStyle name="Calculation 2 3 6 2 3" xfId="3236"/>
    <cellStyle name="Calculation 2 3 6 2 3 2" xfId="3237"/>
    <cellStyle name="Calculation 2 3 6 2 4" xfId="3238"/>
    <cellStyle name="Calculation 2 3 6 2 4 2" xfId="3239"/>
    <cellStyle name="Calculation 2 3 6 2 5" xfId="3240"/>
    <cellStyle name="Calculation 2 3 6 2 6" xfId="3241"/>
    <cellStyle name="Calculation 2 3 6 2 7" xfId="3242"/>
    <cellStyle name="Calculation 2 3 6 3" xfId="3243"/>
    <cellStyle name="Calculation 2 3 6 3 2" xfId="3244"/>
    <cellStyle name="Calculation 2 3 6 3 2 2" xfId="3245"/>
    <cellStyle name="Calculation 2 3 6 3 3" xfId="3246"/>
    <cellStyle name="Calculation 2 3 6 3 3 2" xfId="3247"/>
    <cellStyle name="Calculation 2 3 6 3 4" xfId="3248"/>
    <cellStyle name="Calculation 2 3 6 3 5" xfId="3249"/>
    <cellStyle name="Calculation 2 3 6 3 6" xfId="3250"/>
    <cellStyle name="Calculation 2 3 6 4" xfId="3251"/>
    <cellStyle name="Calculation 2 3 6 4 2" xfId="3252"/>
    <cellStyle name="Calculation 2 3 6 5" xfId="3253"/>
    <cellStyle name="Calculation 2 3 6 5 2" xfId="3254"/>
    <cellStyle name="Calculation 2 3 6 6" xfId="3255"/>
    <cellStyle name="Calculation 2 3 6 7" xfId="3256"/>
    <cellStyle name="Calculation 2 3 6 8" xfId="3257"/>
    <cellStyle name="Calculation 2 3 7" xfId="3258"/>
    <cellStyle name="Calculation 2 3 7 2" xfId="3259"/>
    <cellStyle name="Calculation 2 3 7 2 2" xfId="3260"/>
    <cellStyle name="Calculation 2 3 7 2 2 2" xfId="3261"/>
    <cellStyle name="Calculation 2 3 7 2 3" xfId="3262"/>
    <cellStyle name="Calculation 2 3 7 2 3 2" xfId="3263"/>
    <cellStyle name="Calculation 2 3 7 2 4" xfId="3264"/>
    <cellStyle name="Calculation 2 3 7 2 5" xfId="3265"/>
    <cellStyle name="Calculation 2 3 7 2 6" xfId="3266"/>
    <cellStyle name="Calculation 2 3 7 3" xfId="3267"/>
    <cellStyle name="Calculation 2 3 7 3 2" xfId="3268"/>
    <cellStyle name="Calculation 2 3 7 4" xfId="3269"/>
    <cellStyle name="Calculation 2 3 7 4 2" xfId="3270"/>
    <cellStyle name="Calculation 2 3 7 5" xfId="3271"/>
    <cellStyle name="Calculation 2 3 7 6" xfId="3272"/>
    <cellStyle name="Calculation 2 3 7 7" xfId="3273"/>
    <cellStyle name="Calculation 2 3 8" xfId="3274"/>
    <cellStyle name="Calculation 2 3 8 2" xfId="3275"/>
    <cellStyle name="Calculation 2 3 9" xfId="3276"/>
    <cellStyle name="Calculation 2 3 9 2" xfId="3277"/>
    <cellStyle name="Calculation 2 4" xfId="3278"/>
    <cellStyle name="Calculation 2 4 10" xfId="3279"/>
    <cellStyle name="Calculation 2 4 11" xfId="3280"/>
    <cellStyle name="Calculation 2 4 12" xfId="3281"/>
    <cellStyle name="Calculation 2 4 2" xfId="3282"/>
    <cellStyle name="Calculation 2 4 2 10" xfId="3283"/>
    <cellStyle name="Calculation 2 4 2 11" xfId="3284"/>
    <cellStyle name="Calculation 2 4 2 2" xfId="3285"/>
    <cellStyle name="Calculation 2 4 2 2 10" xfId="3286"/>
    <cellStyle name="Calculation 2 4 2 2 2" xfId="3287"/>
    <cellStyle name="Calculation 2 4 2 2 2 2" xfId="3288"/>
    <cellStyle name="Calculation 2 4 2 2 2 2 2" xfId="3289"/>
    <cellStyle name="Calculation 2 4 2 2 2 2 2 2" xfId="3290"/>
    <cellStyle name="Calculation 2 4 2 2 2 2 2 2 2" xfId="3291"/>
    <cellStyle name="Calculation 2 4 2 2 2 2 2 3" xfId="3292"/>
    <cellStyle name="Calculation 2 4 2 2 2 2 2 3 2" xfId="3293"/>
    <cellStyle name="Calculation 2 4 2 2 2 2 2 4" xfId="3294"/>
    <cellStyle name="Calculation 2 4 2 2 2 2 2 5" xfId="3295"/>
    <cellStyle name="Calculation 2 4 2 2 2 2 2 6" xfId="3296"/>
    <cellStyle name="Calculation 2 4 2 2 2 2 3" xfId="3297"/>
    <cellStyle name="Calculation 2 4 2 2 2 2 3 2" xfId="3298"/>
    <cellStyle name="Calculation 2 4 2 2 2 2 4" xfId="3299"/>
    <cellStyle name="Calculation 2 4 2 2 2 2 4 2" xfId="3300"/>
    <cellStyle name="Calculation 2 4 2 2 2 2 5" xfId="3301"/>
    <cellStyle name="Calculation 2 4 2 2 2 2 6" xfId="3302"/>
    <cellStyle name="Calculation 2 4 2 2 2 2 7" xfId="3303"/>
    <cellStyle name="Calculation 2 4 2 2 2 3" xfId="3304"/>
    <cellStyle name="Calculation 2 4 2 2 2 3 2" xfId="3305"/>
    <cellStyle name="Calculation 2 4 2 2 2 3 2 2" xfId="3306"/>
    <cellStyle name="Calculation 2 4 2 2 2 3 3" xfId="3307"/>
    <cellStyle name="Calculation 2 4 2 2 2 3 3 2" xfId="3308"/>
    <cellStyle name="Calculation 2 4 2 2 2 3 4" xfId="3309"/>
    <cellStyle name="Calculation 2 4 2 2 2 3 5" xfId="3310"/>
    <cellStyle name="Calculation 2 4 2 2 2 3 6" xfId="3311"/>
    <cellStyle name="Calculation 2 4 2 2 2 4" xfId="3312"/>
    <cellStyle name="Calculation 2 4 2 2 2 4 2" xfId="3313"/>
    <cellStyle name="Calculation 2 4 2 2 2 5" xfId="3314"/>
    <cellStyle name="Calculation 2 4 2 2 2 5 2" xfId="3315"/>
    <cellStyle name="Calculation 2 4 2 2 2 6" xfId="3316"/>
    <cellStyle name="Calculation 2 4 2 2 2 7" xfId="3317"/>
    <cellStyle name="Calculation 2 4 2 2 2 8" xfId="3318"/>
    <cellStyle name="Calculation 2 4 2 2 3" xfId="3319"/>
    <cellStyle name="Calculation 2 4 2 2 3 2" xfId="3320"/>
    <cellStyle name="Calculation 2 4 2 2 3 2 2" xfId="3321"/>
    <cellStyle name="Calculation 2 4 2 2 3 2 2 2" xfId="3322"/>
    <cellStyle name="Calculation 2 4 2 2 3 2 2 2 2" xfId="3323"/>
    <cellStyle name="Calculation 2 4 2 2 3 2 2 3" xfId="3324"/>
    <cellStyle name="Calculation 2 4 2 2 3 2 2 3 2" xfId="3325"/>
    <cellStyle name="Calculation 2 4 2 2 3 2 2 4" xfId="3326"/>
    <cellStyle name="Calculation 2 4 2 2 3 2 2 5" xfId="3327"/>
    <cellStyle name="Calculation 2 4 2 2 3 2 2 6" xfId="3328"/>
    <cellStyle name="Calculation 2 4 2 2 3 2 3" xfId="3329"/>
    <cellStyle name="Calculation 2 4 2 2 3 2 3 2" xfId="3330"/>
    <cellStyle name="Calculation 2 4 2 2 3 2 4" xfId="3331"/>
    <cellStyle name="Calculation 2 4 2 2 3 2 4 2" xfId="3332"/>
    <cellStyle name="Calculation 2 4 2 2 3 2 5" xfId="3333"/>
    <cellStyle name="Calculation 2 4 2 2 3 2 6" xfId="3334"/>
    <cellStyle name="Calculation 2 4 2 2 3 2 7" xfId="3335"/>
    <cellStyle name="Calculation 2 4 2 2 3 3" xfId="3336"/>
    <cellStyle name="Calculation 2 4 2 2 3 3 2" xfId="3337"/>
    <cellStyle name="Calculation 2 4 2 2 3 3 2 2" xfId="3338"/>
    <cellStyle name="Calculation 2 4 2 2 3 3 3" xfId="3339"/>
    <cellStyle name="Calculation 2 4 2 2 3 3 3 2" xfId="3340"/>
    <cellStyle name="Calculation 2 4 2 2 3 3 4" xfId="3341"/>
    <cellStyle name="Calculation 2 4 2 2 3 3 5" xfId="3342"/>
    <cellStyle name="Calculation 2 4 2 2 3 3 6" xfId="3343"/>
    <cellStyle name="Calculation 2 4 2 2 3 4" xfId="3344"/>
    <cellStyle name="Calculation 2 4 2 2 3 4 2" xfId="3345"/>
    <cellStyle name="Calculation 2 4 2 2 3 5" xfId="3346"/>
    <cellStyle name="Calculation 2 4 2 2 3 5 2" xfId="3347"/>
    <cellStyle name="Calculation 2 4 2 2 3 6" xfId="3348"/>
    <cellStyle name="Calculation 2 4 2 2 3 7" xfId="3349"/>
    <cellStyle name="Calculation 2 4 2 2 3 8" xfId="3350"/>
    <cellStyle name="Calculation 2 4 2 2 4" xfId="3351"/>
    <cellStyle name="Calculation 2 4 2 2 4 2" xfId="3352"/>
    <cellStyle name="Calculation 2 4 2 2 4 2 2" xfId="3353"/>
    <cellStyle name="Calculation 2 4 2 2 4 2 2 2" xfId="3354"/>
    <cellStyle name="Calculation 2 4 2 2 4 2 3" xfId="3355"/>
    <cellStyle name="Calculation 2 4 2 2 4 2 3 2" xfId="3356"/>
    <cellStyle name="Calculation 2 4 2 2 4 2 4" xfId="3357"/>
    <cellStyle name="Calculation 2 4 2 2 4 2 5" xfId="3358"/>
    <cellStyle name="Calculation 2 4 2 2 4 2 6" xfId="3359"/>
    <cellStyle name="Calculation 2 4 2 2 4 3" xfId="3360"/>
    <cellStyle name="Calculation 2 4 2 2 4 3 2" xfId="3361"/>
    <cellStyle name="Calculation 2 4 2 2 4 4" xfId="3362"/>
    <cellStyle name="Calculation 2 4 2 2 4 4 2" xfId="3363"/>
    <cellStyle name="Calculation 2 4 2 2 4 5" xfId="3364"/>
    <cellStyle name="Calculation 2 4 2 2 4 6" xfId="3365"/>
    <cellStyle name="Calculation 2 4 2 2 4 7" xfId="3366"/>
    <cellStyle name="Calculation 2 4 2 2 5" xfId="3367"/>
    <cellStyle name="Calculation 2 4 2 2 5 2" xfId="3368"/>
    <cellStyle name="Calculation 2 4 2 2 5 2 2" xfId="3369"/>
    <cellStyle name="Calculation 2 4 2 2 5 3" xfId="3370"/>
    <cellStyle name="Calculation 2 4 2 2 5 3 2" xfId="3371"/>
    <cellStyle name="Calculation 2 4 2 2 5 4" xfId="3372"/>
    <cellStyle name="Calculation 2 4 2 2 5 5" xfId="3373"/>
    <cellStyle name="Calculation 2 4 2 2 5 6" xfId="3374"/>
    <cellStyle name="Calculation 2 4 2 2 6" xfId="3375"/>
    <cellStyle name="Calculation 2 4 2 2 6 2" xfId="3376"/>
    <cellStyle name="Calculation 2 4 2 2 7" xfId="3377"/>
    <cellStyle name="Calculation 2 4 2 2 7 2" xfId="3378"/>
    <cellStyle name="Calculation 2 4 2 2 8" xfId="3379"/>
    <cellStyle name="Calculation 2 4 2 2 9" xfId="3380"/>
    <cellStyle name="Calculation 2 4 2 3" xfId="3381"/>
    <cellStyle name="Calculation 2 4 2 3 2" xfId="3382"/>
    <cellStyle name="Calculation 2 4 2 3 2 2" xfId="3383"/>
    <cellStyle name="Calculation 2 4 2 3 2 2 2" xfId="3384"/>
    <cellStyle name="Calculation 2 4 2 3 2 2 2 2" xfId="3385"/>
    <cellStyle name="Calculation 2 4 2 3 2 2 3" xfId="3386"/>
    <cellStyle name="Calculation 2 4 2 3 2 2 3 2" xfId="3387"/>
    <cellStyle name="Calculation 2 4 2 3 2 2 4" xfId="3388"/>
    <cellStyle name="Calculation 2 4 2 3 2 2 5" xfId="3389"/>
    <cellStyle name="Calculation 2 4 2 3 2 2 6" xfId="3390"/>
    <cellStyle name="Calculation 2 4 2 3 2 3" xfId="3391"/>
    <cellStyle name="Calculation 2 4 2 3 2 3 2" xfId="3392"/>
    <cellStyle name="Calculation 2 4 2 3 2 4" xfId="3393"/>
    <cellStyle name="Calculation 2 4 2 3 2 4 2" xfId="3394"/>
    <cellStyle name="Calculation 2 4 2 3 2 5" xfId="3395"/>
    <cellStyle name="Calculation 2 4 2 3 2 6" xfId="3396"/>
    <cellStyle name="Calculation 2 4 2 3 2 7" xfId="3397"/>
    <cellStyle name="Calculation 2 4 2 3 3" xfId="3398"/>
    <cellStyle name="Calculation 2 4 2 3 3 2" xfId="3399"/>
    <cellStyle name="Calculation 2 4 2 3 3 2 2" xfId="3400"/>
    <cellStyle name="Calculation 2 4 2 3 3 3" xfId="3401"/>
    <cellStyle name="Calculation 2 4 2 3 3 3 2" xfId="3402"/>
    <cellStyle name="Calculation 2 4 2 3 3 4" xfId="3403"/>
    <cellStyle name="Calculation 2 4 2 3 3 5" xfId="3404"/>
    <cellStyle name="Calculation 2 4 2 3 3 6" xfId="3405"/>
    <cellStyle name="Calculation 2 4 2 3 4" xfId="3406"/>
    <cellStyle name="Calculation 2 4 2 3 4 2" xfId="3407"/>
    <cellStyle name="Calculation 2 4 2 3 5" xfId="3408"/>
    <cellStyle name="Calculation 2 4 2 3 5 2" xfId="3409"/>
    <cellStyle name="Calculation 2 4 2 3 6" xfId="3410"/>
    <cellStyle name="Calculation 2 4 2 3 7" xfId="3411"/>
    <cellStyle name="Calculation 2 4 2 3 8" xfId="3412"/>
    <cellStyle name="Calculation 2 4 2 4" xfId="3413"/>
    <cellStyle name="Calculation 2 4 2 4 2" xfId="3414"/>
    <cellStyle name="Calculation 2 4 2 4 2 2" xfId="3415"/>
    <cellStyle name="Calculation 2 4 2 4 2 2 2" xfId="3416"/>
    <cellStyle name="Calculation 2 4 2 4 2 2 2 2" xfId="3417"/>
    <cellStyle name="Calculation 2 4 2 4 2 2 3" xfId="3418"/>
    <cellStyle name="Calculation 2 4 2 4 2 2 3 2" xfId="3419"/>
    <cellStyle name="Calculation 2 4 2 4 2 2 4" xfId="3420"/>
    <cellStyle name="Calculation 2 4 2 4 2 2 5" xfId="3421"/>
    <cellStyle name="Calculation 2 4 2 4 2 2 6" xfId="3422"/>
    <cellStyle name="Calculation 2 4 2 4 2 3" xfId="3423"/>
    <cellStyle name="Calculation 2 4 2 4 2 3 2" xfId="3424"/>
    <cellStyle name="Calculation 2 4 2 4 2 4" xfId="3425"/>
    <cellStyle name="Calculation 2 4 2 4 2 4 2" xfId="3426"/>
    <cellStyle name="Calculation 2 4 2 4 2 5" xfId="3427"/>
    <cellStyle name="Calculation 2 4 2 4 2 6" xfId="3428"/>
    <cellStyle name="Calculation 2 4 2 4 2 7" xfId="3429"/>
    <cellStyle name="Calculation 2 4 2 4 3" xfId="3430"/>
    <cellStyle name="Calculation 2 4 2 4 3 2" xfId="3431"/>
    <cellStyle name="Calculation 2 4 2 4 3 2 2" xfId="3432"/>
    <cellStyle name="Calculation 2 4 2 4 3 3" xfId="3433"/>
    <cellStyle name="Calculation 2 4 2 4 3 3 2" xfId="3434"/>
    <cellStyle name="Calculation 2 4 2 4 3 4" xfId="3435"/>
    <cellStyle name="Calculation 2 4 2 4 3 5" xfId="3436"/>
    <cellStyle name="Calculation 2 4 2 4 3 6" xfId="3437"/>
    <cellStyle name="Calculation 2 4 2 4 4" xfId="3438"/>
    <cellStyle name="Calculation 2 4 2 4 4 2" xfId="3439"/>
    <cellStyle name="Calculation 2 4 2 4 5" xfId="3440"/>
    <cellStyle name="Calculation 2 4 2 4 5 2" xfId="3441"/>
    <cellStyle name="Calculation 2 4 2 4 6" xfId="3442"/>
    <cellStyle name="Calculation 2 4 2 4 7" xfId="3443"/>
    <cellStyle name="Calculation 2 4 2 4 8" xfId="3444"/>
    <cellStyle name="Calculation 2 4 2 5" xfId="3445"/>
    <cellStyle name="Calculation 2 4 2 5 2" xfId="3446"/>
    <cellStyle name="Calculation 2 4 2 5 2 2" xfId="3447"/>
    <cellStyle name="Calculation 2 4 2 5 2 2 2" xfId="3448"/>
    <cellStyle name="Calculation 2 4 2 5 2 3" xfId="3449"/>
    <cellStyle name="Calculation 2 4 2 5 2 3 2" xfId="3450"/>
    <cellStyle name="Calculation 2 4 2 5 2 4" xfId="3451"/>
    <cellStyle name="Calculation 2 4 2 5 2 5" xfId="3452"/>
    <cellStyle name="Calculation 2 4 2 5 2 6" xfId="3453"/>
    <cellStyle name="Calculation 2 4 2 5 3" xfId="3454"/>
    <cellStyle name="Calculation 2 4 2 5 3 2" xfId="3455"/>
    <cellStyle name="Calculation 2 4 2 5 4" xfId="3456"/>
    <cellStyle name="Calculation 2 4 2 5 4 2" xfId="3457"/>
    <cellStyle name="Calculation 2 4 2 5 5" xfId="3458"/>
    <cellStyle name="Calculation 2 4 2 5 6" xfId="3459"/>
    <cellStyle name="Calculation 2 4 2 5 7" xfId="3460"/>
    <cellStyle name="Calculation 2 4 2 6" xfId="3461"/>
    <cellStyle name="Calculation 2 4 2 6 2" xfId="3462"/>
    <cellStyle name="Calculation 2 4 2 6 2 2" xfId="3463"/>
    <cellStyle name="Calculation 2 4 2 6 3" xfId="3464"/>
    <cellStyle name="Calculation 2 4 2 6 3 2" xfId="3465"/>
    <cellStyle name="Calculation 2 4 2 6 4" xfId="3466"/>
    <cellStyle name="Calculation 2 4 2 6 5" xfId="3467"/>
    <cellStyle name="Calculation 2 4 2 6 6" xfId="3468"/>
    <cellStyle name="Calculation 2 4 2 7" xfId="3469"/>
    <cellStyle name="Calculation 2 4 2 7 2" xfId="3470"/>
    <cellStyle name="Calculation 2 4 2 8" xfId="3471"/>
    <cellStyle name="Calculation 2 4 2 8 2" xfId="3472"/>
    <cellStyle name="Calculation 2 4 2 9" xfId="3473"/>
    <cellStyle name="Calculation 2 4 3" xfId="3474"/>
    <cellStyle name="Calculation 2 4 3 10" xfId="3475"/>
    <cellStyle name="Calculation 2 4 3 2" xfId="3476"/>
    <cellStyle name="Calculation 2 4 3 2 10" xfId="3477"/>
    <cellStyle name="Calculation 2 4 3 2 2" xfId="3478"/>
    <cellStyle name="Calculation 2 4 3 2 2 2" xfId="3479"/>
    <cellStyle name="Calculation 2 4 3 2 2 2 2" xfId="3480"/>
    <cellStyle name="Calculation 2 4 3 2 2 2 2 2" xfId="3481"/>
    <cellStyle name="Calculation 2 4 3 2 2 2 2 2 2" xfId="3482"/>
    <cellStyle name="Calculation 2 4 3 2 2 2 2 3" xfId="3483"/>
    <cellStyle name="Calculation 2 4 3 2 2 2 2 3 2" xfId="3484"/>
    <cellStyle name="Calculation 2 4 3 2 2 2 2 4" xfId="3485"/>
    <cellStyle name="Calculation 2 4 3 2 2 2 2 5" xfId="3486"/>
    <cellStyle name="Calculation 2 4 3 2 2 2 2 6" xfId="3487"/>
    <cellStyle name="Calculation 2 4 3 2 2 2 3" xfId="3488"/>
    <cellStyle name="Calculation 2 4 3 2 2 2 3 2" xfId="3489"/>
    <cellStyle name="Calculation 2 4 3 2 2 2 4" xfId="3490"/>
    <cellStyle name="Calculation 2 4 3 2 2 2 4 2" xfId="3491"/>
    <cellStyle name="Calculation 2 4 3 2 2 2 5" xfId="3492"/>
    <cellStyle name="Calculation 2 4 3 2 2 2 6" xfId="3493"/>
    <cellStyle name="Calculation 2 4 3 2 2 2 7" xfId="3494"/>
    <cellStyle name="Calculation 2 4 3 2 2 3" xfId="3495"/>
    <cellStyle name="Calculation 2 4 3 2 2 3 2" xfId="3496"/>
    <cellStyle name="Calculation 2 4 3 2 2 3 2 2" xfId="3497"/>
    <cellStyle name="Calculation 2 4 3 2 2 3 3" xfId="3498"/>
    <cellStyle name="Calculation 2 4 3 2 2 3 3 2" xfId="3499"/>
    <cellStyle name="Calculation 2 4 3 2 2 3 4" xfId="3500"/>
    <cellStyle name="Calculation 2 4 3 2 2 3 5" xfId="3501"/>
    <cellStyle name="Calculation 2 4 3 2 2 3 6" xfId="3502"/>
    <cellStyle name="Calculation 2 4 3 2 2 4" xfId="3503"/>
    <cellStyle name="Calculation 2 4 3 2 2 4 2" xfId="3504"/>
    <cellStyle name="Calculation 2 4 3 2 2 5" xfId="3505"/>
    <cellStyle name="Calculation 2 4 3 2 2 5 2" xfId="3506"/>
    <cellStyle name="Calculation 2 4 3 2 2 6" xfId="3507"/>
    <cellStyle name="Calculation 2 4 3 2 2 7" xfId="3508"/>
    <cellStyle name="Calculation 2 4 3 2 2 8" xfId="3509"/>
    <cellStyle name="Calculation 2 4 3 2 3" xfId="3510"/>
    <cellStyle name="Calculation 2 4 3 2 3 2" xfId="3511"/>
    <cellStyle name="Calculation 2 4 3 2 3 2 2" xfId="3512"/>
    <cellStyle name="Calculation 2 4 3 2 3 2 2 2" xfId="3513"/>
    <cellStyle name="Calculation 2 4 3 2 3 2 2 2 2" xfId="3514"/>
    <cellStyle name="Calculation 2 4 3 2 3 2 2 3" xfId="3515"/>
    <cellStyle name="Calculation 2 4 3 2 3 2 2 3 2" xfId="3516"/>
    <cellStyle name="Calculation 2 4 3 2 3 2 2 4" xfId="3517"/>
    <cellStyle name="Calculation 2 4 3 2 3 2 2 5" xfId="3518"/>
    <cellStyle name="Calculation 2 4 3 2 3 2 2 6" xfId="3519"/>
    <cellStyle name="Calculation 2 4 3 2 3 2 3" xfId="3520"/>
    <cellStyle name="Calculation 2 4 3 2 3 2 3 2" xfId="3521"/>
    <cellStyle name="Calculation 2 4 3 2 3 2 4" xfId="3522"/>
    <cellStyle name="Calculation 2 4 3 2 3 2 4 2" xfId="3523"/>
    <cellStyle name="Calculation 2 4 3 2 3 2 5" xfId="3524"/>
    <cellStyle name="Calculation 2 4 3 2 3 2 6" xfId="3525"/>
    <cellStyle name="Calculation 2 4 3 2 3 2 7" xfId="3526"/>
    <cellStyle name="Calculation 2 4 3 2 3 3" xfId="3527"/>
    <cellStyle name="Calculation 2 4 3 2 3 3 2" xfId="3528"/>
    <cellStyle name="Calculation 2 4 3 2 3 3 2 2" xfId="3529"/>
    <cellStyle name="Calculation 2 4 3 2 3 3 3" xfId="3530"/>
    <cellStyle name="Calculation 2 4 3 2 3 3 3 2" xfId="3531"/>
    <cellStyle name="Calculation 2 4 3 2 3 3 4" xfId="3532"/>
    <cellStyle name="Calculation 2 4 3 2 3 3 5" xfId="3533"/>
    <cellStyle name="Calculation 2 4 3 2 3 3 6" xfId="3534"/>
    <cellStyle name="Calculation 2 4 3 2 3 4" xfId="3535"/>
    <cellStyle name="Calculation 2 4 3 2 3 4 2" xfId="3536"/>
    <cellStyle name="Calculation 2 4 3 2 3 5" xfId="3537"/>
    <cellStyle name="Calculation 2 4 3 2 3 5 2" xfId="3538"/>
    <cellStyle name="Calculation 2 4 3 2 3 6" xfId="3539"/>
    <cellStyle name="Calculation 2 4 3 2 3 7" xfId="3540"/>
    <cellStyle name="Calculation 2 4 3 2 3 8" xfId="3541"/>
    <cellStyle name="Calculation 2 4 3 2 4" xfId="3542"/>
    <cellStyle name="Calculation 2 4 3 2 4 2" xfId="3543"/>
    <cellStyle name="Calculation 2 4 3 2 4 2 2" xfId="3544"/>
    <cellStyle name="Calculation 2 4 3 2 4 2 2 2" xfId="3545"/>
    <cellStyle name="Calculation 2 4 3 2 4 2 3" xfId="3546"/>
    <cellStyle name="Calculation 2 4 3 2 4 2 3 2" xfId="3547"/>
    <cellStyle name="Calculation 2 4 3 2 4 2 4" xfId="3548"/>
    <cellStyle name="Calculation 2 4 3 2 4 2 5" xfId="3549"/>
    <cellStyle name="Calculation 2 4 3 2 4 2 6" xfId="3550"/>
    <cellStyle name="Calculation 2 4 3 2 4 3" xfId="3551"/>
    <cellStyle name="Calculation 2 4 3 2 4 3 2" xfId="3552"/>
    <cellStyle name="Calculation 2 4 3 2 4 4" xfId="3553"/>
    <cellStyle name="Calculation 2 4 3 2 4 4 2" xfId="3554"/>
    <cellStyle name="Calculation 2 4 3 2 4 5" xfId="3555"/>
    <cellStyle name="Calculation 2 4 3 2 4 6" xfId="3556"/>
    <cellStyle name="Calculation 2 4 3 2 4 7" xfId="3557"/>
    <cellStyle name="Calculation 2 4 3 2 5" xfId="3558"/>
    <cellStyle name="Calculation 2 4 3 2 5 2" xfId="3559"/>
    <cellStyle name="Calculation 2 4 3 2 5 2 2" xfId="3560"/>
    <cellStyle name="Calculation 2 4 3 2 5 3" xfId="3561"/>
    <cellStyle name="Calculation 2 4 3 2 5 3 2" xfId="3562"/>
    <cellStyle name="Calculation 2 4 3 2 5 4" xfId="3563"/>
    <cellStyle name="Calculation 2 4 3 2 5 5" xfId="3564"/>
    <cellStyle name="Calculation 2 4 3 2 5 6" xfId="3565"/>
    <cellStyle name="Calculation 2 4 3 2 6" xfId="3566"/>
    <cellStyle name="Calculation 2 4 3 2 6 2" xfId="3567"/>
    <cellStyle name="Calculation 2 4 3 2 7" xfId="3568"/>
    <cellStyle name="Calculation 2 4 3 2 7 2" xfId="3569"/>
    <cellStyle name="Calculation 2 4 3 2 8" xfId="3570"/>
    <cellStyle name="Calculation 2 4 3 2 9" xfId="3571"/>
    <cellStyle name="Calculation 2 4 3 3" xfId="3572"/>
    <cellStyle name="Calculation 2 4 3 3 2" xfId="3573"/>
    <cellStyle name="Calculation 2 4 3 3 2 2" xfId="3574"/>
    <cellStyle name="Calculation 2 4 3 3 2 2 2" xfId="3575"/>
    <cellStyle name="Calculation 2 4 3 3 2 2 2 2" xfId="3576"/>
    <cellStyle name="Calculation 2 4 3 3 2 2 3" xfId="3577"/>
    <cellStyle name="Calculation 2 4 3 3 2 2 3 2" xfId="3578"/>
    <cellStyle name="Calculation 2 4 3 3 2 2 4" xfId="3579"/>
    <cellStyle name="Calculation 2 4 3 3 2 2 5" xfId="3580"/>
    <cellStyle name="Calculation 2 4 3 3 2 2 6" xfId="3581"/>
    <cellStyle name="Calculation 2 4 3 3 2 3" xfId="3582"/>
    <cellStyle name="Calculation 2 4 3 3 2 3 2" xfId="3583"/>
    <cellStyle name="Calculation 2 4 3 3 2 4" xfId="3584"/>
    <cellStyle name="Calculation 2 4 3 3 2 4 2" xfId="3585"/>
    <cellStyle name="Calculation 2 4 3 3 2 5" xfId="3586"/>
    <cellStyle name="Calculation 2 4 3 3 2 6" xfId="3587"/>
    <cellStyle name="Calculation 2 4 3 3 2 7" xfId="3588"/>
    <cellStyle name="Calculation 2 4 3 3 3" xfId="3589"/>
    <cellStyle name="Calculation 2 4 3 3 3 2" xfId="3590"/>
    <cellStyle name="Calculation 2 4 3 3 3 2 2" xfId="3591"/>
    <cellStyle name="Calculation 2 4 3 3 3 3" xfId="3592"/>
    <cellStyle name="Calculation 2 4 3 3 3 3 2" xfId="3593"/>
    <cellStyle name="Calculation 2 4 3 3 3 4" xfId="3594"/>
    <cellStyle name="Calculation 2 4 3 3 3 5" xfId="3595"/>
    <cellStyle name="Calculation 2 4 3 3 3 6" xfId="3596"/>
    <cellStyle name="Calculation 2 4 3 3 4" xfId="3597"/>
    <cellStyle name="Calculation 2 4 3 3 4 2" xfId="3598"/>
    <cellStyle name="Calculation 2 4 3 3 5" xfId="3599"/>
    <cellStyle name="Calculation 2 4 3 3 5 2" xfId="3600"/>
    <cellStyle name="Calculation 2 4 3 3 6" xfId="3601"/>
    <cellStyle name="Calculation 2 4 3 3 7" xfId="3602"/>
    <cellStyle name="Calculation 2 4 3 3 8" xfId="3603"/>
    <cellStyle name="Calculation 2 4 3 4" xfId="3604"/>
    <cellStyle name="Calculation 2 4 3 4 2" xfId="3605"/>
    <cellStyle name="Calculation 2 4 3 4 2 2" xfId="3606"/>
    <cellStyle name="Calculation 2 4 3 4 2 2 2" xfId="3607"/>
    <cellStyle name="Calculation 2 4 3 4 2 3" xfId="3608"/>
    <cellStyle name="Calculation 2 4 3 4 2 3 2" xfId="3609"/>
    <cellStyle name="Calculation 2 4 3 4 2 4" xfId="3610"/>
    <cellStyle name="Calculation 2 4 3 4 2 5" xfId="3611"/>
    <cellStyle name="Calculation 2 4 3 4 2 6" xfId="3612"/>
    <cellStyle name="Calculation 2 4 3 4 3" xfId="3613"/>
    <cellStyle name="Calculation 2 4 3 4 3 2" xfId="3614"/>
    <cellStyle name="Calculation 2 4 3 4 4" xfId="3615"/>
    <cellStyle name="Calculation 2 4 3 4 4 2" xfId="3616"/>
    <cellStyle name="Calculation 2 4 3 4 5" xfId="3617"/>
    <cellStyle name="Calculation 2 4 3 4 6" xfId="3618"/>
    <cellStyle name="Calculation 2 4 3 4 7" xfId="3619"/>
    <cellStyle name="Calculation 2 4 3 5" xfId="3620"/>
    <cellStyle name="Calculation 2 4 3 5 2" xfId="3621"/>
    <cellStyle name="Calculation 2 4 3 5 2 2" xfId="3622"/>
    <cellStyle name="Calculation 2 4 3 5 3" xfId="3623"/>
    <cellStyle name="Calculation 2 4 3 5 3 2" xfId="3624"/>
    <cellStyle name="Calculation 2 4 3 5 4" xfId="3625"/>
    <cellStyle name="Calculation 2 4 3 5 5" xfId="3626"/>
    <cellStyle name="Calculation 2 4 3 5 6" xfId="3627"/>
    <cellStyle name="Calculation 2 4 3 6" xfId="3628"/>
    <cellStyle name="Calculation 2 4 3 6 2" xfId="3629"/>
    <cellStyle name="Calculation 2 4 3 7" xfId="3630"/>
    <cellStyle name="Calculation 2 4 3 7 2" xfId="3631"/>
    <cellStyle name="Calculation 2 4 3 8" xfId="3632"/>
    <cellStyle name="Calculation 2 4 3 9" xfId="3633"/>
    <cellStyle name="Calculation 2 4 4" xfId="3634"/>
    <cellStyle name="Calculation 2 4 4 10" xfId="3635"/>
    <cellStyle name="Calculation 2 4 4 2" xfId="3636"/>
    <cellStyle name="Calculation 2 4 4 2 2" xfId="3637"/>
    <cellStyle name="Calculation 2 4 4 2 2 2" xfId="3638"/>
    <cellStyle name="Calculation 2 4 4 2 2 2 2" xfId="3639"/>
    <cellStyle name="Calculation 2 4 4 2 2 2 2 2" xfId="3640"/>
    <cellStyle name="Calculation 2 4 4 2 2 2 3" xfId="3641"/>
    <cellStyle name="Calculation 2 4 4 2 2 2 3 2" xfId="3642"/>
    <cellStyle name="Calculation 2 4 4 2 2 2 4" xfId="3643"/>
    <cellStyle name="Calculation 2 4 4 2 2 2 5" xfId="3644"/>
    <cellStyle name="Calculation 2 4 4 2 2 2 6" xfId="3645"/>
    <cellStyle name="Calculation 2 4 4 2 2 3" xfId="3646"/>
    <cellStyle name="Calculation 2 4 4 2 2 3 2" xfId="3647"/>
    <cellStyle name="Calculation 2 4 4 2 2 4" xfId="3648"/>
    <cellStyle name="Calculation 2 4 4 2 2 4 2" xfId="3649"/>
    <cellStyle name="Calculation 2 4 4 2 2 5" xfId="3650"/>
    <cellStyle name="Calculation 2 4 4 2 2 6" xfId="3651"/>
    <cellStyle name="Calculation 2 4 4 2 2 7" xfId="3652"/>
    <cellStyle name="Calculation 2 4 4 2 3" xfId="3653"/>
    <cellStyle name="Calculation 2 4 4 2 3 2" xfId="3654"/>
    <cellStyle name="Calculation 2 4 4 2 3 2 2" xfId="3655"/>
    <cellStyle name="Calculation 2 4 4 2 3 3" xfId="3656"/>
    <cellStyle name="Calculation 2 4 4 2 3 3 2" xfId="3657"/>
    <cellStyle name="Calculation 2 4 4 2 3 4" xfId="3658"/>
    <cellStyle name="Calculation 2 4 4 2 3 5" xfId="3659"/>
    <cellStyle name="Calculation 2 4 4 2 3 6" xfId="3660"/>
    <cellStyle name="Calculation 2 4 4 2 4" xfId="3661"/>
    <cellStyle name="Calculation 2 4 4 2 4 2" xfId="3662"/>
    <cellStyle name="Calculation 2 4 4 2 5" xfId="3663"/>
    <cellStyle name="Calculation 2 4 4 2 5 2" xfId="3664"/>
    <cellStyle name="Calculation 2 4 4 2 6" xfId="3665"/>
    <cellStyle name="Calculation 2 4 4 2 7" xfId="3666"/>
    <cellStyle name="Calculation 2 4 4 2 8" xfId="3667"/>
    <cellStyle name="Calculation 2 4 4 3" xfId="3668"/>
    <cellStyle name="Calculation 2 4 4 3 2" xfId="3669"/>
    <cellStyle name="Calculation 2 4 4 3 2 2" xfId="3670"/>
    <cellStyle name="Calculation 2 4 4 3 2 2 2" xfId="3671"/>
    <cellStyle name="Calculation 2 4 4 3 2 2 2 2" xfId="3672"/>
    <cellStyle name="Calculation 2 4 4 3 2 2 3" xfId="3673"/>
    <cellStyle name="Calculation 2 4 4 3 2 2 3 2" xfId="3674"/>
    <cellStyle name="Calculation 2 4 4 3 2 2 4" xfId="3675"/>
    <cellStyle name="Calculation 2 4 4 3 2 2 5" xfId="3676"/>
    <cellStyle name="Calculation 2 4 4 3 2 2 6" xfId="3677"/>
    <cellStyle name="Calculation 2 4 4 3 2 3" xfId="3678"/>
    <cellStyle name="Calculation 2 4 4 3 2 3 2" xfId="3679"/>
    <cellStyle name="Calculation 2 4 4 3 2 4" xfId="3680"/>
    <cellStyle name="Calculation 2 4 4 3 2 4 2" xfId="3681"/>
    <cellStyle name="Calculation 2 4 4 3 2 5" xfId="3682"/>
    <cellStyle name="Calculation 2 4 4 3 2 6" xfId="3683"/>
    <cellStyle name="Calculation 2 4 4 3 2 7" xfId="3684"/>
    <cellStyle name="Calculation 2 4 4 3 3" xfId="3685"/>
    <cellStyle name="Calculation 2 4 4 3 3 2" xfId="3686"/>
    <cellStyle name="Calculation 2 4 4 3 3 2 2" xfId="3687"/>
    <cellStyle name="Calculation 2 4 4 3 3 3" xfId="3688"/>
    <cellStyle name="Calculation 2 4 4 3 3 3 2" xfId="3689"/>
    <cellStyle name="Calculation 2 4 4 3 3 4" xfId="3690"/>
    <cellStyle name="Calculation 2 4 4 3 3 5" xfId="3691"/>
    <cellStyle name="Calculation 2 4 4 3 3 6" xfId="3692"/>
    <cellStyle name="Calculation 2 4 4 3 4" xfId="3693"/>
    <cellStyle name="Calculation 2 4 4 3 4 2" xfId="3694"/>
    <cellStyle name="Calculation 2 4 4 3 5" xfId="3695"/>
    <cellStyle name="Calculation 2 4 4 3 5 2" xfId="3696"/>
    <cellStyle name="Calculation 2 4 4 3 6" xfId="3697"/>
    <cellStyle name="Calculation 2 4 4 3 7" xfId="3698"/>
    <cellStyle name="Calculation 2 4 4 3 8" xfId="3699"/>
    <cellStyle name="Calculation 2 4 4 4" xfId="3700"/>
    <cellStyle name="Calculation 2 4 4 4 2" xfId="3701"/>
    <cellStyle name="Calculation 2 4 4 4 2 2" xfId="3702"/>
    <cellStyle name="Calculation 2 4 4 4 2 2 2" xfId="3703"/>
    <cellStyle name="Calculation 2 4 4 4 2 3" xfId="3704"/>
    <cellStyle name="Calculation 2 4 4 4 2 3 2" xfId="3705"/>
    <cellStyle name="Calculation 2 4 4 4 2 4" xfId="3706"/>
    <cellStyle name="Calculation 2 4 4 4 2 5" xfId="3707"/>
    <cellStyle name="Calculation 2 4 4 4 2 6" xfId="3708"/>
    <cellStyle name="Calculation 2 4 4 4 3" xfId="3709"/>
    <cellStyle name="Calculation 2 4 4 4 3 2" xfId="3710"/>
    <cellStyle name="Calculation 2 4 4 4 4" xfId="3711"/>
    <cellStyle name="Calculation 2 4 4 4 4 2" xfId="3712"/>
    <cellStyle name="Calculation 2 4 4 4 5" xfId="3713"/>
    <cellStyle name="Calculation 2 4 4 4 6" xfId="3714"/>
    <cellStyle name="Calculation 2 4 4 4 7" xfId="3715"/>
    <cellStyle name="Calculation 2 4 4 5" xfId="3716"/>
    <cellStyle name="Calculation 2 4 4 5 2" xfId="3717"/>
    <cellStyle name="Calculation 2 4 4 5 2 2" xfId="3718"/>
    <cellStyle name="Calculation 2 4 4 5 3" xfId="3719"/>
    <cellStyle name="Calculation 2 4 4 5 3 2" xfId="3720"/>
    <cellStyle name="Calculation 2 4 4 5 4" xfId="3721"/>
    <cellStyle name="Calculation 2 4 4 5 5" xfId="3722"/>
    <cellStyle name="Calculation 2 4 4 5 6" xfId="3723"/>
    <cellStyle name="Calculation 2 4 4 6" xfId="3724"/>
    <cellStyle name="Calculation 2 4 4 6 2" xfId="3725"/>
    <cellStyle name="Calculation 2 4 4 7" xfId="3726"/>
    <cellStyle name="Calculation 2 4 4 7 2" xfId="3727"/>
    <cellStyle name="Calculation 2 4 4 8" xfId="3728"/>
    <cellStyle name="Calculation 2 4 4 9" xfId="3729"/>
    <cellStyle name="Calculation 2 4 5" xfId="3730"/>
    <cellStyle name="Calculation 2 4 5 2" xfId="3731"/>
    <cellStyle name="Calculation 2 4 5 2 2" xfId="3732"/>
    <cellStyle name="Calculation 2 4 5 2 2 2" xfId="3733"/>
    <cellStyle name="Calculation 2 4 5 2 2 2 2" xfId="3734"/>
    <cellStyle name="Calculation 2 4 5 2 2 3" xfId="3735"/>
    <cellStyle name="Calculation 2 4 5 2 2 3 2" xfId="3736"/>
    <cellStyle name="Calculation 2 4 5 2 2 4" xfId="3737"/>
    <cellStyle name="Calculation 2 4 5 2 2 5" xfId="3738"/>
    <cellStyle name="Calculation 2 4 5 2 2 6" xfId="3739"/>
    <cellStyle name="Calculation 2 4 5 2 3" xfId="3740"/>
    <cellStyle name="Calculation 2 4 5 2 3 2" xfId="3741"/>
    <cellStyle name="Calculation 2 4 5 2 4" xfId="3742"/>
    <cellStyle name="Calculation 2 4 5 2 4 2" xfId="3743"/>
    <cellStyle name="Calculation 2 4 5 2 5" xfId="3744"/>
    <cellStyle name="Calculation 2 4 5 2 6" xfId="3745"/>
    <cellStyle name="Calculation 2 4 5 2 7" xfId="3746"/>
    <cellStyle name="Calculation 2 4 5 3" xfId="3747"/>
    <cellStyle name="Calculation 2 4 5 3 2" xfId="3748"/>
    <cellStyle name="Calculation 2 4 5 3 2 2" xfId="3749"/>
    <cellStyle name="Calculation 2 4 5 3 3" xfId="3750"/>
    <cellStyle name="Calculation 2 4 5 3 3 2" xfId="3751"/>
    <cellStyle name="Calculation 2 4 5 3 4" xfId="3752"/>
    <cellStyle name="Calculation 2 4 5 3 5" xfId="3753"/>
    <cellStyle name="Calculation 2 4 5 3 6" xfId="3754"/>
    <cellStyle name="Calculation 2 4 5 4" xfId="3755"/>
    <cellStyle name="Calculation 2 4 5 4 2" xfId="3756"/>
    <cellStyle name="Calculation 2 4 5 5" xfId="3757"/>
    <cellStyle name="Calculation 2 4 5 5 2" xfId="3758"/>
    <cellStyle name="Calculation 2 4 5 6" xfId="3759"/>
    <cellStyle name="Calculation 2 4 5 7" xfId="3760"/>
    <cellStyle name="Calculation 2 4 5 8" xfId="3761"/>
    <cellStyle name="Calculation 2 4 6" xfId="3762"/>
    <cellStyle name="Calculation 2 4 6 2" xfId="3763"/>
    <cellStyle name="Calculation 2 4 6 2 2" xfId="3764"/>
    <cellStyle name="Calculation 2 4 6 2 2 2" xfId="3765"/>
    <cellStyle name="Calculation 2 4 6 2 3" xfId="3766"/>
    <cellStyle name="Calculation 2 4 6 2 3 2" xfId="3767"/>
    <cellStyle name="Calculation 2 4 6 2 4" xfId="3768"/>
    <cellStyle name="Calculation 2 4 6 2 5" xfId="3769"/>
    <cellStyle name="Calculation 2 4 6 2 6" xfId="3770"/>
    <cellStyle name="Calculation 2 4 6 3" xfId="3771"/>
    <cellStyle name="Calculation 2 4 6 3 2" xfId="3772"/>
    <cellStyle name="Calculation 2 4 6 4" xfId="3773"/>
    <cellStyle name="Calculation 2 4 6 4 2" xfId="3774"/>
    <cellStyle name="Calculation 2 4 6 5" xfId="3775"/>
    <cellStyle name="Calculation 2 4 6 6" xfId="3776"/>
    <cellStyle name="Calculation 2 4 6 7" xfId="3777"/>
    <cellStyle name="Calculation 2 4 7" xfId="3778"/>
    <cellStyle name="Calculation 2 4 7 2" xfId="3779"/>
    <cellStyle name="Calculation 2 4 7 2 2" xfId="3780"/>
    <cellStyle name="Calculation 2 4 7 3" xfId="3781"/>
    <cellStyle name="Calculation 2 4 7 3 2" xfId="3782"/>
    <cellStyle name="Calculation 2 4 7 4" xfId="3783"/>
    <cellStyle name="Calculation 2 4 7 5" xfId="3784"/>
    <cellStyle name="Calculation 2 4 7 6" xfId="3785"/>
    <cellStyle name="Calculation 2 4 8" xfId="3786"/>
    <cellStyle name="Calculation 2 4 8 2" xfId="3787"/>
    <cellStyle name="Calculation 2 4 9" xfId="3788"/>
    <cellStyle name="Calculation 2 4 9 2" xfId="3789"/>
    <cellStyle name="Calculation 2 5" xfId="3790"/>
    <cellStyle name="Calculation 2 5 10" xfId="3791"/>
    <cellStyle name="Calculation 2 5 11" xfId="3792"/>
    <cellStyle name="Calculation 2 5 2" xfId="3793"/>
    <cellStyle name="Calculation 2 5 2 10" xfId="3794"/>
    <cellStyle name="Calculation 2 5 2 2" xfId="3795"/>
    <cellStyle name="Calculation 2 5 2 2 10" xfId="3796"/>
    <cellStyle name="Calculation 2 5 2 2 2" xfId="3797"/>
    <cellStyle name="Calculation 2 5 2 2 2 2" xfId="3798"/>
    <cellStyle name="Calculation 2 5 2 2 2 2 2" xfId="3799"/>
    <cellStyle name="Calculation 2 5 2 2 2 2 2 2" xfId="3800"/>
    <cellStyle name="Calculation 2 5 2 2 2 2 2 2 2" xfId="3801"/>
    <cellStyle name="Calculation 2 5 2 2 2 2 2 3" xfId="3802"/>
    <cellStyle name="Calculation 2 5 2 2 2 2 2 3 2" xfId="3803"/>
    <cellStyle name="Calculation 2 5 2 2 2 2 2 4" xfId="3804"/>
    <cellStyle name="Calculation 2 5 2 2 2 2 2 5" xfId="3805"/>
    <cellStyle name="Calculation 2 5 2 2 2 2 2 6" xfId="3806"/>
    <cellStyle name="Calculation 2 5 2 2 2 2 3" xfId="3807"/>
    <cellStyle name="Calculation 2 5 2 2 2 2 3 2" xfId="3808"/>
    <cellStyle name="Calculation 2 5 2 2 2 2 4" xfId="3809"/>
    <cellStyle name="Calculation 2 5 2 2 2 2 4 2" xfId="3810"/>
    <cellStyle name="Calculation 2 5 2 2 2 2 5" xfId="3811"/>
    <cellStyle name="Calculation 2 5 2 2 2 2 6" xfId="3812"/>
    <cellStyle name="Calculation 2 5 2 2 2 2 7" xfId="3813"/>
    <cellStyle name="Calculation 2 5 2 2 2 3" xfId="3814"/>
    <cellStyle name="Calculation 2 5 2 2 2 3 2" xfId="3815"/>
    <cellStyle name="Calculation 2 5 2 2 2 3 2 2" xfId="3816"/>
    <cellStyle name="Calculation 2 5 2 2 2 3 3" xfId="3817"/>
    <cellStyle name="Calculation 2 5 2 2 2 3 3 2" xfId="3818"/>
    <cellStyle name="Calculation 2 5 2 2 2 3 4" xfId="3819"/>
    <cellStyle name="Calculation 2 5 2 2 2 3 5" xfId="3820"/>
    <cellStyle name="Calculation 2 5 2 2 2 3 6" xfId="3821"/>
    <cellStyle name="Calculation 2 5 2 2 2 4" xfId="3822"/>
    <cellStyle name="Calculation 2 5 2 2 2 4 2" xfId="3823"/>
    <cellStyle name="Calculation 2 5 2 2 2 5" xfId="3824"/>
    <cellStyle name="Calculation 2 5 2 2 2 5 2" xfId="3825"/>
    <cellStyle name="Calculation 2 5 2 2 2 6" xfId="3826"/>
    <cellStyle name="Calculation 2 5 2 2 2 7" xfId="3827"/>
    <cellStyle name="Calculation 2 5 2 2 2 8" xfId="3828"/>
    <cellStyle name="Calculation 2 5 2 2 3" xfId="3829"/>
    <cellStyle name="Calculation 2 5 2 2 3 2" xfId="3830"/>
    <cellStyle name="Calculation 2 5 2 2 3 2 2" xfId="3831"/>
    <cellStyle name="Calculation 2 5 2 2 3 2 2 2" xfId="3832"/>
    <cellStyle name="Calculation 2 5 2 2 3 2 2 2 2" xfId="3833"/>
    <cellStyle name="Calculation 2 5 2 2 3 2 2 3" xfId="3834"/>
    <cellStyle name="Calculation 2 5 2 2 3 2 2 3 2" xfId="3835"/>
    <cellStyle name="Calculation 2 5 2 2 3 2 2 4" xfId="3836"/>
    <cellStyle name="Calculation 2 5 2 2 3 2 2 5" xfId="3837"/>
    <cellStyle name="Calculation 2 5 2 2 3 2 2 6" xfId="3838"/>
    <cellStyle name="Calculation 2 5 2 2 3 2 3" xfId="3839"/>
    <cellStyle name="Calculation 2 5 2 2 3 2 3 2" xfId="3840"/>
    <cellStyle name="Calculation 2 5 2 2 3 2 4" xfId="3841"/>
    <cellStyle name="Calculation 2 5 2 2 3 2 4 2" xfId="3842"/>
    <cellStyle name="Calculation 2 5 2 2 3 2 5" xfId="3843"/>
    <cellStyle name="Calculation 2 5 2 2 3 2 6" xfId="3844"/>
    <cellStyle name="Calculation 2 5 2 2 3 2 7" xfId="3845"/>
    <cellStyle name="Calculation 2 5 2 2 3 3" xfId="3846"/>
    <cellStyle name="Calculation 2 5 2 2 3 3 2" xfId="3847"/>
    <cellStyle name="Calculation 2 5 2 2 3 3 2 2" xfId="3848"/>
    <cellStyle name="Calculation 2 5 2 2 3 3 3" xfId="3849"/>
    <cellStyle name="Calculation 2 5 2 2 3 3 3 2" xfId="3850"/>
    <cellStyle name="Calculation 2 5 2 2 3 3 4" xfId="3851"/>
    <cellStyle name="Calculation 2 5 2 2 3 3 5" xfId="3852"/>
    <cellStyle name="Calculation 2 5 2 2 3 3 6" xfId="3853"/>
    <cellStyle name="Calculation 2 5 2 2 3 4" xfId="3854"/>
    <cellStyle name="Calculation 2 5 2 2 3 4 2" xfId="3855"/>
    <cellStyle name="Calculation 2 5 2 2 3 5" xfId="3856"/>
    <cellStyle name="Calculation 2 5 2 2 3 5 2" xfId="3857"/>
    <cellStyle name="Calculation 2 5 2 2 3 6" xfId="3858"/>
    <cellStyle name="Calculation 2 5 2 2 3 7" xfId="3859"/>
    <cellStyle name="Calculation 2 5 2 2 3 8" xfId="3860"/>
    <cellStyle name="Calculation 2 5 2 2 4" xfId="3861"/>
    <cellStyle name="Calculation 2 5 2 2 4 2" xfId="3862"/>
    <cellStyle name="Calculation 2 5 2 2 4 2 2" xfId="3863"/>
    <cellStyle name="Calculation 2 5 2 2 4 2 2 2" xfId="3864"/>
    <cellStyle name="Calculation 2 5 2 2 4 2 3" xfId="3865"/>
    <cellStyle name="Calculation 2 5 2 2 4 2 3 2" xfId="3866"/>
    <cellStyle name="Calculation 2 5 2 2 4 2 4" xfId="3867"/>
    <cellStyle name="Calculation 2 5 2 2 4 2 5" xfId="3868"/>
    <cellStyle name="Calculation 2 5 2 2 4 2 6" xfId="3869"/>
    <cellStyle name="Calculation 2 5 2 2 4 3" xfId="3870"/>
    <cellStyle name="Calculation 2 5 2 2 4 3 2" xfId="3871"/>
    <cellStyle name="Calculation 2 5 2 2 4 4" xfId="3872"/>
    <cellStyle name="Calculation 2 5 2 2 4 4 2" xfId="3873"/>
    <cellStyle name="Calculation 2 5 2 2 4 5" xfId="3874"/>
    <cellStyle name="Calculation 2 5 2 2 4 6" xfId="3875"/>
    <cellStyle name="Calculation 2 5 2 2 4 7" xfId="3876"/>
    <cellStyle name="Calculation 2 5 2 2 5" xfId="3877"/>
    <cellStyle name="Calculation 2 5 2 2 5 2" xfId="3878"/>
    <cellStyle name="Calculation 2 5 2 2 5 2 2" xfId="3879"/>
    <cellStyle name="Calculation 2 5 2 2 5 3" xfId="3880"/>
    <cellStyle name="Calculation 2 5 2 2 5 3 2" xfId="3881"/>
    <cellStyle name="Calculation 2 5 2 2 5 4" xfId="3882"/>
    <cellStyle name="Calculation 2 5 2 2 5 5" xfId="3883"/>
    <cellStyle name="Calculation 2 5 2 2 5 6" xfId="3884"/>
    <cellStyle name="Calculation 2 5 2 2 6" xfId="3885"/>
    <cellStyle name="Calculation 2 5 2 2 6 2" xfId="3886"/>
    <cellStyle name="Calculation 2 5 2 2 7" xfId="3887"/>
    <cellStyle name="Calculation 2 5 2 2 7 2" xfId="3888"/>
    <cellStyle name="Calculation 2 5 2 2 8" xfId="3889"/>
    <cellStyle name="Calculation 2 5 2 2 9" xfId="3890"/>
    <cellStyle name="Calculation 2 5 2 3" xfId="3891"/>
    <cellStyle name="Calculation 2 5 2 3 2" xfId="3892"/>
    <cellStyle name="Calculation 2 5 2 3 2 2" xfId="3893"/>
    <cellStyle name="Calculation 2 5 2 3 2 2 2" xfId="3894"/>
    <cellStyle name="Calculation 2 5 2 3 2 2 2 2" xfId="3895"/>
    <cellStyle name="Calculation 2 5 2 3 2 2 3" xfId="3896"/>
    <cellStyle name="Calculation 2 5 2 3 2 2 3 2" xfId="3897"/>
    <cellStyle name="Calculation 2 5 2 3 2 2 4" xfId="3898"/>
    <cellStyle name="Calculation 2 5 2 3 2 2 5" xfId="3899"/>
    <cellStyle name="Calculation 2 5 2 3 2 2 6" xfId="3900"/>
    <cellStyle name="Calculation 2 5 2 3 2 3" xfId="3901"/>
    <cellStyle name="Calculation 2 5 2 3 2 3 2" xfId="3902"/>
    <cellStyle name="Calculation 2 5 2 3 2 4" xfId="3903"/>
    <cellStyle name="Calculation 2 5 2 3 2 4 2" xfId="3904"/>
    <cellStyle name="Calculation 2 5 2 3 2 5" xfId="3905"/>
    <cellStyle name="Calculation 2 5 2 3 2 6" xfId="3906"/>
    <cellStyle name="Calculation 2 5 2 3 2 7" xfId="3907"/>
    <cellStyle name="Calculation 2 5 2 3 3" xfId="3908"/>
    <cellStyle name="Calculation 2 5 2 3 3 2" xfId="3909"/>
    <cellStyle name="Calculation 2 5 2 3 3 2 2" xfId="3910"/>
    <cellStyle name="Calculation 2 5 2 3 3 3" xfId="3911"/>
    <cellStyle name="Calculation 2 5 2 3 3 3 2" xfId="3912"/>
    <cellStyle name="Calculation 2 5 2 3 3 4" xfId="3913"/>
    <cellStyle name="Calculation 2 5 2 3 3 5" xfId="3914"/>
    <cellStyle name="Calculation 2 5 2 3 3 6" xfId="3915"/>
    <cellStyle name="Calculation 2 5 2 3 4" xfId="3916"/>
    <cellStyle name="Calculation 2 5 2 3 4 2" xfId="3917"/>
    <cellStyle name="Calculation 2 5 2 3 5" xfId="3918"/>
    <cellStyle name="Calculation 2 5 2 3 5 2" xfId="3919"/>
    <cellStyle name="Calculation 2 5 2 3 6" xfId="3920"/>
    <cellStyle name="Calculation 2 5 2 3 7" xfId="3921"/>
    <cellStyle name="Calculation 2 5 2 3 8" xfId="3922"/>
    <cellStyle name="Calculation 2 5 2 4" xfId="3923"/>
    <cellStyle name="Calculation 2 5 2 4 2" xfId="3924"/>
    <cellStyle name="Calculation 2 5 2 4 2 2" xfId="3925"/>
    <cellStyle name="Calculation 2 5 2 4 2 2 2" xfId="3926"/>
    <cellStyle name="Calculation 2 5 2 4 2 3" xfId="3927"/>
    <cellStyle name="Calculation 2 5 2 4 2 3 2" xfId="3928"/>
    <cellStyle name="Calculation 2 5 2 4 2 4" xfId="3929"/>
    <cellStyle name="Calculation 2 5 2 4 2 5" xfId="3930"/>
    <cellStyle name="Calculation 2 5 2 4 2 6" xfId="3931"/>
    <cellStyle name="Calculation 2 5 2 4 3" xfId="3932"/>
    <cellStyle name="Calculation 2 5 2 4 3 2" xfId="3933"/>
    <cellStyle name="Calculation 2 5 2 4 4" xfId="3934"/>
    <cellStyle name="Calculation 2 5 2 4 4 2" xfId="3935"/>
    <cellStyle name="Calculation 2 5 2 4 5" xfId="3936"/>
    <cellStyle name="Calculation 2 5 2 4 6" xfId="3937"/>
    <cellStyle name="Calculation 2 5 2 4 7" xfId="3938"/>
    <cellStyle name="Calculation 2 5 2 5" xfId="3939"/>
    <cellStyle name="Calculation 2 5 2 5 2" xfId="3940"/>
    <cellStyle name="Calculation 2 5 2 5 2 2" xfId="3941"/>
    <cellStyle name="Calculation 2 5 2 5 3" xfId="3942"/>
    <cellStyle name="Calculation 2 5 2 5 3 2" xfId="3943"/>
    <cellStyle name="Calculation 2 5 2 5 4" xfId="3944"/>
    <cellStyle name="Calculation 2 5 2 5 5" xfId="3945"/>
    <cellStyle name="Calculation 2 5 2 5 6" xfId="3946"/>
    <cellStyle name="Calculation 2 5 2 6" xfId="3947"/>
    <cellStyle name="Calculation 2 5 2 6 2" xfId="3948"/>
    <cellStyle name="Calculation 2 5 2 7" xfId="3949"/>
    <cellStyle name="Calculation 2 5 2 7 2" xfId="3950"/>
    <cellStyle name="Calculation 2 5 2 8" xfId="3951"/>
    <cellStyle name="Calculation 2 5 2 9" xfId="3952"/>
    <cellStyle name="Calculation 2 5 3" xfId="3953"/>
    <cellStyle name="Calculation 2 5 3 10" xfId="3954"/>
    <cellStyle name="Calculation 2 5 3 2" xfId="3955"/>
    <cellStyle name="Calculation 2 5 3 2 2" xfId="3956"/>
    <cellStyle name="Calculation 2 5 3 2 2 2" xfId="3957"/>
    <cellStyle name="Calculation 2 5 3 2 2 2 2" xfId="3958"/>
    <cellStyle name="Calculation 2 5 3 2 2 2 2 2" xfId="3959"/>
    <cellStyle name="Calculation 2 5 3 2 2 2 3" xfId="3960"/>
    <cellStyle name="Calculation 2 5 3 2 2 2 3 2" xfId="3961"/>
    <cellStyle name="Calculation 2 5 3 2 2 2 4" xfId="3962"/>
    <cellStyle name="Calculation 2 5 3 2 2 2 5" xfId="3963"/>
    <cellStyle name="Calculation 2 5 3 2 2 2 6" xfId="3964"/>
    <cellStyle name="Calculation 2 5 3 2 2 3" xfId="3965"/>
    <cellStyle name="Calculation 2 5 3 2 2 3 2" xfId="3966"/>
    <cellStyle name="Calculation 2 5 3 2 2 4" xfId="3967"/>
    <cellStyle name="Calculation 2 5 3 2 2 4 2" xfId="3968"/>
    <cellStyle name="Calculation 2 5 3 2 2 5" xfId="3969"/>
    <cellStyle name="Calculation 2 5 3 2 2 6" xfId="3970"/>
    <cellStyle name="Calculation 2 5 3 2 2 7" xfId="3971"/>
    <cellStyle name="Calculation 2 5 3 2 3" xfId="3972"/>
    <cellStyle name="Calculation 2 5 3 2 3 2" xfId="3973"/>
    <cellStyle name="Calculation 2 5 3 2 3 2 2" xfId="3974"/>
    <cellStyle name="Calculation 2 5 3 2 3 3" xfId="3975"/>
    <cellStyle name="Calculation 2 5 3 2 3 3 2" xfId="3976"/>
    <cellStyle name="Calculation 2 5 3 2 3 4" xfId="3977"/>
    <cellStyle name="Calculation 2 5 3 2 3 5" xfId="3978"/>
    <cellStyle name="Calculation 2 5 3 2 3 6" xfId="3979"/>
    <cellStyle name="Calculation 2 5 3 2 4" xfId="3980"/>
    <cellStyle name="Calculation 2 5 3 2 4 2" xfId="3981"/>
    <cellStyle name="Calculation 2 5 3 2 5" xfId="3982"/>
    <cellStyle name="Calculation 2 5 3 2 5 2" xfId="3983"/>
    <cellStyle name="Calculation 2 5 3 2 6" xfId="3984"/>
    <cellStyle name="Calculation 2 5 3 2 7" xfId="3985"/>
    <cellStyle name="Calculation 2 5 3 2 8" xfId="3986"/>
    <cellStyle name="Calculation 2 5 3 3" xfId="3987"/>
    <cellStyle name="Calculation 2 5 3 3 2" xfId="3988"/>
    <cellStyle name="Calculation 2 5 3 3 2 2" xfId="3989"/>
    <cellStyle name="Calculation 2 5 3 3 2 2 2" xfId="3990"/>
    <cellStyle name="Calculation 2 5 3 3 2 2 2 2" xfId="3991"/>
    <cellStyle name="Calculation 2 5 3 3 2 2 3" xfId="3992"/>
    <cellStyle name="Calculation 2 5 3 3 2 2 3 2" xfId="3993"/>
    <cellStyle name="Calculation 2 5 3 3 2 2 4" xfId="3994"/>
    <cellStyle name="Calculation 2 5 3 3 2 2 5" xfId="3995"/>
    <cellStyle name="Calculation 2 5 3 3 2 2 6" xfId="3996"/>
    <cellStyle name="Calculation 2 5 3 3 2 3" xfId="3997"/>
    <cellStyle name="Calculation 2 5 3 3 2 3 2" xfId="3998"/>
    <cellStyle name="Calculation 2 5 3 3 2 4" xfId="3999"/>
    <cellStyle name="Calculation 2 5 3 3 2 4 2" xfId="4000"/>
    <cellStyle name="Calculation 2 5 3 3 2 5" xfId="4001"/>
    <cellStyle name="Calculation 2 5 3 3 2 6" xfId="4002"/>
    <cellStyle name="Calculation 2 5 3 3 2 7" xfId="4003"/>
    <cellStyle name="Calculation 2 5 3 3 3" xfId="4004"/>
    <cellStyle name="Calculation 2 5 3 3 3 2" xfId="4005"/>
    <cellStyle name="Calculation 2 5 3 3 3 2 2" xfId="4006"/>
    <cellStyle name="Calculation 2 5 3 3 3 3" xfId="4007"/>
    <cellStyle name="Calculation 2 5 3 3 3 3 2" xfId="4008"/>
    <cellStyle name="Calculation 2 5 3 3 3 4" xfId="4009"/>
    <cellStyle name="Calculation 2 5 3 3 3 5" xfId="4010"/>
    <cellStyle name="Calculation 2 5 3 3 3 6" xfId="4011"/>
    <cellStyle name="Calculation 2 5 3 3 4" xfId="4012"/>
    <cellStyle name="Calculation 2 5 3 3 4 2" xfId="4013"/>
    <cellStyle name="Calculation 2 5 3 3 5" xfId="4014"/>
    <cellStyle name="Calculation 2 5 3 3 5 2" xfId="4015"/>
    <cellStyle name="Calculation 2 5 3 3 6" xfId="4016"/>
    <cellStyle name="Calculation 2 5 3 3 7" xfId="4017"/>
    <cellStyle name="Calculation 2 5 3 3 8" xfId="4018"/>
    <cellStyle name="Calculation 2 5 3 4" xfId="4019"/>
    <cellStyle name="Calculation 2 5 3 4 2" xfId="4020"/>
    <cellStyle name="Calculation 2 5 3 4 2 2" xfId="4021"/>
    <cellStyle name="Calculation 2 5 3 4 2 2 2" xfId="4022"/>
    <cellStyle name="Calculation 2 5 3 4 2 3" xfId="4023"/>
    <cellStyle name="Calculation 2 5 3 4 2 3 2" xfId="4024"/>
    <cellStyle name="Calculation 2 5 3 4 2 4" xfId="4025"/>
    <cellStyle name="Calculation 2 5 3 4 2 5" xfId="4026"/>
    <cellStyle name="Calculation 2 5 3 4 2 6" xfId="4027"/>
    <cellStyle name="Calculation 2 5 3 4 3" xfId="4028"/>
    <cellStyle name="Calculation 2 5 3 4 3 2" xfId="4029"/>
    <cellStyle name="Calculation 2 5 3 4 4" xfId="4030"/>
    <cellStyle name="Calculation 2 5 3 4 4 2" xfId="4031"/>
    <cellStyle name="Calculation 2 5 3 4 5" xfId="4032"/>
    <cellStyle name="Calculation 2 5 3 4 6" xfId="4033"/>
    <cellStyle name="Calculation 2 5 3 4 7" xfId="4034"/>
    <cellStyle name="Calculation 2 5 3 5" xfId="4035"/>
    <cellStyle name="Calculation 2 5 3 5 2" xfId="4036"/>
    <cellStyle name="Calculation 2 5 3 5 2 2" xfId="4037"/>
    <cellStyle name="Calculation 2 5 3 5 3" xfId="4038"/>
    <cellStyle name="Calculation 2 5 3 5 3 2" xfId="4039"/>
    <cellStyle name="Calculation 2 5 3 5 4" xfId="4040"/>
    <cellStyle name="Calculation 2 5 3 5 5" xfId="4041"/>
    <cellStyle name="Calculation 2 5 3 5 6" xfId="4042"/>
    <cellStyle name="Calculation 2 5 3 6" xfId="4043"/>
    <cellStyle name="Calculation 2 5 3 6 2" xfId="4044"/>
    <cellStyle name="Calculation 2 5 3 7" xfId="4045"/>
    <cellStyle name="Calculation 2 5 3 7 2" xfId="4046"/>
    <cellStyle name="Calculation 2 5 3 8" xfId="4047"/>
    <cellStyle name="Calculation 2 5 3 9" xfId="4048"/>
    <cellStyle name="Calculation 2 5 4" xfId="4049"/>
    <cellStyle name="Calculation 2 5 4 2" xfId="4050"/>
    <cellStyle name="Calculation 2 5 4 2 2" xfId="4051"/>
    <cellStyle name="Calculation 2 5 4 2 2 2" xfId="4052"/>
    <cellStyle name="Calculation 2 5 4 2 2 2 2" xfId="4053"/>
    <cellStyle name="Calculation 2 5 4 2 2 3" xfId="4054"/>
    <cellStyle name="Calculation 2 5 4 2 2 3 2" xfId="4055"/>
    <cellStyle name="Calculation 2 5 4 2 2 4" xfId="4056"/>
    <cellStyle name="Calculation 2 5 4 2 2 5" xfId="4057"/>
    <cellStyle name="Calculation 2 5 4 2 2 6" xfId="4058"/>
    <cellStyle name="Calculation 2 5 4 2 3" xfId="4059"/>
    <cellStyle name="Calculation 2 5 4 2 3 2" xfId="4060"/>
    <cellStyle name="Calculation 2 5 4 2 4" xfId="4061"/>
    <cellStyle name="Calculation 2 5 4 2 4 2" xfId="4062"/>
    <cellStyle name="Calculation 2 5 4 2 5" xfId="4063"/>
    <cellStyle name="Calculation 2 5 4 2 6" xfId="4064"/>
    <cellStyle name="Calculation 2 5 4 2 7" xfId="4065"/>
    <cellStyle name="Calculation 2 5 4 3" xfId="4066"/>
    <cellStyle name="Calculation 2 5 4 3 2" xfId="4067"/>
    <cellStyle name="Calculation 2 5 4 3 2 2" xfId="4068"/>
    <cellStyle name="Calculation 2 5 4 3 3" xfId="4069"/>
    <cellStyle name="Calculation 2 5 4 3 3 2" xfId="4070"/>
    <cellStyle name="Calculation 2 5 4 3 4" xfId="4071"/>
    <cellStyle name="Calculation 2 5 4 3 5" xfId="4072"/>
    <cellStyle name="Calculation 2 5 4 3 6" xfId="4073"/>
    <cellStyle name="Calculation 2 5 4 4" xfId="4074"/>
    <cellStyle name="Calculation 2 5 4 4 2" xfId="4075"/>
    <cellStyle name="Calculation 2 5 4 5" xfId="4076"/>
    <cellStyle name="Calculation 2 5 4 5 2" xfId="4077"/>
    <cellStyle name="Calculation 2 5 4 6" xfId="4078"/>
    <cellStyle name="Calculation 2 5 4 7" xfId="4079"/>
    <cellStyle name="Calculation 2 5 4 8" xfId="4080"/>
    <cellStyle name="Calculation 2 5 5" xfId="4081"/>
    <cellStyle name="Calculation 2 5 5 2" xfId="4082"/>
    <cellStyle name="Calculation 2 5 5 2 2" xfId="4083"/>
    <cellStyle name="Calculation 2 5 5 2 2 2" xfId="4084"/>
    <cellStyle name="Calculation 2 5 5 2 3" xfId="4085"/>
    <cellStyle name="Calculation 2 5 5 2 3 2" xfId="4086"/>
    <cellStyle name="Calculation 2 5 5 2 4" xfId="4087"/>
    <cellStyle name="Calculation 2 5 5 2 5" xfId="4088"/>
    <cellStyle name="Calculation 2 5 5 2 6" xfId="4089"/>
    <cellStyle name="Calculation 2 5 5 3" xfId="4090"/>
    <cellStyle name="Calculation 2 5 5 3 2" xfId="4091"/>
    <cellStyle name="Calculation 2 5 5 4" xfId="4092"/>
    <cellStyle name="Calculation 2 5 5 4 2" xfId="4093"/>
    <cellStyle name="Calculation 2 5 5 5" xfId="4094"/>
    <cellStyle name="Calculation 2 5 5 6" xfId="4095"/>
    <cellStyle name="Calculation 2 5 5 7" xfId="4096"/>
    <cellStyle name="Calculation 2 5 6" xfId="4097"/>
    <cellStyle name="Calculation 2 5 6 2" xfId="4098"/>
    <cellStyle name="Calculation 2 5 6 2 2" xfId="4099"/>
    <cellStyle name="Calculation 2 5 6 3" xfId="4100"/>
    <cellStyle name="Calculation 2 5 6 3 2" xfId="4101"/>
    <cellStyle name="Calculation 2 5 6 4" xfId="4102"/>
    <cellStyle name="Calculation 2 5 6 5" xfId="4103"/>
    <cellStyle name="Calculation 2 5 6 6" xfId="4104"/>
    <cellStyle name="Calculation 2 5 7" xfId="4105"/>
    <cellStyle name="Calculation 2 5 7 2" xfId="4106"/>
    <cellStyle name="Calculation 2 5 8" xfId="4107"/>
    <cellStyle name="Calculation 2 5 8 2" xfId="4108"/>
    <cellStyle name="Calculation 2 5 9" xfId="4109"/>
    <cellStyle name="Calculation 2 6" xfId="4110"/>
    <cellStyle name="Calculation 2 6 10" xfId="4111"/>
    <cellStyle name="Calculation 2 6 11" xfId="4112"/>
    <cellStyle name="Calculation 2 6 2" xfId="4113"/>
    <cellStyle name="Calculation 2 6 2 10" xfId="4114"/>
    <cellStyle name="Calculation 2 6 2 2" xfId="4115"/>
    <cellStyle name="Calculation 2 6 2 2 2" xfId="4116"/>
    <cellStyle name="Calculation 2 6 2 2 2 2" xfId="4117"/>
    <cellStyle name="Calculation 2 6 2 2 2 2 2" xfId="4118"/>
    <cellStyle name="Calculation 2 6 2 2 2 2 2 2" xfId="4119"/>
    <cellStyle name="Calculation 2 6 2 2 2 2 3" xfId="4120"/>
    <cellStyle name="Calculation 2 6 2 2 2 2 3 2" xfId="4121"/>
    <cellStyle name="Calculation 2 6 2 2 2 2 4" xfId="4122"/>
    <cellStyle name="Calculation 2 6 2 2 2 2 5" xfId="4123"/>
    <cellStyle name="Calculation 2 6 2 2 2 2 6" xfId="4124"/>
    <cellStyle name="Calculation 2 6 2 2 2 3" xfId="4125"/>
    <cellStyle name="Calculation 2 6 2 2 2 3 2" xfId="4126"/>
    <cellStyle name="Calculation 2 6 2 2 2 4" xfId="4127"/>
    <cellStyle name="Calculation 2 6 2 2 2 4 2" xfId="4128"/>
    <cellStyle name="Calculation 2 6 2 2 2 5" xfId="4129"/>
    <cellStyle name="Calculation 2 6 2 2 2 6" xfId="4130"/>
    <cellStyle name="Calculation 2 6 2 2 2 7" xfId="4131"/>
    <cellStyle name="Calculation 2 6 2 2 3" xfId="4132"/>
    <cellStyle name="Calculation 2 6 2 2 3 2" xfId="4133"/>
    <cellStyle name="Calculation 2 6 2 2 3 2 2" xfId="4134"/>
    <cellStyle name="Calculation 2 6 2 2 3 3" xfId="4135"/>
    <cellStyle name="Calculation 2 6 2 2 3 3 2" xfId="4136"/>
    <cellStyle name="Calculation 2 6 2 2 3 4" xfId="4137"/>
    <cellStyle name="Calculation 2 6 2 2 3 5" xfId="4138"/>
    <cellStyle name="Calculation 2 6 2 2 3 6" xfId="4139"/>
    <cellStyle name="Calculation 2 6 2 2 4" xfId="4140"/>
    <cellStyle name="Calculation 2 6 2 2 4 2" xfId="4141"/>
    <cellStyle name="Calculation 2 6 2 2 5" xfId="4142"/>
    <cellStyle name="Calculation 2 6 2 2 5 2" xfId="4143"/>
    <cellStyle name="Calculation 2 6 2 2 6" xfId="4144"/>
    <cellStyle name="Calculation 2 6 2 2 7" xfId="4145"/>
    <cellStyle name="Calculation 2 6 2 2 8" xfId="4146"/>
    <cellStyle name="Calculation 2 6 2 3" xfId="4147"/>
    <cellStyle name="Calculation 2 6 2 3 2" xfId="4148"/>
    <cellStyle name="Calculation 2 6 2 3 2 2" xfId="4149"/>
    <cellStyle name="Calculation 2 6 2 3 2 2 2" xfId="4150"/>
    <cellStyle name="Calculation 2 6 2 3 2 2 2 2" xfId="4151"/>
    <cellStyle name="Calculation 2 6 2 3 2 2 3" xfId="4152"/>
    <cellStyle name="Calculation 2 6 2 3 2 2 3 2" xfId="4153"/>
    <cellStyle name="Calculation 2 6 2 3 2 2 4" xfId="4154"/>
    <cellStyle name="Calculation 2 6 2 3 2 2 5" xfId="4155"/>
    <cellStyle name="Calculation 2 6 2 3 2 2 6" xfId="4156"/>
    <cellStyle name="Calculation 2 6 2 3 2 3" xfId="4157"/>
    <cellStyle name="Calculation 2 6 2 3 2 3 2" xfId="4158"/>
    <cellStyle name="Calculation 2 6 2 3 2 4" xfId="4159"/>
    <cellStyle name="Calculation 2 6 2 3 2 4 2" xfId="4160"/>
    <cellStyle name="Calculation 2 6 2 3 2 5" xfId="4161"/>
    <cellStyle name="Calculation 2 6 2 3 2 6" xfId="4162"/>
    <cellStyle name="Calculation 2 6 2 3 2 7" xfId="4163"/>
    <cellStyle name="Calculation 2 6 2 3 3" xfId="4164"/>
    <cellStyle name="Calculation 2 6 2 3 3 2" xfId="4165"/>
    <cellStyle name="Calculation 2 6 2 3 3 2 2" xfId="4166"/>
    <cellStyle name="Calculation 2 6 2 3 3 3" xfId="4167"/>
    <cellStyle name="Calculation 2 6 2 3 3 3 2" xfId="4168"/>
    <cellStyle name="Calculation 2 6 2 3 3 4" xfId="4169"/>
    <cellStyle name="Calculation 2 6 2 3 3 5" xfId="4170"/>
    <cellStyle name="Calculation 2 6 2 3 3 6" xfId="4171"/>
    <cellStyle name="Calculation 2 6 2 3 4" xfId="4172"/>
    <cellStyle name="Calculation 2 6 2 3 4 2" xfId="4173"/>
    <cellStyle name="Calculation 2 6 2 3 5" xfId="4174"/>
    <cellStyle name="Calculation 2 6 2 3 5 2" xfId="4175"/>
    <cellStyle name="Calculation 2 6 2 3 6" xfId="4176"/>
    <cellStyle name="Calculation 2 6 2 3 7" xfId="4177"/>
    <cellStyle name="Calculation 2 6 2 3 8" xfId="4178"/>
    <cellStyle name="Calculation 2 6 2 4" xfId="4179"/>
    <cellStyle name="Calculation 2 6 2 4 2" xfId="4180"/>
    <cellStyle name="Calculation 2 6 2 4 2 2" xfId="4181"/>
    <cellStyle name="Calculation 2 6 2 4 2 2 2" xfId="4182"/>
    <cellStyle name="Calculation 2 6 2 4 2 3" xfId="4183"/>
    <cellStyle name="Calculation 2 6 2 4 2 3 2" xfId="4184"/>
    <cellStyle name="Calculation 2 6 2 4 2 4" xfId="4185"/>
    <cellStyle name="Calculation 2 6 2 4 2 5" xfId="4186"/>
    <cellStyle name="Calculation 2 6 2 4 2 6" xfId="4187"/>
    <cellStyle name="Calculation 2 6 2 4 3" xfId="4188"/>
    <cellStyle name="Calculation 2 6 2 4 3 2" xfId="4189"/>
    <cellStyle name="Calculation 2 6 2 4 4" xfId="4190"/>
    <cellStyle name="Calculation 2 6 2 4 4 2" xfId="4191"/>
    <cellStyle name="Calculation 2 6 2 4 5" xfId="4192"/>
    <cellStyle name="Calculation 2 6 2 4 6" xfId="4193"/>
    <cellStyle name="Calculation 2 6 2 4 7" xfId="4194"/>
    <cellStyle name="Calculation 2 6 2 5" xfId="4195"/>
    <cellStyle name="Calculation 2 6 2 5 2" xfId="4196"/>
    <cellStyle name="Calculation 2 6 2 5 2 2" xfId="4197"/>
    <cellStyle name="Calculation 2 6 2 5 3" xfId="4198"/>
    <cellStyle name="Calculation 2 6 2 5 3 2" xfId="4199"/>
    <cellStyle name="Calculation 2 6 2 5 4" xfId="4200"/>
    <cellStyle name="Calculation 2 6 2 5 5" xfId="4201"/>
    <cellStyle name="Calculation 2 6 2 5 6" xfId="4202"/>
    <cellStyle name="Calculation 2 6 2 6" xfId="4203"/>
    <cellStyle name="Calculation 2 6 2 6 2" xfId="4204"/>
    <cellStyle name="Calculation 2 6 2 7" xfId="4205"/>
    <cellStyle name="Calculation 2 6 2 7 2" xfId="4206"/>
    <cellStyle name="Calculation 2 6 2 8" xfId="4207"/>
    <cellStyle name="Calculation 2 6 2 9" xfId="4208"/>
    <cellStyle name="Calculation 2 6 3" xfId="4209"/>
    <cellStyle name="Calculation 2 6 3 2" xfId="4210"/>
    <cellStyle name="Calculation 2 6 3 2 2" xfId="4211"/>
    <cellStyle name="Calculation 2 6 3 2 2 2" xfId="4212"/>
    <cellStyle name="Calculation 2 6 3 2 2 2 2" xfId="4213"/>
    <cellStyle name="Calculation 2 6 3 2 2 3" xfId="4214"/>
    <cellStyle name="Calculation 2 6 3 2 2 3 2" xfId="4215"/>
    <cellStyle name="Calculation 2 6 3 2 2 4" xfId="4216"/>
    <cellStyle name="Calculation 2 6 3 2 2 5" xfId="4217"/>
    <cellStyle name="Calculation 2 6 3 2 2 6" xfId="4218"/>
    <cellStyle name="Calculation 2 6 3 2 3" xfId="4219"/>
    <cellStyle name="Calculation 2 6 3 2 3 2" xfId="4220"/>
    <cellStyle name="Calculation 2 6 3 2 4" xfId="4221"/>
    <cellStyle name="Calculation 2 6 3 2 4 2" xfId="4222"/>
    <cellStyle name="Calculation 2 6 3 2 5" xfId="4223"/>
    <cellStyle name="Calculation 2 6 3 2 6" xfId="4224"/>
    <cellStyle name="Calculation 2 6 3 2 7" xfId="4225"/>
    <cellStyle name="Calculation 2 6 3 3" xfId="4226"/>
    <cellStyle name="Calculation 2 6 3 3 2" xfId="4227"/>
    <cellStyle name="Calculation 2 6 3 3 2 2" xfId="4228"/>
    <cellStyle name="Calculation 2 6 3 3 3" xfId="4229"/>
    <cellStyle name="Calculation 2 6 3 3 3 2" xfId="4230"/>
    <cellStyle name="Calculation 2 6 3 3 4" xfId="4231"/>
    <cellStyle name="Calculation 2 6 3 3 5" xfId="4232"/>
    <cellStyle name="Calculation 2 6 3 3 6" xfId="4233"/>
    <cellStyle name="Calculation 2 6 3 4" xfId="4234"/>
    <cellStyle name="Calculation 2 6 3 4 2" xfId="4235"/>
    <cellStyle name="Calculation 2 6 3 5" xfId="4236"/>
    <cellStyle name="Calculation 2 6 3 5 2" xfId="4237"/>
    <cellStyle name="Calculation 2 6 3 6" xfId="4238"/>
    <cellStyle name="Calculation 2 6 3 7" xfId="4239"/>
    <cellStyle name="Calculation 2 6 3 8" xfId="4240"/>
    <cellStyle name="Calculation 2 6 4" xfId="4241"/>
    <cellStyle name="Calculation 2 6 4 2" xfId="4242"/>
    <cellStyle name="Calculation 2 6 4 2 2" xfId="4243"/>
    <cellStyle name="Calculation 2 6 4 2 2 2" xfId="4244"/>
    <cellStyle name="Calculation 2 6 4 2 2 2 2" xfId="4245"/>
    <cellStyle name="Calculation 2 6 4 2 2 3" xfId="4246"/>
    <cellStyle name="Calculation 2 6 4 2 2 3 2" xfId="4247"/>
    <cellStyle name="Calculation 2 6 4 2 2 4" xfId="4248"/>
    <cellStyle name="Calculation 2 6 4 2 2 5" xfId="4249"/>
    <cellStyle name="Calculation 2 6 4 2 2 6" xfId="4250"/>
    <cellStyle name="Calculation 2 6 4 2 3" xfId="4251"/>
    <cellStyle name="Calculation 2 6 4 2 3 2" xfId="4252"/>
    <cellStyle name="Calculation 2 6 4 2 4" xfId="4253"/>
    <cellStyle name="Calculation 2 6 4 2 4 2" xfId="4254"/>
    <cellStyle name="Calculation 2 6 4 2 5" xfId="4255"/>
    <cellStyle name="Calculation 2 6 4 2 6" xfId="4256"/>
    <cellStyle name="Calculation 2 6 4 2 7" xfId="4257"/>
    <cellStyle name="Calculation 2 6 4 3" xfId="4258"/>
    <cellStyle name="Calculation 2 6 4 3 2" xfId="4259"/>
    <cellStyle name="Calculation 2 6 4 3 2 2" xfId="4260"/>
    <cellStyle name="Calculation 2 6 4 3 3" xfId="4261"/>
    <cellStyle name="Calculation 2 6 4 3 3 2" xfId="4262"/>
    <cellStyle name="Calculation 2 6 4 3 4" xfId="4263"/>
    <cellStyle name="Calculation 2 6 4 3 5" xfId="4264"/>
    <cellStyle name="Calculation 2 6 4 3 6" xfId="4265"/>
    <cellStyle name="Calculation 2 6 4 4" xfId="4266"/>
    <cellStyle name="Calculation 2 6 4 4 2" xfId="4267"/>
    <cellStyle name="Calculation 2 6 4 5" xfId="4268"/>
    <cellStyle name="Calculation 2 6 4 5 2" xfId="4269"/>
    <cellStyle name="Calculation 2 6 4 6" xfId="4270"/>
    <cellStyle name="Calculation 2 6 4 7" xfId="4271"/>
    <cellStyle name="Calculation 2 6 4 8" xfId="4272"/>
    <cellStyle name="Calculation 2 6 5" xfId="4273"/>
    <cellStyle name="Calculation 2 6 5 2" xfId="4274"/>
    <cellStyle name="Calculation 2 6 5 2 2" xfId="4275"/>
    <cellStyle name="Calculation 2 6 5 2 2 2" xfId="4276"/>
    <cellStyle name="Calculation 2 6 5 2 3" xfId="4277"/>
    <cellStyle name="Calculation 2 6 5 2 3 2" xfId="4278"/>
    <cellStyle name="Calculation 2 6 5 2 4" xfId="4279"/>
    <cellStyle name="Calculation 2 6 5 2 5" xfId="4280"/>
    <cellStyle name="Calculation 2 6 5 2 6" xfId="4281"/>
    <cellStyle name="Calculation 2 6 5 3" xfId="4282"/>
    <cellStyle name="Calculation 2 6 5 3 2" xfId="4283"/>
    <cellStyle name="Calculation 2 6 5 4" xfId="4284"/>
    <cellStyle name="Calculation 2 6 5 4 2" xfId="4285"/>
    <cellStyle name="Calculation 2 6 5 5" xfId="4286"/>
    <cellStyle name="Calculation 2 6 5 6" xfId="4287"/>
    <cellStyle name="Calculation 2 6 5 7" xfId="4288"/>
    <cellStyle name="Calculation 2 6 6" xfId="4289"/>
    <cellStyle name="Calculation 2 6 6 2" xfId="4290"/>
    <cellStyle name="Calculation 2 6 6 2 2" xfId="4291"/>
    <cellStyle name="Calculation 2 6 6 3" xfId="4292"/>
    <cellStyle name="Calculation 2 6 6 3 2" xfId="4293"/>
    <cellStyle name="Calculation 2 6 6 4" xfId="4294"/>
    <cellStyle name="Calculation 2 6 6 5" xfId="4295"/>
    <cellStyle name="Calculation 2 6 6 6" xfId="4296"/>
    <cellStyle name="Calculation 2 6 7" xfId="4297"/>
    <cellStyle name="Calculation 2 6 7 2" xfId="4298"/>
    <cellStyle name="Calculation 2 6 8" xfId="4299"/>
    <cellStyle name="Calculation 2 6 8 2" xfId="4300"/>
    <cellStyle name="Calculation 2 6 9" xfId="4301"/>
    <cellStyle name="Calculation 2 7" xfId="4302"/>
    <cellStyle name="Calculation 2 7 2" xfId="4303"/>
    <cellStyle name="Calculation 2 7 2 2" xfId="4304"/>
    <cellStyle name="Calculation 2 7 2 2 2" xfId="4305"/>
    <cellStyle name="Calculation 2 7 2 3" xfId="4306"/>
    <cellStyle name="Calculation 2 7 2 3 2" xfId="4307"/>
    <cellStyle name="Calculation 2 7 2 4" xfId="4308"/>
    <cellStyle name="Calculation 2 7 2 5" xfId="4309"/>
    <cellStyle name="Calculation 2 7 2 6" xfId="4310"/>
    <cellStyle name="Calculation 2 7 3" xfId="4311"/>
    <cellStyle name="Calculation 2 7 3 2" xfId="4312"/>
    <cellStyle name="Calculation 2 7 4" xfId="4313"/>
    <cellStyle name="Calculation 2 7 4 2" xfId="4314"/>
    <cellStyle name="Calculation 2 7 5" xfId="4315"/>
    <cellStyle name="Calculation 2 7 6" xfId="4316"/>
    <cellStyle name="Calculation 2 7 7" xfId="4317"/>
    <cellStyle name="Calculation 2 8" xfId="4318"/>
    <cellStyle name="Calculation 2 8 2" xfId="4319"/>
    <cellStyle name="Calculation 2 9" xfId="4320"/>
    <cellStyle name="Calculation 2 9 2" xfId="4321"/>
    <cellStyle name="Calculation 3" xfId="4322"/>
    <cellStyle name="Calculation 3 10" xfId="4323"/>
    <cellStyle name="Calculation 3 11" xfId="4324"/>
    <cellStyle name="Calculation 3 2" xfId="4325"/>
    <cellStyle name="Calculation 3 2 10" xfId="4326"/>
    <cellStyle name="Calculation 3 2 11" xfId="4327"/>
    <cellStyle name="Calculation 3 2 12" xfId="4328"/>
    <cellStyle name="Calculation 3 2 2" xfId="4329"/>
    <cellStyle name="Calculation 3 2 2 10" xfId="4330"/>
    <cellStyle name="Calculation 3 2 2 11" xfId="4331"/>
    <cellStyle name="Calculation 3 2 2 12" xfId="4332"/>
    <cellStyle name="Calculation 3 2 2 2" xfId="4333"/>
    <cellStyle name="Calculation 3 2 2 2 10" xfId="4334"/>
    <cellStyle name="Calculation 3 2 2 2 11" xfId="4335"/>
    <cellStyle name="Calculation 3 2 2 2 2" xfId="4336"/>
    <cellStyle name="Calculation 3 2 2 2 2 10" xfId="4337"/>
    <cellStyle name="Calculation 3 2 2 2 2 2" xfId="4338"/>
    <cellStyle name="Calculation 3 2 2 2 2 2 2" xfId="4339"/>
    <cellStyle name="Calculation 3 2 2 2 2 2 2 2" xfId="4340"/>
    <cellStyle name="Calculation 3 2 2 2 2 2 2 2 2" xfId="4341"/>
    <cellStyle name="Calculation 3 2 2 2 2 2 2 2 2 2" xfId="4342"/>
    <cellStyle name="Calculation 3 2 2 2 2 2 2 2 3" xfId="4343"/>
    <cellStyle name="Calculation 3 2 2 2 2 2 2 2 3 2" xfId="4344"/>
    <cellStyle name="Calculation 3 2 2 2 2 2 2 2 4" xfId="4345"/>
    <cellStyle name="Calculation 3 2 2 2 2 2 2 2 5" xfId="4346"/>
    <cellStyle name="Calculation 3 2 2 2 2 2 2 2 6" xfId="4347"/>
    <cellStyle name="Calculation 3 2 2 2 2 2 2 3" xfId="4348"/>
    <cellStyle name="Calculation 3 2 2 2 2 2 2 3 2" xfId="4349"/>
    <cellStyle name="Calculation 3 2 2 2 2 2 2 4" xfId="4350"/>
    <cellStyle name="Calculation 3 2 2 2 2 2 2 4 2" xfId="4351"/>
    <cellStyle name="Calculation 3 2 2 2 2 2 2 5" xfId="4352"/>
    <cellStyle name="Calculation 3 2 2 2 2 2 2 6" xfId="4353"/>
    <cellStyle name="Calculation 3 2 2 2 2 2 2 7" xfId="4354"/>
    <cellStyle name="Calculation 3 2 2 2 2 2 3" xfId="4355"/>
    <cellStyle name="Calculation 3 2 2 2 2 2 3 2" xfId="4356"/>
    <cellStyle name="Calculation 3 2 2 2 2 2 3 2 2" xfId="4357"/>
    <cellStyle name="Calculation 3 2 2 2 2 2 3 3" xfId="4358"/>
    <cellStyle name="Calculation 3 2 2 2 2 2 3 3 2" xfId="4359"/>
    <cellStyle name="Calculation 3 2 2 2 2 2 3 4" xfId="4360"/>
    <cellStyle name="Calculation 3 2 2 2 2 2 3 5" xfId="4361"/>
    <cellStyle name="Calculation 3 2 2 2 2 2 3 6" xfId="4362"/>
    <cellStyle name="Calculation 3 2 2 2 2 2 4" xfId="4363"/>
    <cellStyle name="Calculation 3 2 2 2 2 2 4 2" xfId="4364"/>
    <cellStyle name="Calculation 3 2 2 2 2 2 5" xfId="4365"/>
    <cellStyle name="Calculation 3 2 2 2 2 2 5 2" xfId="4366"/>
    <cellStyle name="Calculation 3 2 2 2 2 2 6" xfId="4367"/>
    <cellStyle name="Calculation 3 2 2 2 2 2 7" xfId="4368"/>
    <cellStyle name="Calculation 3 2 2 2 2 2 8" xfId="4369"/>
    <cellStyle name="Calculation 3 2 2 2 2 3" xfId="4370"/>
    <cellStyle name="Calculation 3 2 2 2 2 3 2" xfId="4371"/>
    <cellStyle name="Calculation 3 2 2 2 2 3 2 2" xfId="4372"/>
    <cellStyle name="Calculation 3 2 2 2 2 3 2 2 2" xfId="4373"/>
    <cellStyle name="Calculation 3 2 2 2 2 3 2 2 2 2" xfId="4374"/>
    <cellStyle name="Calculation 3 2 2 2 2 3 2 2 3" xfId="4375"/>
    <cellStyle name="Calculation 3 2 2 2 2 3 2 2 3 2" xfId="4376"/>
    <cellStyle name="Calculation 3 2 2 2 2 3 2 2 4" xfId="4377"/>
    <cellStyle name="Calculation 3 2 2 2 2 3 2 2 5" xfId="4378"/>
    <cellStyle name="Calculation 3 2 2 2 2 3 2 2 6" xfId="4379"/>
    <cellStyle name="Calculation 3 2 2 2 2 3 2 3" xfId="4380"/>
    <cellStyle name="Calculation 3 2 2 2 2 3 2 3 2" xfId="4381"/>
    <cellStyle name="Calculation 3 2 2 2 2 3 2 4" xfId="4382"/>
    <cellStyle name="Calculation 3 2 2 2 2 3 2 4 2" xfId="4383"/>
    <cellStyle name="Calculation 3 2 2 2 2 3 2 5" xfId="4384"/>
    <cellStyle name="Calculation 3 2 2 2 2 3 2 6" xfId="4385"/>
    <cellStyle name="Calculation 3 2 2 2 2 3 2 7" xfId="4386"/>
    <cellStyle name="Calculation 3 2 2 2 2 3 3" xfId="4387"/>
    <cellStyle name="Calculation 3 2 2 2 2 3 3 2" xfId="4388"/>
    <cellStyle name="Calculation 3 2 2 2 2 3 3 2 2" xfId="4389"/>
    <cellStyle name="Calculation 3 2 2 2 2 3 3 3" xfId="4390"/>
    <cellStyle name="Calculation 3 2 2 2 2 3 3 3 2" xfId="4391"/>
    <cellStyle name="Calculation 3 2 2 2 2 3 3 4" xfId="4392"/>
    <cellStyle name="Calculation 3 2 2 2 2 3 3 5" xfId="4393"/>
    <cellStyle name="Calculation 3 2 2 2 2 3 3 6" xfId="4394"/>
    <cellStyle name="Calculation 3 2 2 2 2 3 4" xfId="4395"/>
    <cellStyle name="Calculation 3 2 2 2 2 3 4 2" xfId="4396"/>
    <cellStyle name="Calculation 3 2 2 2 2 3 5" xfId="4397"/>
    <cellStyle name="Calculation 3 2 2 2 2 3 5 2" xfId="4398"/>
    <cellStyle name="Calculation 3 2 2 2 2 3 6" xfId="4399"/>
    <cellStyle name="Calculation 3 2 2 2 2 3 7" xfId="4400"/>
    <cellStyle name="Calculation 3 2 2 2 2 3 8" xfId="4401"/>
    <cellStyle name="Calculation 3 2 2 2 2 4" xfId="4402"/>
    <cellStyle name="Calculation 3 2 2 2 2 4 2" xfId="4403"/>
    <cellStyle name="Calculation 3 2 2 2 2 4 2 2" xfId="4404"/>
    <cellStyle name="Calculation 3 2 2 2 2 4 2 2 2" xfId="4405"/>
    <cellStyle name="Calculation 3 2 2 2 2 4 2 3" xfId="4406"/>
    <cellStyle name="Calculation 3 2 2 2 2 4 2 3 2" xfId="4407"/>
    <cellStyle name="Calculation 3 2 2 2 2 4 2 4" xfId="4408"/>
    <cellStyle name="Calculation 3 2 2 2 2 4 2 5" xfId="4409"/>
    <cellStyle name="Calculation 3 2 2 2 2 4 2 6" xfId="4410"/>
    <cellStyle name="Calculation 3 2 2 2 2 4 3" xfId="4411"/>
    <cellStyle name="Calculation 3 2 2 2 2 4 3 2" xfId="4412"/>
    <cellStyle name="Calculation 3 2 2 2 2 4 4" xfId="4413"/>
    <cellStyle name="Calculation 3 2 2 2 2 4 4 2" xfId="4414"/>
    <cellStyle name="Calculation 3 2 2 2 2 4 5" xfId="4415"/>
    <cellStyle name="Calculation 3 2 2 2 2 4 6" xfId="4416"/>
    <cellStyle name="Calculation 3 2 2 2 2 4 7" xfId="4417"/>
    <cellStyle name="Calculation 3 2 2 2 2 5" xfId="4418"/>
    <cellStyle name="Calculation 3 2 2 2 2 5 2" xfId="4419"/>
    <cellStyle name="Calculation 3 2 2 2 2 5 2 2" xfId="4420"/>
    <cellStyle name="Calculation 3 2 2 2 2 5 3" xfId="4421"/>
    <cellStyle name="Calculation 3 2 2 2 2 5 3 2" xfId="4422"/>
    <cellStyle name="Calculation 3 2 2 2 2 5 4" xfId="4423"/>
    <cellStyle name="Calculation 3 2 2 2 2 5 5" xfId="4424"/>
    <cellStyle name="Calculation 3 2 2 2 2 5 6" xfId="4425"/>
    <cellStyle name="Calculation 3 2 2 2 2 6" xfId="4426"/>
    <cellStyle name="Calculation 3 2 2 2 2 6 2" xfId="4427"/>
    <cellStyle name="Calculation 3 2 2 2 2 7" xfId="4428"/>
    <cellStyle name="Calculation 3 2 2 2 2 7 2" xfId="4429"/>
    <cellStyle name="Calculation 3 2 2 2 2 8" xfId="4430"/>
    <cellStyle name="Calculation 3 2 2 2 2 9" xfId="4431"/>
    <cellStyle name="Calculation 3 2 2 2 3" xfId="4432"/>
    <cellStyle name="Calculation 3 2 2 2 3 2" xfId="4433"/>
    <cellStyle name="Calculation 3 2 2 2 3 2 2" xfId="4434"/>
    <cellStyle name="Calculation 3 2 2 2 3 2 2 2" xfId="4435"/>
    <cellStyle name="Calculation 3 2 2 2 3 2 2 2 2" xfId="4436"/>
    <cellStyle name="Calculation 3 2 2 2 3 2 2 3" xfId="4437"/>
    <cellStyle name="Calculation 3 2 2 2 3 2 2 3 2" xfId="4438"/>
    <cellStyle name="Calculation 3 2 2 2 3 2 2 4" xfId="4439"/>
    <cellStyle name="Calculation 3 2 2 2 3 2 2 5" xfId="4440"/>
    <cellStyle name="Calculation 3 2 2 2 3 2 2 6" xfId="4441"/>
    <cellStyle name="Calculation 3 2 2 2 3 2 3" xfId="4442"/>
    <cellStyle name="Calculation 3 2 2 2 3 2 3 2" xfId="4443"/>
    <cellStyle name="Calculation 3 2 2 2 3 2 4" xfId="4444"/>
    <cellStyle name="Calculation 3 2 2 2 3 2 4 2" xfId="4445"/>
    <cellStyle name="Calculation 3 2 2 2 3 2 5" xfId="4446"/>
    <cellStyle name="Calculation 3 2 2 2 3 2 6" xfId="4447"/>
    <cellStyle name="Calculation 3 2 2 2 3 2 7" xfId="4448"/>
    <cellStyle name="Calculation 3 2 2 2 3 3" xfId="4449"/>
    <cellStyle name="Calculation 3 2 2 2 3 3 2" xfId="4450"/>
    <cellStyle name="Calculation 3 2 2 2 3 3 2 2" xfId="4451"/>
    <cellStyle name="Calculation 3 2 2 2 3 3 3" xfId="4452"/>
    <cellStyle name="Calculation 3 2 2 2 3 3 3 2" xfId="4453"/>
    <cellStyle name="Calculation 3 2 2 2 3 3 4" xfId="4454"/>
    <cellStyle name="Calculation 3 2 2 2 3 3 5" xfId="4455"/>
    <cellStyle name="Calculation 3 2 2 2 3 3 6" xfId="4456"/>
    <cellStyle name="Calculation 3 2 2 2 3 4" xfId="4457"/>
    <cellStyle name="Calculation 3 2 2 2 3 4 2" xfId="4458"/>
    <cellStyle name="Calculation 3 2 2 2 3 5" xfId="4459"/>
    <cellStyle name="Calculation 3 2 2 2 3 5 2" xfId="4460"/>
    <cellStyle name="Calculation 3 2 2 2 3 6" xfId="4461"/>
    <cellStyle name="Calculation 3 2 2 2 3 7" xfId="4462"/>
    <cellStyle name="Calculation 3 2 2 2 3 8" xfId="4463"/>
    <cellStyle name="Calculation 3 2 2 2 4" xfId="4464"/>
    <cellStyle name="Calculation 3 2 2 2 4 2" xfId="4465"/>
    <cellStyle name="Calculation 3 2 2 2 4 2 2" xfId="4466"/>
    <cellStyle name="Calculation 3 2 2 2 4 2 2 2" xfId="4467"/>
    <cellStyle name="Calculation 3 2 2 2 4 2 2 2 2" xfId="4468"/>
    <cellStyle name="Calculation 3 2 2 2 4 2 2 3" xfId="4469"/>
    <cellStyle name="Calculation 3 2 2 2 4 2 2 3 2" xfId="4470"/>
    <cellStyle name="Calculation 3 2 2 2 4 2 2 4" xfId="4471"/>
    <cellStyle name="Calculation 3 2 2 2 4 2 2 5" xfId="4472"/>
    <cellStyle name="Calculation 3 2 2 2 4 2 2 6" xfId="4473"/>
    <cellStyle name="Calculation 3 2 2 2 4 2 3" xfId="4474"/>
    <cellStyle name="Calculation 3 2 2 2 4 2 3 2" xfId="4475"/>
    <cellStyle name="Calculation 3 2 2 2 4 2 4" xfId="4476"/>
    <cellStyle name="Calculation 3 2 2 2 4 2 4 2" xfId="4477"/>
    <cellStyle name="Calculation 3 2 2 2 4 2 5" xfId="4478"/>
    <cellStyle name="Calculation 3 2 2 2 4 2 6" xfId="4479"/>
    <cellStyle name="Calculation 3 2 2 2 4 2 7" xfId="4480"/>
    <cellStyle name="Calculation 3 2 2 2 4 3" xfId="4481"/>
    <cellStyle name="Calculation 3 2 2 2 4 3 2" xfId="4482"/>
    <cellStyle name="Calculation 3 2 2 2 4 3 2 2" xfId="4483"/>
    <cellStyle name="Calculation 3 2 2 2 4 3 3" xfId="4484"/>
    <cellStyle name="Calculation 3 2 2 2 4 3 3 2" xfId="4485"/>
    <cellStyle name="Calculation 3 2 2 2 4 3 4" xfId="4486"/>
    <cellStyle name="Calculation 3 2 2 2 4 3 5" xfId="4487"/>
    <cellStyle name="Calculation 3 2 2 2 4 3 6" xfId="4488"/>
    <cellStyle name="Calculation 3 2 2 2 4 4" xfId="4489"/>
    <cellStyle name="Calculation 3 2 2 2 4 4 2" xfId="4490"/>
    <cellStyle name="Calculation 3 2 2 2 4 5" xfId="4491"/>
    <cellStyle name="Calculation 3 2 2 2 4 5 2" xfId="4492"/>
    <cellStyle name="Calculation 3 2 2 2 4 6" xfId="4493"/>
    <cellStyle name="Calculation 3 2 2 2 4 7" xfId="4494"/>
    <cellStyle name="Calculation 3 2 2 2 4 8" xfId="4495"/>
    <cellStyle name="Calculation 3 2 2 2 5" xfId="4496"/>
    <cellStyle name="Calculation 3 2 2 2 5 2" xfId="4497"/>
    <cellStyle name="Calculation 3 2 2 2 5 2 2" xfId="4498"/>
    <cellStyle name="Calculation 3 2 2 2 5 2 2 2" xfId="4499"/>
    <cellStyle name="Calculation 3 2 2 2 5 2 3" xfId="4500"/>
    <cellStyle name="Calculation 3 2 2 2 5 2 3 2" xfId="4501"/>
    <cellStyle name="Calculation 3 2 2 2 5 2 4" xfId="4502"/>
    <cellStyle name="Calculation 3 2 2 2 5 2 5" xfId="4503"/>
    <cellStyle name="Calculation 3 2 2 2 5 2 6" xfId="4504"/>
    <cellStyle name="Calculation 3 2 2 2 5 3" xfId="4505"/>
    <cellStyle name="Calculation 3 2 2 2 5 3 2" xfId="4506"/>
    <cellStyle name="Calculation 3 2 2 2 5 4" xfId="4507"/>
    <cellStyle name="Calculation 3 2 2 2 5 4 2" xfId="4508"/>
    <cellStyle name="Calculation 3 2 2 2 5 5" xfId="4509"/>
    <cellStyle name="Calculation 3 2 2 2 5 6" xfId="4510"/>
    <cellStyle name="Calculation 3 2 2 2 5 7" xfId="4511"/>
    <cellStyle name="Calculation 3 2 2 2 6" xfId="4512"/>
    <cellStyle name="Calculation 3 2 2 2 6 2" xfId="4513"/>
    <cellStyle name="Calculation 3 2 2 2 6 2 2" xfId="4514"/>
    <cellStyle name="Calculation 3 2 2 2 6 3" xfId="4515"/>
    <cellStyle name="Calculation 3 2 2 2 6 3 2" xfId="4516"/>
    <cellStyle name="Calculation 3 2 2 2 6 4" xfId="4517"/>
    <cellStyle name="Calculation 3 2 2 2 6 5" xfId="4518"/>
    <cellStyle name="Calculation 3 2 2 2 6 6" xfId="4519"/>
    <cellStyle name="Calculation 3 2 2 2 7" xfId="4520"/>
    <cellStyle name="Calculation 3 2 2 2 7 2" xfId="4521"/>
    <cellStyle name="Calculation 3 2 2 2 8" xfId="4522"/>
    <cellStyle name="Calculation 3 2 2 2 8 2" xfId="4523"/>
    <cellStyle name="Calculation 3 2 2 2 9" xfId="4524"/>
    <cellStyle name="Calculation 3 2 2 3" xfId="4525"/>
    <cellStyle name="Calculation 3 2 2 3 10" xfId="4526"/>
    <cellStyle name="Calculation 3 2 2 3 2" xfId="4527"/>
    <cellStyle name="Calculation 3 2 2 3 2 10" xfId="4528"/>
    <cellStyle name="Calculation 3 2 2 3 2 2" xfId="4529"/>
    <cellStyle name="Calculation 3 2 2 3 2 2 2" xfId="4530"/>
    <cellStyle name="Calculation 3 2 2 3 2 2 2 2" xfId="4531"/>
    <cellStyle name="Calculation 3 2 2 3 2 2 2 2 2" xfId="4532"/>
    <cellStyle name="Calculation 3 2 2 3 2 2 2 2 2 2" xfId="4533"/>
    <cellStyle name="Calculation 3 2 2 3 2 2 2 2 3" xfId="4534"/>
    <cellStyle name="Calculation 3 2 2 3 2 2 2 2 3 2" xfId="4535"/>
    <cellStyle name="Calculation 3 2 2 3 2 2 2 2 4" xfId="4536"/>
    <cellStyle name="Calculation 3 2 2 3 2 2 2 2 5" xfId="4537"/>
    <cellStyle name="Calculation 3 2 2 3 2 2 2 2 6" xfId="4538"/>
    <cellStyle name="Calculation 3 2 2 3 2 2 2 3" xfId="4539"/>
    <cellStyle name="Calculation 3 2 2 3 2 2 2 3 2" xfId="4540"/>
    <cellStyle name="Calculation 3 2 2 3 2 2 2 4" xfId="4541"/>
    <cellStyle name="Calculation 3 2 2 3 2 2 2 4 2" xfId="4542"/>
    <cellStyle name="Calculation 3 2 2 3 2 2 2 5" xfId="4543"/>
    <cellStyle name="Calculation 3 2 2 3 2 2 2 6" xfId="4544"/>
    <cellStyle name="Calculation 3 2 2 3 2 2 2 7" xfId="4545"/>
    <cellStyle name="Calculation 3 2 2 3 2 2 3" xfId="4546"/>
    <cellStyle name="Calculation 3 2 2 3 2 2 3 2" xfId="4547"/>
    <cellStyle name="Calculation 3 2 2 3 2 2 3 2 2" xfId="4548"/>
    <cellStyle name="Calculation 3 2 2 3 2 2 3 3" xfId="4549"/>
    <cellStyle name="Calculation 3 2 2 3 2 2 3 3 2" xfId="4550"/>
    <cellStyle name="Calculation 3 2 2 3 2 2 3 4" xfId="4551"/>
    <cellStyle name="Calculation 3 2 2 3 2 2 3 5" xfId="4552"/>
    <cellStyle name="Calculation 3 2 2 3 2 2 3 6" xfId="4553"/>
    <cellStyle name="Calculation 3 2 2 3 2 2 4" xfId="4554"/>
    <cellStyle name="Calculation 3 2 2 3 2 2 4 2" xfId="4555"/>
    <cellStyle name="Calculation 3 2 2 3 2 2 5" xfId="4556"/>
    <cellStyle name="Calculation 3 2 2 3 2 2 5 2" xfId="4557"/>
    <cellStyle name="Calculation 3 2 2 3 2 2 6" xfId="4558"/>
    <cellStyle name="Calculation 3 2 2 3 2 2 7" xfId="4559"/>
    <cellStyle name="Calculation 3 2 2 3 2 2 8" xfId="4560"/>
    <cellStyle name="Calculation 3 2 2 3 2 3" xfId="4561"/>
    <cellStyle name="Calculation 3 2 2 3 2 3 2" xfId="4562"/>
    <cellStyle name="Calculation 3 2 2 3 2 3 2 2" xfId="4563"/>
    <cellStyle name="Calculation 3 2 2 3 2 3 2 2 2" xfId="4564"/>
    <cellStyle name="Calculation 3 2 2 3 2 3 2 2 2 2" xfId="4565"/>
    <cellStyle name="Calculation 3 2 2 3 2 3 2 2 3" xfId="4566"/>
    <cellStyle name="Calculation 3 2 2 3 2 3 2 2 3 2" xfId="4567"/>
    <cellStyle name="Calculation 3 2 2 3 2 3 2 2 4" xfId="4568"/>
    <cellStyle name="Calculation 3 2 2 3 2 3 2 2 5" xfId="4569"/>
    <cellStyle name="Calculation 3 2 2 3 2 3 2 2 6" xfId="4570"/>
    <cellStyle name="Calculation 3 2 2 3 2 3 2 3" xfId="4571"/>
    <cellStyle name="Calculation 3 2 2 3 2 3 2 3 2" xfId="4572"/>
    <cellStyle name="Calculation 3 2 2 3 2 3 2 4" xfId="4573"/>
    <cellStyle name="Calculation 3 2 2 3 2 3 2 4 2" xfId="4574"/>
    <cellStyle name="Calculation 3 2 2 3 2 3 2 5" xfId="4575"/>
    <cellStyle name="Calculation 3 2 2 3 2 3 2 6" xfId="4576"/>
    <cellStyle name="Calculation 3 2 2 3 2 3 2 7" xfId="4577"/>
    <cellStyle name="Calculation 3 2 2 3 2 3 3" xfId="4578"/>
    <cellStyle name="Calculation 3 2 2 3 2 3 3 2" xfId="4579"/>
    <cellStyle name="Calculation 3 2 2 3 2 3 3 2 2" xfId="4580"/>
    <cellStyle name="Calculation 3 2 2 3 2 3 3 3" xfId="4581"/>
    <cellStyle name="Calculation 3 2 2 3 2 3 3 3 2" xfId="4582"/>
    <cellStyle name="Calculation 3 2 2 3 2 3 3 4" xfId="4583"/>
    <cellStyle name="Calculation 3 2 2 3 2 3 3 5" xfId="4584"/>
    <cellStyle name="Calculation 3 2 2 3 2 3 3 6" xfId="4585"/>
    <cellStyle name="Calculation 3 2 2 3 2 3 4" xfId="4586"/>
    <cellStyle name="Calculation 3 2 2 3 2 3 4 2" xfId="4587"/>
    <cellStyle name="Calculation 3 2 2 3 2 3 5" xfId="4588"/>
    <cellStyle name="Calculation 3 2 2 3 2 3 5 2" xfId="4589"/>
    <cellStyle name="Calculation 3 2 2 3 2 3 6" xfId="4590"/>
    <cellStyle name="Calculation 3 2 2 3 2 3 7" xfId="4591"/>
    <cellStyle name="Calculation 3 2 2 3 2 3 8" xfId="4592"/>
    <cellStyle name="Calculation 3 2 2 3 2 4" xfId="4593"/>
    <cellStyle name="Calculation 3 2 2 3 2 4 2" xfId="4594"/>
    <cellStyle name="Calculation 3 2 2 3 2 4 2 2" xfId="4595"/>
    <cellStyle name="Calculation 3 2 2 3 2 4 2 2 2" xfId="4596"/>
    <cellStyle name="Calculation 3 2 2 3 2 4 2 3" xfId="4597"/>
    <cellStyle name="Calculation 3 2 2 3 2 4 2 3 2" xfId="4598"/>
    <cellStyle name="Calculation 3 2 2 3 2 4 2 4" xfId="4599"/>
    <cellStyle name="Calculation 3 2 2 3 2 4 2 5" xfId="4600"/>
    <cellStyle name="Calculation 3 2 2 3 2 4 2 6" xfId="4601"/>
    <cellStyle name="Calculation 3 2 2 3 2 4 3" xfId="4602"/>
    <cellStyle name="Calculation 3 2 2 3 2 4 3 2" xfId="4603"/>
    <cellStyle name="Calculation 3 2 2 3 2 4 4" xfId="4604"/>
    <cellStyle name="Calculation 3 2 2 3 2 4 4 2" xfId="4605"/>
    <cellStyle name="Calculation 3 2 2 3 2 4 5" xfId="4606"/>
    <cellStyle name="Calculation 3 2 2 3 2 4 6" xfId="4607"/>
    <cellStyle name="Calculation 3 2 2 3 2 4 7" xfId="4608"/>
    <cellStyle name="Calculation 3 2 2 3 2 5" xfId="4609"/>
    <cellStyle name="Calculation 3 2 2 3 2 5 2" xfId="4610"/>
    <cellStyle name="Calculation 3 2 2 3 2 5 2 2" xfId="4611"/>
    <cellStyle name="Calculation 3 2 2 3 2 5 3" xfId="4612"/>
    <cellStyle name="Calculation 3 2 2 3 2 5 3 2" xfId="4613"/>
    <cellStyle name="Calculation 3 2 2 3 2 5 4" xfId="4614"/>
    <cellStyle name="Calculation 3 2 2 3 2 5 5" xfId="4615"/>
    <cellStyle name="Calculation 3 2 2 3 2 5 6" xfId="4616"/>
    <cellStyle name="Calculation 3 2 2 3 2 6" xfId="4617"/>
    <cellStyle name="Calculation 3 2 2 3 2 6 2" xfId="4618"/>
    <cellStyle name="Calculation 3 2 2 3 2 7" xfId="4619"/>
    <cellStyle name="Calculation 3 2 2 3 2 7 2" xfId="4620"/>
    <cellStyle name="Calculation 3 2 2 3 2 8" xfId="4621"/>
    <cellStyle name="Calculation 3 2 2 3 2 9" xfId="4622"/>
    <cellStyle name="Calculation 3 2 2 3 3" xfId="4623"/>
    <cellStyle name="Calculation 3 2 2 3 3 2" xfId="4624"/>
    <cellStyle name="Calculation 3 2 2 3 3 2 2" xfId="4625"/>
    <cellStyle name="Calculation 3 2 2 3 3 2 2 2" xfId="4626"/>
    <cellStyle name="Calculation 3 2 2 3 3 2 2 2 2" xfId="4627"/>
    <cellStyle name="Calculation 3 2 2 3 3 2 2 3" xfId="4628"/>
    <cellStyle name="Calculation 3 2 2 3 3 2 2 3 2" xfId="4629"/>
    <cellStyle name="Calculation 3 2 2 3 3 2 2 4" xfId="4630"/>
    <cellStyle name="Calculation 3 2 2 3 3 2 2 5" xfId="4631"/>
    <cellStyle name="Calculation 3 2 2 3 3 2 2 6" xfId="4632"/>
    <cellStyle name="Calculation 3 2 2 3 3 2 3" xfId="4633"/>
    <cellStyle name="Calculation 3 2 2 3 3 2 3 2" xfId="4634"/>
    <cellStyle name="Calculation 3 2 2 3 3 2 4" xfId="4635"/>
    <cellStyle name="Calculation 3 2 2 3 3 2 4 2" xfId="4636"/>
    <cellStyle name="Calculation 3 2 2 3 3 2 5" xfId="4637"/>
    <cellStyle name="Calculation 3 2 2 3 3 2 6" xfId="4638"/>
    <cellStyle name="Calculation 3 2 2 3 3 2 7" xfId="4639"/>
    <cellStyle name="Calculation 3 2 2 3 3 3" xfId="4640"/>
    <cellStyle name="Calculation 3 2 2 3 3 3 2" xfId="4641"/>
    <cellStyle name="Calculation 3 2 2 3 3 3 2 2" xfId="4642"/>
    <cellStyle name="Calculation 3 2 2 3 3 3 3" xfId="4643"/>
    <cellStyle name="Calculation 3 2 2 3 3 3 3 2" xfId="4644"/>
    <cellStyle name="Calculation 3 2 2 3 3 3 4" xfId="4645"/>
    <cellStyle name="Calculation 3 2 2 3 3 3 5" xfId="4646"/>
    <cellStyle name="Calculation 3 2 2 3 3 3 6" xfId="4647"/>
    <cellStyle name="Calculation 3 2 2 3 3 4" xfId="4648"/>
    <cellStyle name="Calculation 3 2 2 3 3 4 2" xfId="4649"/>
    <cellStyle name="Calculation 3 2 2 3 3 5" xfId="4650"/>
    <cellStyle name="Calculation 3 2 2 3 3 5 2" xfId="4651"/>
    <cellStyle name="Calculation 3 2 2 3 3 6" xfId="4652"/>
    <cellStyle name="Calculation 3 2 2 3 3 7" xfId="4653"/>
    <cellStyle name="Calculation 3 2 2 3 3 8" xfId="4654"/>
    <cellStyle name="Calculation 3 2 2 3 4" xfId="4655"/>
    <cellStyle name="Calculation 3 2 2 3 4 2" xfId="4656"/>
    <cellStyle name="Calculation 3 2 2 3 4 2 2" xfId="4657"/>
    <cellStyle name="Calculation 3 2 2 3 4 2 2 2" xfId="4658"/>
    <cellStyle name="Calculation 3 2 2 3 4 2 3" xfId="4659"/>
    <cellStyle name="Calculation 3 2 2 3 4 2 3 2" xfId="4660"/>
    <cellStyle name="Calculation 3 2 2 3 4 2 4" xfId="4661"/>
    <cellStyle name="Calculation 3 2 2 3 4 2 5" xfId="4662"/>
    <cellStyle name="Calculation 3 2 2 3 4 2 6" xfId="4663"/>
    <cellStyle name="Calculation 3 2 2 3 4 3" xfId="4664"/>
    <cellStyle name="Calculation 3 2 2 3 4 3 2" xfId="4665"/>
    <cellStyle name="Calculation 3 2 2 3 4 4" xfId="4666"/>
    <cellStyle name="Calculation 3 2 2 3 4 4 2" xfId="4667"/>
    <cellStyle name="Calculation 3 2 2 3 4 5" xfId="4668"/>
    <cellStyle name="Calculation 3 2 2 3 4 6" xfId="4669"/>
    <cellStyle name="Calculation 3 2 2 3 4 7" xfId="4670"/>
    <cellStyle name="Calculation 3 2 2 3 5" xfId="4671"/>
    <cellStyle name="Calculation 3 2 2 3 5 2" xfId="4672"/>
    <cellStyle name="Calculation 3 2 2 3 5 2 2" xfId="4673"/>
    <cellStyle name="Calculation 3 2 2 3 5 3" xfId="4674"/>
    <cellStyle name="Calculation 3 2 2 3 5 3 2" xfId="4675"/>
    <cellStyle name="Calculation 3 2 2 3 5 4" xfId="4676"/>
    <cellStyle name="Calculation 3 2 2 3 5 5" xfId="4677"/>
    <cellStyle name="Calculation 3 2 2 3 5 6" xfId="4678"/>
    <cellStyle name="Calculation 3 2 2 3 6" xfId="4679"/>
    <cellStyle name="Calculation 3 2 2 3 6 2" xfId="4680"/>
    <cellStyle name="Calculation 3 2 2 3 7" xfId="4681"/>
    <cellStyle name="Calculation 3 2 2 3 7 2" xfId="4682"/>
    <cellStyle name="Calculation 3 2 2 3 8" xfId="4683"/>
    <cellStyle name="Calculation 3 2 2 3 9" xfId="4684"/>
    <cellStyle name="Calculation 3 2 2 4" xfId="4685"/>
    <cellStyle name="Calculation 3 2 2 4 10" xfId="4686"/>
    <cellStyle name="Calculation 3 2 2 4 2" xfId="4687"/>
    <cellStyle name="Calculation 3 2 2 4 2 2" xfId="4688"/>
    <cellStyle name="Calculation 3 2 2 4 2 2 2" xfId="4689"/>
    <cellStyle name="Calculation 3 2 2 4 2 2 2 2" xfId="4690"/>
    <cellStyle name="Calculation 3 2 2 4 2 2 2 2 2" xfId="4691"/>
    <cellStyle name="Calculation 3 2 2 4 2 2 2 3" xfId="4692"/>
    <cellStyle name="Calculation 3 2 2 4 2 2 2 3 2" xfId="4693"/>
    <cellStyle name="Calculation 3 2 2 4 2 2 2 4" xfId="4694"/>
    <cellStyle name="Calculation 3 2 2 4 2 2 2 5" xfId="4695"/>
    <cellStyle name="Calculation 3 2 2 4 2 2 2 6" xfId="4696"/>
    <cellStyle name="Calculation 3 2 2 4 2 2 3" xfId="4697"/>
    <cellStyle name="Calculation 3 2 2 4 2 2 3 2" xfId="4698"/>
    <cellStyle name="Calculation 3 2 2 4 2 2 4" xfId="4699"/>
    <cellStyle name="Calculation 3 2 2 4 2 2 4 2" xfId="4700"/>
    <cellStyle name="Calculation 3 2 2 4 2 2 5" xfId="4701"/>
    <cellStyle name="Calculation 3 2 2 4 2 2 6" xfId="4702"/>
    <cellStyle name="Calculation 3 2 2 4 2 2 7" xfId="4703"/>
    <cellStyle name="Calculation 3 2 2 4 2 3" xfId="4704"/>
    <cellStyle name="Calculation 3 2 2 4 2 3 2" xfId="4705"/>
    <cellStyle name="Calculation 3 2 2 4 2 3 2 2" xfId="4706"/>
    <cellStyle name="Calculation 3 2 2 4 2 3 3" xfId="4707"/>
    <cellStyle name="Calculation 3 2 2 4 2 3 3 2" xfId="4708"/>
    <cellStyle name="Calculation 3 2 2 4 2 3 4" xfId="4709"/>
    <cellStyle name="Calculation 3 2 2 4 2 3 5" xfId="4710"/>
    <cellStyle name="Calculation 3 2 2 4 2 3 6" xfId="4711"/>
    <cellStyle name="Calculation 3 2 2 4 2 4" xfId="4712"/>
    <cellStyle name="Calculation 3 2 2 4 2 4 2" xfId="4713"/>
    <cellStyle name="Calculation 3 2 2 4 2 5" xfId="4714"/>
    <cellStyle name="Calculation 3 2 2 4 2 5 2" xfId="4715"/>
    <cellStyle name="Calculation 3 2 2 4 2 6" xfId="4716"/>
    <cellStyle name="Calculation 3 2 2 4 2 7" xfId="4717"/>
    <cellStyle name="Calculation 3 2 2 4 2 8" xfId="4718"/>
    <cellStyle name="Calculation 3 2 2 4 3" xfId="4719"/>
    <cellStyle name="Calculation 3 2 2 4 3 2" xfId="4720"/>
    <cellStyle name="Calculation 3 2 2 4 3 2 2" xfId="4721"/>
    <cellStyle name="Calculation 3 2 2 4 3 2 2 2" xfId="4722"/>
    <cellStyle name="Calculation 3 2 2 4 3 2 2 2 2" xfId="4723"/>
    <cellStyle name="Calculation 3 2 2 4 3 2 2 3" xfId="4724"/>
    <cellStyle name="Calculation 3 2 2 4 3 2 2 3 2" xfId="4725"/>
    <cellStyle name="Calculation 3 2 2 4 3 2 2 4" xfId="4726"/>
    <cellStyle name="Calculation 3 2 2 4 3 2 2 5" xfId="4727"/>
    <cellStyle name="Calculation 3 2 2 4 3 2 2 6" xfId="4728"/>
    <cellStyle name="Calculation 3 2 2 4 3 2 3" xfId="4729"/>
    <cellStyle name="Calculation 3 2 2 4 3 2 3 2" xfId="4730"/>
    <cellStyle name="Calculation 3 2 2 4 3 2 4" xfId="4731"/>
    <cellStyle name="Calculation 3 2 2 4 3 2 4 2" xfId="4732"/>
    <cellStyle name="Calculation 3 2 2 4 3 2 5" xfId="4733"/>
    <cellStyle name="Calculation 3 2 2 4 3 2 6" xfId="4734"/>
    <cellStyle name="Calculation 3 2 2 4 3 2 7" xfId="4735"/>
    <cellStyle name="Calculation 3 2 2 4 3 3" xfId="4736"/>
    <cellStyle name="Calculation 3 2 2 4 3 3 2" xfId="4737"/>
    <cellStyle name="Calculation 3 2 2 4 3 3 2 2" xfId="4738"/>
    <cellStyle name="Calculation 3 2 2 4 3 3 3" xfId="4739"/>
    <cellStyle name="Calculation 3 2 2 4 3 3 3 2" xfId="4740"/>
    <cellStyle name="Calculation 3 2 2 4 3 3 4" xfId="4741"/>
    <cellStyle name="Calculation 3 2 2 4 3 3 5" xfId="4742"/>
    <cellStyle name="Calculation 3 2 2 4 3 3 6" xfId="4743"/>
    <cellStyle name="Calculation 3 2 2 4 3 4" xfId="4744"/>
    <cellStyle name="Calculation 3 2 2 4 3 4 2" xfId="4745"/>
    <cellStyle name="Calculation 3 2 2 4 3 5" xfId="4746"/>
    <cellStyle name="Calculation 3 2 2 4 3 5 2" xfId="4747"/>
    <cellStyle name="Calculation 3 2 2 4 3 6" xfId="4748"/>
    <cellStyle name="Calculation 3 2 2 4 3 7" xfId="4749"/>
    <cellStyle name="Calculation 3 2 2 4 3 8" xfId="4750"/>
    <cellStyle name="Calculation 3 2 2 4 4" xfId="4751"/>
    <cellStyle name="Calculation 3 2 2 4 4 2" xfId="4752"/>
    <cellStyle name="Calculation 3 2 2 4 4 2 2" xfId="4753"/>
    <cellStyle name="Calculation 3 2 2 4 4 2 2 2" xfId="4754"/>
    <cellStyle name="Calculation 3 2 2 4 4 2 3" xfId="4755"/>
    <cellStyle name="Calculation 3 2 2 4 4 2 3 2" xfId="4756"/>
    <cellStyle name="Calculation 3 2 2 4 4 2 4" xfId="4757"/>
    <cellStyle name="Calculation 3 2 2 4 4 2 5" xfId="4758"/>
    <cellStyle name="Calculation 3 2 2 4 4 2 6" xfId="4759"/>
    <cellStyle name="Calculation 3 2 2 4 4 3" xfId="4760"/>
    <cellStyle name="Calculation 3 2 2 4 4 3 2" xfId="4761"/>
    <cellStyle name="Calculation 3 2 2 4 4 4" xfId="4762"/>
    <cellStyle name="Calculation 3 2 2 4 4 4 2" xfId="4763"/>
    <cellStyle name="Calculation 3 2 2 4 4 5" xfId="4764"/>
    <cellStyle name="Calculation 3 2 2 4 4 6" xfId="4765"/>
    <cellStyle name="Calculation 3 2 2 4 4 7" xfId="4766"/>
    <cellStyle name="Calculation 3 2 2 4 5" xfId="4767"/>
    <cellStyle name="Calculation 3 2 2 4 5 2" xfId="4768"/>
    <cellStyle name="Calculation 3 2 2 4 5 2 2" xfId="4769"/>
    <cellStyle name="Calculation 3 2 2 4 5 3" xfId="4770"/>
    <cellStyle name="Calculation 3 2 2 4 5 3 2" xfId="4771"/>
    <cellStyle name="Calculation 3 2 2 4 5 4" xfId="4772"/>
    <cellStyle name="Calculation 3 2 2 4 5 5" xfId="4773"/>
    <cellStyle name="Calculation 3 2 2 4 5 6" xfId="4774"/>
    <cellStyle name="Calculation 3 2 2 4 6" xfId="4775"/>
    <cellStyle name="Calculation 3 2 2 4 6 2" xfId="4776"/>
    <cellStyle name="Calculation 3 2 2 4 7" xfId="4777"/>
    <cellStyle name="Calculation 3 2 2 4 7 2" xfId="4778"/>
    <cellStyle name="Calculation 3 2 2 4 8" xfId="4779"/>
    <cellStyle name="Calculation 3 2 2 4 9" xfId="4780"/>
    <cellStyle name="Calculation 3 2 2 5" xfId="4781"/>
    <cellStyle name="Calculation 3 2 2 5 2" xfId="4782"/>
    <cellStyle name="Calculation 3 2 2 5 2 2" xfId="4783"/>
    <cellStyle name="Calculation 3 2 2 5 2 2 2" xfId="4784"/>
    <cellStyle name="Calculation 3 2 2 5 2 2 2 2" xfId="4785"/>
    <cellStyle name="Calculation 3 2 2 5 2 2 3" xfId="4786"/>
    <cellStyle name="Calculation 3 2 2 5 2 2 3 2" xfId="4787"/>
    <cellStyle name="Calculation 3 2 2 5 2 2 4" xfId="4788"/>
    <cellStyle name="Calculation 3 2 2 5 2 2 5" xfId="4789"/>
    <cellStyle name="Calculation 3 2 2 5 2 2 6" xfId="4790"/>
    <cellStyle name="Calculation 3 2 2 5 2 3" xfId="4791"/>
    <cellStyle name="Calculation 3 2 2 5 2 3 2" xfId="4792"/>
    <cellStyle name="Calculation 3 2 2 5 2 4" xfId="4793"/>
    <cellStyle name="Calculation 3 2 2 5 2 4 2" xfId="4794"/>
    <cellStyle name="Calculation 3 2 2 5 2 5" xfId="4795"/>
    <cellStyle name="Calculation 3 2 2 5 2 6" xfId="4796"/>
    <cellStyle name="Calculation 3 2 2 5 2 7" xfId="4797"/>
    <cellStyle name="Calculation 3 2 2 5 3" xfId="4798"/>
    <cellStyle name="Calculation 3 2 2 5 3 2" xfId="4799"/>
    <cellStyle name="Calculation 3 2 2 5 3 2 2" xfId="4800"/>
    <cellStyle name="Calculation 3 2 2 5 3 3" xfId="4801"/>
    <cellStyle name="Calculation 3 2 2 5 3 3 2" xfId="4802"/>
    <cellStyle name="Calculation 3 2 2 5 3 4" xfId="4803"/>
    <cellStyle name="Calculation 3 2 2 5 3 5" xfId="4804"/>
    <cellStyle name="Calculation 3 2 2 5 3 6" xfId="4805"/>
    <cellStyle name="Calculation 3 2 2 5 4" xfId="4806"/>
    <cellStyle name="Calculation 3 2 2 5 4 2" xfId="4807"/>
    <cellStyle name="Calculation 3 2 2 5 5" xfId="4808"/>
    <cellStyle name="Calculation 3 2 2 5 5 2" xfId="4809"/>
    <cellStyle name="Calculation 3 2 2 5 6" xfId="4810"/>
    <cellStyle name="Calculation 3 2 2 5 7" xfId="4811"/>
    <cellStyle name="Calculation 3 2 2 5 8" xfId="4812"/>
    <cellStyle name="Calculation 3 2 2 6" xfId="4813"/>
    <cellStyle name="Calculation 3 2 2 6 2" xfId="4814"/>
    <cellStyle name="Calculation 3 2 2 6 2 2" xfId="4815"/>
    <cellStyle name="Calculation 3 2 2 6 2 2 2" xfId="4816"/>
    <cellStyle name="Calculation 3 2 2 6 2 3" xfId="4817"/>
    <cellStyle name="Calculation 3 2 2 6 2 3 2" xfId="4818"/>
    <cellStyle name="Calculation 3 2 2 6 2 4" xfId="4819"/>
    <cellStyle name="Calculation 3 2 2 6 2 5" xfId="4820"/>
    <cellStyle name="Calculation 3 2 2 6 2 6" xfId="4821"/>
    <cellStyle name="Calculation 3 2 2 6 3" xfId="4822"/>
    <cellStyle name="Calculation 3 2 2 6 3 2" xfId="4823"/>
    <cellStyle name="Calculation 3 2 2 6 4" xfId="4824"/>
    <cellStyle name="Calculation 3 2 2 6 4 2" xfId="4825"/>
    <cellStyle name="Calculation 3 2 2 6 5" xfId="4826"/>
    <cellStyle name="Calculation 3 2 2 6 6" xfId="4827"/>
    <cellStyle name="Calculation 3 2 2 6 7" xfId="4828"/>
    <cellStyle name="Calculation 3 2 2 7" xfId="4829"/>
    <cellStyle name="Calculation 3 2 2 7 2" xfId="4830"/>
    <cellStyle name="Calculation 3 2 2 7 2 2" xfId="4831"/>
    <cellStyle name="Calculation 3 2 2 7 3" xfId="4832"/>
    <cellStyle name="Calculation 3 2 2 7 3 2" xfId="4833"/>
    <cellStyle name="Calculation 3 2 2 7 4" xfId="4834"/>
    <cellStyle name="Calculation 3 2 2 7 5" xfId="4835"/>
    <cellStyle name="Calculation 3 2 2 7 6" xfId="4836"/>
    <cellStyle name="Calculation 3 2 2 8" xfId="4837"/>
    <cellStyle name="Calculation 3 2 2 8 2" xfId="4838"/>
    <cellStyle name="Calculation 3 2 2 9" xfId="4839"/>
    <cellStyle name="Calculation 3 2 2 9 2" xfId="4840"/>
    <cellStyle name="Calculation 3 2 3" xfId="4841"/>
    <cellStyle name="Calculation 3 2 3 10" xfId="4842"/>
    <cellStyle name="Calculation 3 2 3 11" xfId="4843"/>
    <cellStyle name="Calculation 3 2 3 12" xfId="4844"/>
    <cellStyle name="Calculation 3 2 3 2" xfId="4845"/>
    <cellStyle name="Calculation 3 2 3 2 10" xfId="4846"/>
    <cellStyle name="Calculation 3 2 3 2 11" xfId="4847"/>
    <cellStyle name="Calculation 3 2 3 2 2" xfId="4848"/>
    <cellStyle name="Calculation 3 2 3 2 2 10" xfId="4849"/>
    <cellStyle name="Calculation 3 2 3 2 2 2" xfId="4850"/>
    <cellStyle name="Calculation 3 2 3 2 2 2 2" xfId="4851"/>
    <cellStyle name="Calculation 3 2 3 2 2 2 2 2" xfId="4852"/>
    <cellStyle name="Calculation 3 2 3 2 2 2 2 2 2" xfId="4853"/>
    <cellStyle name="Calculation 3 2 3 2 2 2 2 2 2 2" xfId="4854"/>
    <cellStyle name="Calculation 3 2 3 2 2 2 2 2 3" xfId="4855"/>
    <cellStyle name="Calculation 3 2 3 2 2 2 2 2 3 2" xfId="4856"/>
    <cellStyle name="Calculation 3 2 3 2 2 2 2 2 4" xfId="4857"/>
    <cellStyle name="Calculation 3 2 3 2 2 2 2 2 5" xfId="4858"/>
    <cellStyle name="Calculation 3 2 3 2 2 2 2 2 6" xfId="4859"/>
    <cellStyle name="Calculation 3 2 3 2 2 2 2 3" xfId="4860"/>
    <cellStyle name="Calculation 3 2 3 2 2 2 2 3 2" xfId="4861"/>
    <cellStyle name="Calculation 3 2 3 2 2 2 2 4" xfId="4862"/>
    <cellStyle name="Calculation 3 2 3 2 2 2 2 4 2" xfId="4863"/>
    <cellStyle name="Calculation 3 2 3 2 2 2 2 5" xfId="4864"/>
    <cellStyle name="Calculation 3 2 3 2 2 2 2 6" xfId="4865"/>
    <cellStyle name="Calculation 3 2 3 2 2 2 2 7" xfId="4866"/>
    <cellStyle name="Calculation 3 2 3 2 2 2 3" xfId="4867"/>
    <cellStyle name="Calculation 3 2 3 2 2 2 3 2" xfId="4868"/>
    <cellStyle name="Calculation 3 2 3 2 2 2 3 2 2" xfId="4869"/>
    <cellStyle name="Calculation 3 2 3 2 2 2 3 3" xfId="4870"/>
    <cellStyle name="Calculation 3 2 3 2 2 2 3 3 2" xfId="4871"/>
    <cellStyle name="Calculation 3 2 3 2 2 2 3 4" xfId="4872"/>
    <cellStyle name="Calculation 3 2 3 2 2 2 3 5" xfId="4873"/>
    <cellStyle name="Calculation 3 2 3 2 2 2 3 6" xfId="4874"/>
    <cellStyle name="Calculation 3 2 3 2 2 2 4" xfId="4875"/>
    <cellStyle name="Calculation 3 2 3 2 2 2 4 2" xfId="4876"/>
    <cellStyle name="Calculation 3 2 3 2 2 2 5" xfId="4877"/>
    <cellStyle name="Calculation 3 2 3 2 2 2 5 2" xfId="4878"/>
    <cellStyle name="Calculation 3 2 3 2 2 2 6" xfId="4879"/>
    <cellStyle name="Calculation 3 2 3 2 2 2 7" xfId="4880"/>
    <cellStyle name="Calculation 3 2 3 2 2 2 8" xfId="4881"/>
    <cellStyle name="Calculation 3 2 3 2 2 3" xfId="4882"/>
    <cellStyle name="Calculation 3 2 3 2 2 3 2" xfId="4883"/>
    <cellStyle name="Calculation 3 2 3 2 2 3 2 2" xfId="4884"/>
    <cellStyle name="Calculation 3 2 3 2 2 3 2 2 2" xfId="4885"/>
    <cellStyle name="Calculation 3 2 3 2 2 3 2 2 2 2" xfId="4886"/>
    <cellStyle name="Calculation 3 2 3 2 2 3 2 2 3" xfId="4887"/>
    <cellStyle name="Calculation 3 2 3 2 2 3 2 2 3 2" xfId="4888"/>
    <cellStyle name="Calculation 3 2 3 2 2 3 2 2 4" xfId="4889"/>
    <cellStyle name="Calculation 3 2 3 2 2 3 2 2 5" xfId="4890"/>
    <cellStyle name="Calculation 3 2 3 2 2 3 2 2 6" xfId="4891"/>
    <cellStyle name="Calculation 3 2 3 2 2 3 2 3" xfId="4892"/>
    <cellStyle name="Calculation 3 2 3 2 2 3 2 3 2" xfId="4893"/>
    <cellStyle name="Calculation 3 2 3 2 2 3 2 4" xfId="4894"/>
    <cellStyle name="Calculation 3 2 3 2 2 3 2 4 2" xfId="4895"/>
    <cellStyle name="Calculation 3 2 3 2 2 3 2 5" xfId="4896"/>
    <cellStyle name="Calculation 3 2 3 2 2 3 2 6" xfId="4897"/>
    <cellStyle name="Calculation 3 2 3 2 2 3 2 7" xfId="4898"/>
    <cellStyle name="Calculation 3 2 3 2 2 3 3" xfId="4899"/>
    <cellStyle name="Calculation 3 2 3 2 2 3 3 2" xfId="4900"/>
    <cellStyle name="Calculation 3 2 3 2 2 3 3 2 2" xfId="4901"/>
    <cellStyle name="Calculation 3 2 3 2 2 3 3 3" xfId="4902"/>
    <cellStyle name="Calculation 3 2 3 2 2 3 3 3 2" xfId="4903"/>
    <cellStyle name="Calculation 3 2 3 2 2 3 3 4" xfId="4904"/>
    <cellStyle name="Calculation 3 2 3 2 2 3 3 5" xfId="4905"/>
    <cellStyle name="Calculation 3 2 3 2 2 3 3 6" xfId="4906"/>
    <cellStyle name="Calculation 3 2 3 2 2 3 4" xfId="4907"/>
    <cellStyle name="Calculation 3 2 3 2 2 3 4 2" xfId="4908"/>
    <cellStyle name="Calculation 3 2 3 2 2 3 5" xfId="4909"/>
    <cellStyle name="Calculation 3 2 3 2 2 3 5 2" xfId="4910"/>
    <cellStyle name="Calculation 3 2 3 2 2 3 6" xfId="4911"/>
    <cellStyle name="Calculation 3 2 3 2 2 3 7" xfId="4912"/>
    <cellStyle name="Calculation 3 2 3 2 2 3 8" xfId="4913"/>
    <cellStyle name="Calculation 3 2 3 2 2 4" xfId="4914"/>
    <cellStyle name="Calculation 3 2 3 2 2 4 2" xfId="4915"/>
    <cellStyle name="Calculation 3 2 3 2 2 4 2 2" xfId="4916"/>
    <cellStyle name="Calculation 3 2 3 2 2 4 2 2 2" xfId="4917"/>
    <cellStyle name="Calculation 3 2 3 2 2 4 2 3" xfId="4918"/>
    <cellStyle name="Calculation 3 2 3 2 2 4 2 3 2" xfId="4919"/>
    <cellStyle name="Calculation 3 2 3 2 2 4 2 4" xfId="4920"/>
    <cellStyle name="Calculation 3 2 3 2 2 4 2 5" xfId="4921"/>
    <cellStyle name="Calculation 3 2 3 2 2 4 2 6" xfId="4922"/>
    <cellStyle name="Calculation 3 2 3 2 2 4 3" xfId="4923"/>
    <cellStyle name="Calculation 3 2 3 2 2 4 3 2" xfId="4924"/>
    <cellStyle name="Calculation 3 2 3 2 2 4 4" xfId="4925"/>
    <cellStyle name="Calculation 3 2 3 2 2 4 4 2" xfId="4926"/>
    <cellStyle name="Calculation 3 2 3 2 2 4 5" xfId="4927"/>
    <cellStyle name="Calculation 3 2 3 2 2 4 6" xfId="4928"/>
    <cellStyle name="Calculation 3 2 3 2 2 4 7" xfId="4929"/>
    <cellStyle name="Calculation 3 2 3 2 2 5" xfId="4930"/>
    <cellStyle name="Calculation 3 2 3 2 2 5 2" xfId="4931"/>
    <cellStyle name="Calculation 3 2 3 2 2 5 2 2" xfId="4932"/>
    <cellStyle name="Calculation 3 2 3 2 2 5 3" xfId="4933"/>
    <cellStyle name="Calculation 3 2 3 2 2 5 3 2" xfId="4934"/>
    <cellStyle name="Calculation 3 2 3 2 2 5 4" xfId="4935"/>
    <cellStyle name="Calculation 3 2 3 2 2 5 5" xfId="4936"/>
    <cellStyle name="Calculation 3 2 3 2 2 5 6" xfId="4937"/>
    <cellStyle name="Calculation 3 2 3 2 2 6" xfId="4938"/>
    <cellStyle name="Calculation 3 2 3 2 2 6 2" xfId="4939"/>
    <cellStyle name="Calculation 3 2 3 2 2 7" xfId="4940"/>
    <cellStyle name="Calculation 3 2 3 2 2 7 2" xfId="4941"/>
    <cellStyle name="Calculation 3 2 3 2 2 8" xfId="4942"/>
    <cellStyle name="Calculation 3 2 3 2 2 9" xfId="4943"/>
    <cellStyle name="Calculation 3 2 3 2 3" xfId="4944"/>
    <cellStyle name="Calculation 3 2 3 2 3 2" xfId="4945"/>
    <cellStyle name="Calculation 3 2 3 2 3 2 2" xfId="4946"/>
    <cellStyle name="Calculation 3 2 3 2 3 2 2 2" xfId="4947"/>
    <cellStyle name="Calculation 3 2 3 2 3 2 2 2 2" xfId="4948"/>
    <cellStyle name="Calculation 3 2 3 2 3 2 2 3" xfId="4949"/>
    <cellStyle name="Calculation 3 2 3 2 3 2 2 3 2" xfId="4950"/>
    <cellStyle name="Calculation 3 2 3 2 3 2 2 4" xfId="4951"/>
    <cellStyle name="Calculation 3 2 3 2 3 2 2 5" xfId="4952"/>
    <cellStyle name="Calculation 3 2 3 2 3 2 2 6" xfId="4953"/>
    <cellStyle name="Calculation 3 2 3 2 3 2 3" xfId="4954"/>
    <cellStyle name="Calculation 3 2 3 2 3 2 3 2" xfId="4955"/>
    <cellStyle name="Calculation 3 2 3 2 3 2 4" xfId="4956"/>
    <cellStyle name="Calculation 3 2 3 2 3 2 4 2" xfId="4957"/>
    <cellStyle name="Calculation 3 2 3 2 3 2 5" xfId="4958"/>
    <cellStyle name="Calculation 3 2 3 2 3 2 6" xfId="4959"/>
    <cellStyle name="Calculation 3 2 3 2 3 2 7" xfId="4960"/>
    <cellStyle name="Calculation 3 2 3 2 3 3" xfId="4961"/>
    <cellStyle name="Calculation 3 2 3 2 3 3 2" xfId="4962"/>
    <cellStyle name="Calculation 3 2 3 2 3 3 2 2" xfId="4963"/>
    <cellStyle name="Calculation 3 2 3 2 3 3 3" xfId="4964"/>
    <cellStyle name="Calculation 3 2 3 2 3 3 3 2" xfId="4965"/>
    <cellStyle name="Calculation 3 2 3 2 3 3 4" xfId="4966"/>
    <cellStyle name="Calculation 3 2 3 2 3 3 5" xfId="4967"/>
    <cellStyle name="Calculation 3 2 3 2 3 3 6" xfId="4968"/>
    <cellStyle name="Calculation 3 2 3 2 3 4" xfId="4969"/>
    <cellStyle name="Calculation 3 2 3 2 3 4 2" xfId="4970"/>
    <cellStyle name="Calculation 3 2 3 2 3 5" xfId="4971"/>
    <cellStyle name="Calculation 3 2 3 2 3 5 2" xfId="4972"/>
    <cellStyle name="Calculation 3 2 3 2 3 6" xfId="4973"/>
    <cellStyle name="Calculation 3 2 3 2 3 7" xfId="4974"/>
    <cellStyle name="Calculation 3 2 3 2 3 8" xfId="4975"/>
    <cellStyle name="Calculation 3 2 3 2 4" xfId="4976"/>
    <cellStyle name="Calculation 3 2 3 2 4 2" xfId="4977"/>
    <cellStyle name="Calculation 3 2 3 2 4 2 2" xfId="4978"/>
    <cellStyle name="Calculation 3 2 3 2 4 2 2 2" xfId="4979"/>
    <cellStyle name="Calculation 3 2 3 2 4 2 2 2 2" xfId="4980"/>
    <cellStyle name="Calculation 3 2 3 2 4 2 2 3" xfId="4981"/>
    <cellStyle name="Calculation 3 2 3 2 4 2 2 3 2" xfId="4982"/>
    <cellStyle name="Calculation 3 2 3 2 4 2 2 4" xfId="4983"/>
    <cellStyle name="Calculation 3 2 3 2 4 2 2 5" xfId="4984"/>
    <cellStyle name="Calculation 3 2 3 2 4 2 2 6" xfId="4985"/>
    <cellStyle name="Calculation 3 2 3 2 4 2 3" xfId="4986"/>
    <cellStyle name="Calculation 3 2 3 2 4 2 3 2" xfId="4987"/>
    <cellStyle name="Calculation 3 2 3 2 4 2 4" xfId="4988"/>
    <cellStyle name="Calculation 3 2 3 2 4 2 4 2" xfId="4989"/>
    <cellStyle name="Calculation 3 2 3 2 4 2 5" xfId="4990"/>
    <cellStyle name="Calculation 3 2 3 2 4 2 6" xfId="4991"/>
    <cellStyle name="Calculation 3 2 3 2 4 2 7" xfId="4992"/>
    <cellStyle name="Calculation 3 2 3 2 4 3" xfId="4993"/>
    <cellStyle name="Calculation 3 2 3 2 4 3 2" xfId="4994"/>
    <cellStyle name="Calculation 3 2 3 2 4 3 2 2" xfId="4995"/>
    <cellStyle name="Calculation 3 2 3 2 4 3 3" xfId="4996"/>
    <cellStyle name="Calculation 3 2 3 2 4 3 3 2" xfId="4997"/>
    <cellStyle name="Calculation 3 2 3 2 4 3 4" xfId="4998"/>
    <cellStyle name="Calculation 3 2 3 2 4 3 5" xfId="4999"/>
    <cellStyle name="Calculation 3 2 3 2 4 3 6" xfId="5000"/>
    <cellStyle name="Calculation 3 2 3 2 4 4" xfId="5001"/>
    <cellStyle name="Calculation 3 2 3 2 4 4 2" xfId="5002"/>
    <cellStyle name="Calculation 3 2 3 2 4 5" xfId="5003"/>
    <cellStyle name="Calculation 3 2 3 2 4 5 2" xfId="5004"/>
    <cellStyle name="Calculation 3 2 3 2 4 6" xfId="5005"/>
    <cellStyle name="Calculation 3 2 3 2 4 7" xfId="5006"/>
    <cellStyle name="Calculation 3 2 3 2 4 8" xfId="5007"/>
    <cellStyle name="Calculation 3 2 3 2 5" xfId="5008"/>
    <cellStyle name="Calculation 3 2 3 2 5 2" xfId="5009"/>
    <cellStyle name="Calculation 3 2 3 2 5 2 2" xfId="5010"/>
    <cellStyle name="Calculation 3 2 3 2 5 2 2 2" xfId="5011"/>
    <cellStyle name="Calculation 3 2 3 2 5 2 3" xfId="5012"/>
    <cellStyle name="Calculation 3 2 3 2 5 2 3 2" xfId="5013"/>
    <cellStyle name="Calculation 3 2 3 2 5 2 4" xfId="5014"/>
    <cellStyle name="Calculation 3 2 3 2 5 2 5" xfId="5015"/>
    <cellStyle name="Calculation 3 2 3 2 5 2 6" xfId="5016"/>
    <cellStyle name="Calculation 3 2 3 2 5 3" xfId="5017"/>
    <cellStyle name="Calculation 3 2 3 2 5 3 2" xfId="5018"/>
    <cellStyle name="Calculation 3 2 3 2 5 4" xfId="5019"/>
    <cellStyle name="Calculation 3 2 3 2 5 4 2" xfId="5020"/>
    <cellStyle name="Calculation 3 2 3 2 5 5" xfId="5021"/>
    <cellStyle name="Calculation 3 2 3 2 5 6" xfId="5022"/>
    <cellStyle name="Calculation 3 2 3 2 5 7" xfId="5023"/>
    <cellStyle name="Calculation 3 2 3 2 6" xfId="5024"/>
    <cellStyle name="Calculation 3 2 3 2 6 2" xfId="5025"/>
    <cellStyle name="Calculation 3 2 3 2 6 2 2" xfId="5026"/>
    <cellStyle name="Calculation 3 2 3 2 6 3" xfId="5027"/>
    <cellStyle name="Calculation 3 2 3 2 6 3 2" xfId="5028"/>
    <cellStyle name="Calculation 3 2 3 2 6 4" xfId="5029"/>
    <cellStyle name="Calculation 3 2 3 2 6 5" xfId="5030"/>
    <cellStyle name="Calculation 3 2 3 2 6 6" xfId="5031"/>
    <cellStyle name="Calculation 3 2 3 2 7" xfId="5032"/>
    <cellStyle name="Calculation 3 2 3 2 7 2" xfId="5033"/>
    <cellStyle name="Calculation 3 2 3 2 8" xfId="5034"/>
    <cellStyle name="Calculation 3 2 3 2 8 2" xfId="5035"/>
    <cellStyle name="Calculation 3 2 3 2 9" xfId="5036"/>
    <cellStyle name="Calculation 3 2 3 3" xfId="5037"/>
    <cellStyle name="Calculation 3 2 3 3 10" xfId="5038"/>
    <cellStyle name="Calculation 3 2 3 3 2" xfId="5039"/>
    <cellStyle name="Calculation 3 2 3 3 2 10" xfId="5040"/>
    <cellStyle name="Calculation 3 2 3 3 2 2" xfId="5041"/>
    <cellStyle name="Calculation 3 2 3 3 2 2 2" xfId="5042"/>
    <cellStyle name="Calculation 3 2 3 3 2 2 2 2" xfId="5043"/>
    <cellStyle name="Calculation 3 2 3 3 2 2 2 2 2" xfId="5044"/>
    <cellStyle name="Calculation 3 2 3 3 2 2 2 2 2 2" xfId="5045"/>
    <cellStyle name="Calculation 3 2 3 3 2 2 2 2 3" xfId="5046"/>
    <cellStyle name="Calculation 3 2 3 3 2 2 2 2 3 2" xfId="5047"/>
    <cellStyle name="Calculation 3 2 3 3 2 2 2 2 4" xfId="5048"/>
    <cellStyle name="Calculation 3 2 3 3 2 2 2 2 5" xfId="5049"/>
    <cellStyle name="Calculation 3 2 3 3 2 2 2 2 6" xfId="5050"/>
    <cellStyle name="Calculation 3 2 3 3 2 2 2 3" xfId="5051"/>
    <cellStyle name="Calculation 3 2 3 3 2 2 2 3 2" xfId="5052"/>
    <cellStyle name="Calculation 3 2 3 3 2 2 2 4" xfId="5053"/>
    <cellStyle name="Calculation 3 2 3 3 2 2 2 4 2" xfId="5054"/>
    <cellStyle name="Calculation 3 2 3 3 2 2 2 5" xfId="5055"/>
    <cellStyle name="Calculation 3 2 3 3 2 2 2 6" xfId="5056"/>
    <cellStyle name="Calculation 3 2 3 3 2 2 2 7" xfId="5057"/>
    <cellStyle name="Calculation 3 2 3 3 2 2 3" xfId="5058"/>
    <cellStyle name="Calculation 3 2 3 3 2 2 3 2" xfId="5059"/>
    <cellStyle name="Calculation 3 2 3 3 2 2 3 2 2" xfId="5060"/>
    <cellStyle name="Calculation 3 2 3 3 2 2 3 3" xfId="5061"/>
    <cellStyle name="Calculation 3 2 3 3 2 2 3 3 2" xfId="5062"/>
    <cellStyle name="Calculation 3 2 3 3 2 2 3 4" xfId="5063"/>
    <cellStyle name="Calculation 3 2 3 3 2 2 3 5" xfId="5064"/>
    <cellStyle name="Calculation 3 2 3 3 2 2 3 6" xfId="5065"/>
    <cellStyle name="Calculation 3 2 3 3 2 2 4" xfId="5066"/>
    <cellStyle name="Calculation 3 2 3 3 2 2 4 2" xfId="5067"/>
    <cellStyle name="Calculation 3 2 3 3 2 2 5" xfId="5068"/>
    <cellStyle name="Calculation 3 2 3 3 2 2 5 2" xfId="5069"/>
    <cellStyle name="Calculation 3 2 3 3 2 2 6" xfId="5070"/>
    <cellStyle name="Calculation 3 2 3 3 2 2 7" xfId="5071"/>
    <cellStyle name="Calculation 3 2 3 3 2 2 8" xfId="5072"/>
    <cellStyle name="Calculation 3 2 3 3 2 3" xfId="5073"/>
    <cellStyle name="Calculation 3 2 3 3 2 3 2" xfId="5074"/>
    <cellStyle name="Calculation 3 2 3 3 2 3 2 2" xfId="5075"/>
    <cellStyle name="Calculation 3 2 3 3 2 3 2 2 2" xfId="5076"/>
    <cellStyle name="Calculation 3 2 3 3 2 3 2 2 2 2" xfId="5077"/>
    <cellStyle name="Calculation 3 2 3 3 2 3 2 2 3" xfId="5078"/>
    <cellStyle name="Calculation 3 2 3 3 2 3 2 2 3 2" xfId="5079"/>
    <cellStyle name="Calculation 3 2 3 3 2 3 2 2 4" xfId="5080"/>
    <cellStyle name="Calculation 3 2 3 3 2 3 2 2 5" xfId="5081"/>
    <cellStyle name="Calculation 3 2 3 3 2 3 2 2 6" xfId="5082"/>
    <cellStyle name="Calculation 3 2 3 3 2 3 2 3" xfId="5083"/>
    <cellStyle name="Calculation 3 2 3 3 2 3 2 3 2" xfId="5084"/>
    <cellStyle name="Calculation 3 2 3 3 2 3 2 4" xfId="5085"/>
    <cellStyle name="Calculation 3 2 3 3 2 3 2 4 2" xfId="5086"/>
    <cellStyle name="Calculation 3 2 3 3 2 3 2 5" xfId="5087"/>
    <cellStyle name="Calculation 3 2 3 3 2 3 2 6" xfId="5088"/>
    <cellStyle name="Calculation 3 2 3 3 2 3 2 7" xfId="5089"/>
    <cellStyle name="Calculation 3 2 3 3 2 3 3" xfId="5090"/>
    <cellStyle name="Calculation 3 2 3 3 2 3 3 2" xfId="5091"/>
    <cellStyle name="Calculation 3 2 3 3 2 3 3 2 2" xfId="5092"/>
    <cellStyle name="Calculation 3 2 3 3 2 3 3 3" xfId="5093"/>
    <cellStyle name="Calculation 3 2 3 3 2 3 3 3 2" xfId="5094"/>
    <cellStyle name="Calculation 3 2 3 3 2 3 3 4" xfId="5095"/>
    <cellStyle name="Calculation 3 2 3 3 2 3 3 5" xfId="5096"/>
    <cellStyle name="Calculation 3 2 3 3 2 3 3 6" xfId="5097"/>
    <cellStyle name="Calculation 3 2 3 3 2 3 4" xfId="5098"/>
    <cellStyle name="Calculation 3 2 3 3 2 3 4 2" xfId="5099"/>
    <cellStyle name="Calculation 3 2 3 3 2 3 5" xfId="5100"/>
    <cellStyle name="Calculation 3 2 3 3 2 3 5 2" xfId="5101"/>
    <cellStyle name="Calculation 3 2 3 3 2 3 6" xfId="5102"/>
    <cellStyle name="Calculation 3 2 3 3 2 3 7" xfId="5103"/>
    <cellStyle name="Calculation 3 2 3 3 2 3 8" xfId="5104"/>
    <cellStyle name="Calculation 3 2 3 3 2 4" xfId="5105"/>
    <cellStyle name="Calculation 3 2 3 3 2 4 2" xfId="5106"/>
    <cellStyle name="Calculation 3 2 3 3 2 4 2 2" xfId="5107"/>
    <cellStyle name="Calculation 3 2 3 3 2 4 2 2 2" xfId="5108"/>
    <cellStyle name="Calculation 3 2 3 3 2 4 2 3" xfId="5109"/>
    <cellStyle name="Calculation 3 2 3 3 2 4 2 3 2" xfId="5110"/>
    <cellStyle name="Calculation 3 2 3 3 2 4 2 4" xfId="5111"/>
    <cellStyle name="Calculation 3 2 3 3 2 4 2 5" xfId="5112"/>
    <cellStyle name="Calculation 3 2 3 3 2 4 2 6" xfId="5113"/>
    <cellStyle name="Calculation 3 2 3 3 2 4 3" xfId="5114"/>
    <cellStyle name="Calculation 3 2 3 3 2 4 3 2" xfId="5115"/>
    <cellStyle name="Calculation 3 2 3 3 2 4 4" xfId="5116"/>
    <cellStyle name="Calculation 3 2 3 3 2 4 4 2" xfId="5117"/>
    <cellStyle name="Calculation 3 2 3 3 2 4 5" xfId="5118"/>
    <cellStyle name="Calculation 3 2 3 3 2 4 6" xfId="5119"/>
    <cellStyle name="Calculation 3 2 3 3 2 4 7" xfId="5120"/>
    <cellStyle name="Calculation 3 2 3 3 2 5" xfId="5121"/>
    <cellStyle name="Calculation 3 2 3 3 2 5 2" xfId="5122"/>
    <cellStyle name="Calculation 3 2 3 3 2 5 2 2" xfId="5123"/>
    <cellStyle name="Calculation 3 2 3 3 2 5 3" xfId="5124"/>
    <cellStyle name="Calculation 3 2 3 3 2 5 3 2" xfId="5125"/>
    <cellStyle name="Calculation 3 2 3 3 2 5 4" xfId="5126"/>
    <cellStyle name="Calculation 3 2 3 3 2 5 5" xfId="5127"/>
    <cellStyle name="Calculation 3 2 3 3 2 5 6" xfId="5128"/>
    <cellStyle name="Calculation 3 2 3 3 2 6" xfId="5129"/>
    <cellStyle name="Calculation 3 2 3 3 2 6 2" xfId="5130"/>
    <cellStyle name="Calculation 3 2 3 3 2 7" xfId="5131"/>
    <cellStyle name="Calculation 3 2 3 3 2 7 2" xfId="5132"/>
    <cellStyle name="Calculation 3 2 3 3 2 8" xfId="5133"/>
    <cellStyle name="Calculation 3 2 3 3 2 9" xfId="5134"/>
    <cellStyle name="Calculation 3 2 3 3 3" xfId="5135"/>
    <cellStyle name="Calculation 3 2 3 3 3 2" xfId="5136"/>
    <cellStyle name="Calculation 3 2 3 3 3 2 2" xfId="5137"/>
    <cellStyle name="Calculation 3 2 3 3 3 2 2 2" xfId="5138"/>
    <cellStyle name="Calculation 3 2 3 3 3 2 2 2 2" xfId="5139"/>
    <cellStyle name="Calculation 3 2 3 3 3 2 2 3" xfId="5140"/>
    <cellStyle name="Calculation 3 2 3 3 3 2 2 3 2" xfId="5141"/>
    <cellStyle name="Calculation 3 2 3 3 3 2 2 4" xfId="5142"/>
    <cellStyle name="Calculation 3 2 3 3 3 2 2 5" xfId="5143"/>
    <cellStyle name="Calculation 3 2 3 3 3 2 2 6" xfId="5144"/>
    <cellStyle name="Calculation 3 2 3 3 3 2 3" xfId="5145"/>
    <cellStyle name="Calculation 3 2 3 3 3 2 3 2" xfId="5146"/>
    <cellStyle name="Calculation 3 2 3 3 3 2 4" xfId="5147"/>
    <cellStyle name="Calculation 3 2 3 3 3 2 4 2" xfId="5148"/>
    <cellStyle name="Calculation 3 2 3 3 3 2 5" xfId="5149"/>
    <cellStyle name="Calculation 3 2 3 3 3 2 6" xfId="5150"/>
    <cellStyle name="Calculation 3 2 3 3 3 2 7" xfId="5151"/>
    <cellStyle name="Calculation 3 2 3 3 3 3" xfId="5152"/>
    <cellStyle name="Calculation 3 2 3 3 3 3 2" xfId="5153"/>
    <cellStyle name="Calculation 3 2 3 3 3 3 2 2" xfId="5154"/>
    <cellStyle name="Calculation 3 2 3 3 3 3 3" xfId="5155"/>
    <cellStyle name="Calculation 3 2 3 3 3 3 3 2" xfId="5156"/>
    <cellStyle name="Calculation 3 2 3 3 3 3 4" xfId="5157"/>
    <cellStyle name="Calculation 3 2 3 3 3 3 5" xfId="5158"/>
    <cellStyle name="Calculation 3 2 3 3 3 3 6" xfId="5159"/>
    <cellStyle name="Calculation 3 2 3 3 3 4" xfId="5160"/>
    <cellStyle name="Calculation 3 2 3 3 3 4 2" xfId="5161"/>
    <cellStyle name="Calculation 3 2 3 3 3 5" xfId="5162"/>
    <cellStyle name="Calculation 3 2 3 3 3 5 2" xfId="5163"/>
    <cellStyle name="Calculation 3 2 3 3 3 6" xfId="5164"/>
    <cellStyle name="Calculation 3 2 3 3 3 7" xfId="5165"/>
    <cellStyle name="Calculation 3 2 3 3 3 8" xfId="5166"/>
    <cellStyle name="Calculation 3 2 3 3 4" xfId="5167"/>
    <cellStyle name="Calculation 3 2 3 3 4 2" xfId="5168"/>
    <cellStyle name="Calculation 3 2 3 3 4 2 2" xfId="5169"/>
    <cellStyle name="Calculation 3 2 3 3 4 2 2 2" xfId="5170"/>
    <cellStyle name="Calculation 3 2 3 3 4 2 3" xfId="5171"/>
    <cellStyle name="Calculation 3 2 3 3 4 2 3 2" xfId="5172"/>
    <cellStyle name="Calculation 3 2 3 3 4 2 4" xfId="5173"/>
    <cellStyle name="Calculation 3 2 3 3 4 2 5" xfId="5174"/>
    <cellStyle name="Calculation 3 2 3 3 4 2 6" xfId="5175"/>
    <cellStyle name="Calculation 3 2 3 3 4 3" xfId="5176"/>
    <cellStyle name="Calculation 3 2 3 3 4 3 2" xfId="5177"/>
    <cellStyle name="Calculation 3 2 3 3 4 4" xfId="5178"/>
    <cellStyle name="Calculation 3 2 3 3 4 4 2" xfId="5179"/>
    <cellStyle name="Calculation 3 2 3 3 4 5" xfId="5180"/>
    <cellStyle name="Calculation 3 2 3 3 4 6" xfId="5181"/>
    <cellStyle name="Calculation 3 2 3 3 4 7" xfId="5182"/>
    <cellStyle name="Calculation 3 2 3 3 5" xfId="5183"/>
    <cellStyle name="Calculation 3 2 3 3 5 2" xfId="5184"/>
    <cellStyle name="Calculation 3 2 3 3 5 2 2" xfId="5185"/>
    <cellStyle name="Calculation 3 2 3 3 5 3" xfId="5186"/>
    <cellStyle name="Calculation 3 2 3 3 5 3 2" xfId="5187"/>
    <cellStyle name="Calculation 3 2 3 3 5 4" xfId="5188"/>
    <cellStyle name="Calculation 3 2 3 3 5 5" xfId="5189"/>
    <cellStyle name="Calculation 3 2 3 3 5 6" xfId="5190"/>
    <cellStyle name="Calculation 3 2 3 3 6" xfId="5191"/>
    <cellStyle name="Calculation 3 2 3 3 6 2" xfId="5192"/>
    <cellStyle name="Calculation 3 2 3 3 7" xfId="5193"/>
    <cellStyle name="Calculation 3 2 3 3 7 2" xfId="5194"/>
    <cellStyle name="Calculation 3 2 3 3 8" xfId="5195"/>
    <cellStyle name="Calculation 3 2 3 3 9" xfId="5196"/>
    <cellStyle name="Calculation 3 2 3 4" xfId="5197"/>
    <cellStyle name="Calculation 3 2 3 4 10" xfId="5198"/>
    <cellStyle name="Calculation 3 2 3 4 2" xfId="5199"/>
    <cellStyle name="Calculation 3 2 3 4 2 2" xfId="5200"/>
    <cellStyle name="Calculation 3 2 3 4 2 2 2" xfId="5201"/>
    <cellStyle name="Calculation 3 2 3 4 2 2 2 2" xfId="5202"/>
    <cellStyle name="Calculation 3 2 3 4 2 2 2 2 2" xfId="5203"/>
    <cellStyle name="Calculation 3 2 3 4 2 2 2 3" xfId="5204"/>
    <cellStyle name="Calculation 3 2 3 4 2 2 2 3 2" xfId="5205"/>
    <cellStyle name="Calculation 3 2 3 4 2 2 2 4" xfId="5206"/>
    <cellStyle name="Calculation 3 2 3 4 2 2 2 5" xfId="5207"/>
    <cellStyle name="Calculation 3 2 3 4 2 2 2 6" xfId="5208"/>
    <cellStyle name="Calculation 3 2 3 4 2 2 3" xfId="5209"/>
    <cellStyle name="Calculation 3 2 3 4 2 2 3 2" xfId="5210"/>
    <cellStyle name="Calculation 3 2 3 4 2 2 4" xfId="5211"/>
    <cellStyle name="Calculation 3 2 3 4 2 2 4 2" xfId="5212"/>
    <cellStyle name="Calculation 3 2 3 4 2 2 5" xfId="5213"/>
    <cellStyle name="Calculation 3 2 3 4 2 2 6" xfId="5214"/>
    <cellStyle name="Calculation 3 2 3 4 2 2 7" xfId="5215"/>
    <cellStyle name="Calculation 3 2 3 4 2 3" xfId="5216"/>
    <cellStyle name="Calculation 3 2 3 4 2 3 2" xfId="5217"/>
    <cellStyle name="Calculation 3 2 3 4 2 3 2 2" xfId="5218"/>
    <cellStyle name="Calculation 3 2 3 4 2 3 3" xfId="5219"/>
    <cellStyle name="Calculation 3 2 3 4 2 3 3 2" xfId="5220"/>
    <cellStyle name="Calculation 3 2 3 4 2 3 4" xfId="5221"/>
    <cellStyle name="Calculation 3 2 3 4 2 3 5" xfId="5222"/>
    <cellStyle name="Calculation 3 2 3 4 2 3 6" xfId="5223"/>
    <cellStyle name="Calculation 3 2 3 4 2 4" xfId="5224"/>
    <cellStyle name="Calculation 3 2 3 4 2 4 2" xfId="5225"/>
    <cellStyle name="Calculation 3 2 3 4 2 5" xfId="5226"/>
    <cellStyle name="Calculation 3 2 3 4 2 5 2" xfId="5227"/>
    <cellStyle name="Calculation 3 2 3 4 2 6" xfId="5228"/>
    <cellStyle name="Calculation 3 2 3 4 2 7" xfId="5229"/>
    <cellStyle name="Calculation 3 2 3 4 2 8" xfId="5230"/>
    <cellStyle name="Calculation 3 2 3 4 3" xfId="5231"/>
    <cellStyle name="Calculation 3 2 3 4 3 2" xfId="5232"/>
    <cellStyle name="Calculation 3 2 3 4 3 2 2" xfId="5233"/>
    <cellStyle name="Calculation 3 2 3 4 3 2 2 2" xfId="5234"/>
    <cellStyle name="Calculation 3 2 3 4 3 2 2 2 2" xfId="5235"/>
    <cellStyle name="Calculation 3 2 3 4 3 2 2 3" xfId="5236"/>
    <cellStyle name="Calculation 3 2 3 4 3 2 2 3 2" xfId="5237"/>
    <cellStyle name="Calculation 3 2 3 4 3 2 2 4" xfId="5238"/>
    <cellStyle name="Calculation 3 2 3 4 3 2 2 5" xfId="5239"/>
    <cellStyle name="Calculation 3 2 3 4 3 2 2 6" xfId="5240"/>
    <cellStyle name="Calculation 3 2 3 4 3 2 3" xfId="5241"/>
    <cellStyle name="Calculation 3 2 3 4 3 2 3 2" xfId="5242"/>
    <cellStyle name="Calculation 3 2 3 4 3 2 4" xfId="5243"/>
    <cellStyle name="Calculation 3 2 3 4 3 2 4 2" xfId="5244"/>
    <cellStyle name="Calculation 3 2 3 4 3 2 5" xfId="5245"/>
    <cellStyle name="Calculation 3 2 3 4 3 2 6" xfId="5246"/>
    <cellStyle name="Calculation 3 2 3 4 3 2 7" xfId="5247"/>
    <cellStyle name="Calculation 3 2 3 4 3 3" xfId="5248"/>
    <cellStyle name="Calculation 3 2 3 4 3 3 2" xfId="5249"/>
    <cellStyle name="Calculation 3 2 3 4 3 3 2 2" xfId="5250"/>
    <cellStyle name="Calculation 3 2 3 4 3 3 3" xfId="5251"/>
    <cellStyle name="Calculation 3 2 3 4 3 3 3 2" xfId="5252"/>
    <cellStyle name="Calculation 3 2 3 4 3 3 4" xfId="5253"/>
    <cellStyle name="Calculation 3 2 3 4 3 3 5" xfId="5254"/>
    <cellStyle name="Calculation 3 2 3 4 3 3 6" xfId="5255"/>
    <cellStyle name="Calculation 3 2 3 4 3 4" xfId="5256"/>
    <cellStyle name="Calculation 3 2 3 4 3 4 2" xfId="5257"/>
    <cellStyle name="Calculation 3 2 3 4 3 5" xfId="5258"/>
    <cellStyle name="Calculation 3 2 3 4 3 5 2" xfId="5259"/>
    <cellStyle name="Calculation 3 2 3 4 3 6" xfId="5260"/>
    <cellStyle name="Calculation 3 2 3 4 3 7" xfId="5261"/>
    <cellStyle name="Calculation 3 2 3 4 3 8" xfId="5262"/>
    <cellStyle name="Calculation 3 2 3 4 4" xfId="5263"/>
    <cellStyle name="Calculation 3 2 3 4 4 2" xfId="5264"/>
    <cellStyle name="Calculation 3 2 3 4 4 2 2" xfId="5265"/>
    <cellStyle name="Calculation 3 2 3 4 4 2 2 2" xfId="5266"/>
    <cellStyle name="Calculation 3 2 3 4 4 2 3" xfId="5267"/>
    <cellStyle name="Calculation 3 2 3 4 4 2 3 2" xfId="5268"/>
    <cellStyle name="Calculation 3 2 3 4 4 2 4" xfId="5269"/>
    <cellStyle name="Calculation 3 2 3 4 4 2 5" xfId="5270"/>
    <cellStyle name="Calculation 3 2 3 4 4 2 6" xfId="5271"/>
    <cellStyle name="Calculation 3 2 3 4 4 3" xfId="5272"/>
    <cellStyle name="Calculation 3 2 3 4 4 3 2" xfId="5273"/>
    <cellStyle name="Calculation 3 2 3 4 4 4" xfId="5274"/>
    <cellStyle name="Calculation 3 2 3 4 4 4 2" xfId="5275"/>
    <cellStyle name="Calculation 3 2 3 4 4 5" xfId="5276"/>
    <cellStyle name="Calculation 3 2 3 4 4 6" xfId="5277"/>
    <cellStyle name="Calculation 3 2 3 4 4 7" xfId="5278"/>
    <cellStyle name="Calculation 3 2 3 4 5" xfId="5279"/>
    <cellStyle name="Calculation 3 2 3 4 5 2" xfId="5280"/>
    <cellStyle name="Calculation 3 2 3 4 5 2 2" xfId="5281"/>
    <cellStyle name="Calculation 3 2 3 4 5 3" xfId="5282"/>
    <cellStyle name="Calculation 3 2 3 4 5 3 2" xfId="5283"/>
    <cellStyle name="Calculation 3 2 3 4 5 4" xfId="5284"/>
    <cellStyle name="Calculation 3 2 3 4 5 5" xfId="5285"/>
    <cellStyle name="Calculation 3 2 3 4 5 6" xfId="5286"/>
    <cellStyle name="Calculation 3 2 3 4 6" xfId="5287"/>
    <cellStyle name="Calculation 3 2 3 4 6 2" xfId="5288"/>
    <cellStyle name="Calculation 3 2 3 4 7" xfId="5289"/>
    <cellStyle name="Calculation 3 2 3 4 7 2" xfId="5290"/>
    <cellStyle name="Calculation 3 2 3 4 8" xfId="5291"/>
    <cellStyle name="Calculation 3 2 3 4 9" xfId="5292"/>
    <cellStyle name="Calculation 3 2 3 5" xfId="5293"/>
    <cellStyle name="Calculation 3 2 3 5 2" xfId="5294"/>
    <cellStyle name="Calculation 3 2 3 5 2 2" xfId="5295"/>
    <cellStyle name="Calculation 3 2 3 5 2 2 2" xfId="5296"/>
    <cellStyle name="Calculation 3 2 3 5 2 2 2 2" xfId="5297"/>
    <cellStyle name="Calculation 3 2 3 5 2 2 3" xfId="5298"/>
    <cellStyle name="Calculation 3 2 3 5 2 2 3 2" xfId="5299"/>
    <cellStyle name="Calculation 3 2 3 5 2 2 4" xfId="5300"/>
    <cellStyle name="Calculation 3 2 3 5 2 2 5" xfId="5301"/>
    <cellStyle name="Calculation 3 2 3 5 2 2 6" xfId="5302"/>
    <cellStyle name="Calculation 3 2 3 5 2 3" xfId="5303"/>
    <cellStyle name="Calculation 3 2 3 5 2 3 2" xfId="5304"/>
    <cellStyle name="Calculation 3 2 3 5 2 4" xfId="5305"/>
    <cellStyle name="Calculation 3 2 3 5 2 4 2" xfId="5306"/>
    <cellStyle name="Calculation 3 2 3 5 2 5" xfId="5307"/>
    <cellStyle name="Calculation 3 2 3 5 2 6" xfId="5308"/>
    <cellStyle name="Calculation 3 2 3 5 2 7" xfId="5309"/>
    <cellStyle name="Calculation 3 2 3 5 3" xfId="5310"/>
    <cellStyle name="Calculation 3 2 3 5 3 2" xfId="5311"/>
    <cellStyle name="Calculation 3 2 3 5 3 2 2" xfId="5312"/>
    <cellStyle name="Calculation 3 2 3 5 3 3" xfId="5313"/>
    <cellStyle name="Calculation 3 2 3 5 3 3 2" xfId="5314"/>
    <cellStyle name="Calculation 3 2 3 5 3 4" xfId="5315"/>
    <cellStyle name="Calculation 3 2 3 5 3 5" xfId="5316"/>
    <cellStyle name="Calculation 3 2 3 5 3 6" xfId="5317"/>
    <cellStyle name="Calculation 3 2 3 5 4" xfId="5318"/>
    <cellStyle name="Calculation 3 2 3 5 4 2" xfId="5319"/>
    <cellStyle name="Calculation 3 2 3 5 5" xfId="5320"/>
    <cellStyle name="Calculation 3 2 3 5 5 2" xfId="5321"/>
    <cellStyle name="Calculation 3 2 3 5 6" xfId="5322"/>
    <cellStyle name="Calculation 3 2 3 5 7" xfId="5323"/>
    <cellStyle name="Calculation 3 2 3 5 8" xfId="5324"/>
    <cellStyle name="Calculation 3 2 3 6" xfId="5325"/>
    <cellStyle name="Calculation 3 2 3 6 2" xfId="5326"/>
    <cellStyle name="Calculation 3 2 3 6 2 2" xfId="5327"/>
    <cellStyle name="Calculation 3 2 3 6 2 2 2" xfId="5328"/>
    <cellStyle name="Calculation 3 2 3 6 2 3" xfId="5329"/>
    <cellStyle name="Calculation 3 2 3 6 2 3 2" xfId="5330"/>
    <cellStyle name="Calculation 3 2 3 6 2 4" xfId="5331"/>
    <cellStyle name="Calculation 3 2 3 6 2 5" xfId="5332"/>
    <cellStyle name="Calculation 3 2 3 6 2 6" xfId="5333"/>
    <cellStyle name="Calculation 3 2 3 6 3" xfId="5334"/>
    <cellStyle name="Calculation 3 2 3 6 3 2" xfId="5335"/>
    <cellStyle name="Calculation 3 2 3 6 4" xfId="5336"/>
    <cellStyle name="Calculation 3 2 3 6 4 2" xfId="5337"/>
    <cellStyle name="Calculation 3 2 3 6 5" xfId="5338"/>
    <cellStyle name="Calculation 3 2 3 6 6" xfId="5339"/>
    <cellStyle name="Calculation 3 2 3 6 7" xfId="5340"/>
    <cellStyle name="Calculation 3 2 3 7" xfId="5341"/>
    <cellStyle name="Calculation 3 2 3 7 2" xfId="5342"/>
    <cellStyle name="Calculation 3 2 3 7 2 2" xfId="5343"/>
    <cellStyle name="Calculation 3 2 3 7 3" xfId="5344"/>
    <cellStyle name="Calculation 3 2 3 7 3 2" xfId="5345"/>
    <cellStyle name="Calculation 3 2 3 7 4" xfId="5346"/>
    <cellStyle name="Calculation 3 2 3 7 5" xfId="5347"/>
    <cellStyle name="Calculation 3 2 3 7 6" xfId="5348"/>
    <cellStyle name="Calculation 3 2 3 8" xfId="5349"/>
    <cellStyle name="Calculation 3 2 3 8 2" xfId="5350"/>
    <cellStyle name="Calculation 3 2 3 9" xfId="5351"/>
    <cellStyle name="Calculation 3 2 3 9 2" xfId="5352"/>
    <cellStyle name="Calculation 3 2 4" xfId="5353"/>
    <cellStyle name="Calculation 3 2 4 10" xfId="5354"/>
    <cellStyle name="Calculation 3 2 4 11" xfId="5355"/>
    <cellStyle name="Calculation 3 2 4 2" xfId="5356"/>
    <cellStyle name="Calculation 3 2 4 2 10" xfId="5357"/>
    <cellStyle name="Calculation 3 2 4 2 2" xfId="5358"/>
    <cellStyle name="Calculation 3 2 4 2 2 10" xfId="5359"/>
    <cellStyle name="Calculation 3 2 4 2 2 2" xfId="5360"/>
    <cellStyle name="Calculation 3 2 4 2 2 2 2" xfId="5361"/>
    <cellStyle name="Calculation 3 2 4 2 2 2 2 2" xfId="5362"/>
    <cellStyle name="Calculation 3 2 4 2 2 2 2 2 2" xfId="5363"/>
    <cellStyle name="Calculation 3 2 4 2 2 2 2 2 2 2" xfId="5364"/>
    <cellStyle name="Calculation 3 2 4 2 2 2 2 2 3" xfId="5365"/>
    <cellStyle name="Calculation 3 2 4 2 2 2 2 2 3 2" xfId="5366"/>
    <cellStyle name="Calculation 3 2 4 2 2 2 2 2 4" xfId="5367"/>
    <cellStyle name="Calculation 3 2 4 2 2 2 2 2 5" xfId="5368"/>
    <cellStyle name="Calculation 3 2 4 2 2 2 2 2 6" xfId="5369"/>
    <cellStyle name="Calculation 3 2 4 2 2 2 2 3" xfId="5370"/>
    <cellStyle name="Calculation 3 2 4 2 2 2 2 3 2" xfId="5371"/>
    <cellStyle name="Calculation 3 2 4 2 2 2 2 4" xfId="5372"/>
    <cellStyle name="Calculation 3 2 4 2 2 2 2 4 2" xfId="5373"/>
    <cellStyle name="Calculation 3 2 4 2 2 2 2 5" xfId="5374"/>
    <cellStyle name="Calculation 3 2 4 2 2 2 2 6" xfId="5375"/>
    <cellStyle name="Calculation 3 2 4 2 2 2 2 7" xfId="5376"/>
    <cellStyle name="Calculation 3 2 4 2 2 2 3" xfId="5377"/>
    <cellStyle name="Calculation 3 2 4 2 2 2 3 2" xfId="5378"/>
    <cellStyle name="Calculation 3 2 4 2 2 2 3 2 2" xfId="5379"/>
    <cellStyle name="Calculation 3 2 4 2 2 2 3 3" xfId="5380"/>
    <cellStyle name="Calculation 3 2 4 2 2 2 3 3 2" xfId="5381"/>
    <cellStyle name="Calculation 3 2 4 2 2 2 3 4" xfId="5382"/>
    <cellStyle name="Calculation 3 2 4 2 2 2 3 5" xfId="5383"/>
    <cellStyle name="Calculation 3 2 4 2 2 2 3 6" xfId="5384"/>
    <cellStyle name="Calculation 3 2 4 2 2 2 4" xfId="5385"/>
    <cellStyle name="Calculation 3 2 4 2 2 2 4 2" xfId="5386"/>
    <cellStyle name="Calculation 3 2 4 2 2 2 5" xfId="5387"/>
    <cellStyle name="Calculation 3 2 4 2 2 2 5 2" xfId="5388"/>
    <cellStyle name="Calculation 3 2 4 2 2 2 6" xfId="5389"/>
    <cellStyle name="Calculation 3 2 4 2 2 2 7" xfId="5390"/>
    <cellStyle name="Calculation 3 2 4 2 2 2 8" xfId="5391"/>
    <cellStyle name="Calculation 3 2 4 2 2 3" xfId="5392"/>
    <cellStyle name="Calculation 3 2 4 2 2 3 2" xfId="5393"/>
    <cellStyle name="Calculation 3 2 4 2 2 3 2 2" xfId="5394"/>
    <cellStyle name="Calculation 3 2 4 2 2 3 2 2 2" xfId="5395"/>
    <cellStyle name="Calculation 3 2 4 2 2 3 2 2 2 2" xfId="5396"/>
    <cellStyle name="Calculation 3 2 4 2 2 3 2 2 3" xfId="5397"/>
    <cellStyle name="Calculation 3 2 4 2 2 3 2 2 3 2" xfId="5398"/>
    <cellStyle name="Calculation 3 2 4 2 2 3 2 2 4" xfId="5399"/>
    <cellStyle name="Calculation 3 2 4 2 2 3 2 2 5" xfId="5400"/>
    <cellStyle name="Calculation 3 2 4 2 2 3 2 2 6" xfId="5401"/>
    <cellStyle name="Calculation 3 2 4 2 2 3 2 3" xfId="5402"/>
    <cellStyle name="Calculation 3 2 4 2 2 3 2 3 2" xfId="5403"/>
    <cellStyle name="Calculation 3 2 4 2 2 3 2 4" xfId="5404"/>
    <cellStyle name="Calculation 3 2 4 2 2 3 2 4 2" xfId="5405"/>
    <cellStyle name="Calculation 3 2 4 2 2 3 2 5" xfId="5406"/>
    <cellStyle name="Calculation 3 2 4 2 2 3 2 6" xfId="5407"/>
    <cellStyle name="Calculation 3 2 4 2 2 3 2 7" xfId="5408"/>
    <cellStyle name="Calculation 3 2 4 2 2 3 3" xfId="5409"/>
    <cellStyle name="Calculation 3 2 4 2 2 3 3 2" xfId="5410"/>
    <cellStyle name="Calculation 3 2 4 2 2 3 3 2 2" xfId="5411"/>
    <cellStyle name="Calculation 3 2 4 2 2 3 3 3" xfId="5412"/>
    <cellStyle name="Calculation 3 2 4 2 2 3 3 3 2" xfId="5413"/>
    <cellStyle name="Calculation 3 2 4 2 2 3 3 4" xfId="5414"/>
    <cellStyle name="Calculation 3 2 4 2 2 3 3 5" xfId="5415"/>
    <cellStyle name="Calculation 3 2 4 2 2 3 3 6" xfId="5416"/>
    <cellStyle name="Calculation 3 2 4 2 2 3 4" xfId="5417"/>
    <cellStyle name="Calculation 3 2 4 2 2 3 4 2" xfId="5418"/>
    <cellStyle name="Calculation 3 2 4 2 2 3 5" xfId="5419"/>
    <cellStyle name="Calculation 3 2 4 2 2 3 5 2" xfId="5420"/>
    <cellStyle name="Calculation 3 2 4 2 2 3 6" xfId="5421"/>
    <cellStyle name="Calculation 3 2 4 2 2 3 7" xfId="5422"/>
    <cellStyle name="Calculation 3 2 4 2 2 3 8" xfId="5423"/>
    <cellStyle name="Calculation 3 2 4 2 2 4" xfId="5424"/>
    <cellStyle name="Calculation 3 2 4 2 2 4 2" xfId="5425"/>
    <cellStyle name="Calculation 3 2 4 2 2 4 2 2" xfId="5426"/>
    <cellStyle name="Calculation 3 2 4 2 2 4 2 2 2" xfId="5427"/>
    <cellStyle name="Calculation 3 2 4 2 2 4 2 3" xfId="5428"/>
    <cellStyle name="Calculation 3 2 4 2 2 4 2 3 2" xfId="5429"/>
    <cellStyle name="Calculation 3 2 4 2 2 4 2 4" xfId="5430"/>
    <cellStyle name="Calculation 3 2 4 2 2 4 2 5" xfId="5431"/>
    <cellStyle name="Calculation 3 2 4 2 2 4 2 6" xfId="5432"/>
    <cellStyle name="Calculation 3 2 4 2 2 4 3" xfId="5433"/>
    <cellStyle name="Calculation 3 2 4 2 2 4 3 2" xfId="5434"/>
    <cellStyle name="Calculation 3 2 4 2 2 4 4" xfId="5435"/>
    <cellStyle name="Calculation 3 2 4 2 2 4 4 2" xfId="5436"/>
    <cellStyle name="Calculation 3 2 4 2 2 4 5" xfId="5437"/>
    <cellStyle name="Calculation 3 2 4 2 2 4 6" xfId="5438"/>
    <cellStyle name="Calculation 3 2 4 2 2 4 7" xfId="5439"/>
    <cellStyle name="Calculation 3 2 4 2 2 5" xfId="5440"/>
    <cellStyle name="Calculation 3 2 4 2 2 5 2" xfId="5441"/>
    <cellStyle name="Calculation 3 2 4 2 2 5 2 2" xfId="5442"/>
    <cellStyle name="Calculation 3 2 4 2 2 5 3" xfId="5443"/>
    <cellStyle name="Calculation 3 2 4 2 2 5 3 2" xfId="5444"/>
    <cellStyle name="Calculation 3 2 4 2 2 5 4" xfId="5445"/>
    <cellStyle name="Calculation 3 2 4 2 2 5 5" xfId="5446"/>
    <cellStyle name="Calculation 3 2 4 2 2 5 6" xfId="5447"/>
    <cellStyle name="Calculation 3 2 4 2 2 6" xfId="5448"/>
    <cellStyle name="Calculation 3 2 4 2 2 6 2" xfId="5449"/>
    <cellStyle name="Calculation 3 2 4 2 2 7" xfId="5450"/>
    <cellStyle name="Calculation 3 2 4 2 2 7 2" xfId="5451"/>
    <cellStyle name="Calculation 3 2 4 2 2 8" xfId="5452"/>
    <cellStyle name="Calculation 3 2 4 2 2 9" xfId="5453"/>
    <cellStyle name="Calculation 3 2 4 2 3" xfId="5454"/>
    <cellStyle name="Calculation 3 2 4 2 3 2" xfId="5455"/>
    <cellStyle name="Calculation 3 2 4 2 3 2 2" xfId="5456"/>
    <cellStyle name="Calculation 3 2 4 2 3 2 2 2" xfId="5457"/>
    <cellStyle name="Calculation 3 2 4 2 3 2 2 2 2" xfId="5458"/>
    <cellStyle name="Calculation 3 2 4 2 3 2 2 3" xfId="5459"/>
    <cellStyle name="Calculation 3 2 4 2 3 2 2 3 2" xfId="5460"/>
    <cellStyle name="Calculation 3 2 4 2 3 2 2 4" xfId="5461"/>
    <cellStyle name="Calculation 3 2 4 2 3 2 2 5" xfId="5462"/>
    <cellStyle name="Calculation 3 2 4 2 3 2 2 6" xfId="5463"/>
    <cellStyle name="Calculation 3 2 4 2 3 2 3" xfId="5464"/>
    <cellStyle name="Calculation 3 2 4 2 3 2 3 2" xfId="5465"/>
    <cellStyle name="Calculation 3 2 4 2 3 2 4" xfId="5466"/>
    <cellStyle name="Calculation 3 2 4 2 3 2 4 2" xfId="5467"/>
    <cellStyle name="Calculation 3 2 4 2 3 2 5" xfId="5468"/>
    <cellStyle name="Calculation 3 2 4 2 3 2 6" xfId="5469"/>
    <cellStyle name="Calculation 3 2 4 2 3 2 7" xfId="5470"/>
    <cellStyle name="Calculation 3 2 4 2 3 3" xfId="5471"/>
    <cellStyle name="Calculation 3 2 4 2 3 3 2" xfId="5472"/>
    <cellStyle name="Calculation 3 2 4 2 3 3 2 2" xfId="5473"/>
    <cellStyle name="Calculation 3 2 4 2 3 3 3" xfId="5474"/>
    <cellStyle name="Calculation 3 2 4 2 3 3 3 2" xfId="5475"/>
    <cellStyle name="Calculation 3 2 4 2 3 3 4" xfId="5476"/>
    <cellStyle name="Calculation 3 2 4 2 3 3 5" xfId="5477"/>
    <cellStyle name="Calculation 3 2 4 2 3 3 6" xfId="5478"/>
    <cellStyle name="Calculation 3 2 4 2 3 4" xfId="5479"/>
    <cellStyle name="Calculation 3 2 4 2 3 4 2" xfId="5480"/>
    <cellStyle name="Calculation 3 2 4 2 3 5" xfId="5481"/>
    <cellStyle name="Calculation 3 2 4 2 3 5 2" xfId="5482"/>
    <cellStyle name="Calculation 3 2 4 2 3 6" xfId="5483"/>
    <cellStyle name="Calculation 3 2 4 2 3 7" xfId="5484"/>
    <cellStyle name="Calculation 3 2 4 2 3 8" xfId="5485"/>
    <cellStyle name="Calculation 3 2 4 2 4" xfId="5486"/>
    <cellStyle name="Calculation 3 2 4 2 4 2" xfId="5487"/>
    <cellStyle name="Calculation 3 2 4 2 4 2 2" xfId="5488"/>
    <cellStyle name="Calculation 3 2 4 2 4 2 2 2" xfId="5489"/>
    <cellStyle name="Calculation 3 2 4 2 4 2 3" xfId="5490"/>
    <cellStyle name="Calculation 3 2 4 2 4 2 3 2" xfId="5491"/>
    <cellStyle name="Calculation 3 2 4 2 4 2 4" xfId="5492"/>
    <cellStyle name="Calculation 3 2 4 2 4 2 5" xfId="5493"/>
    <cellStyle name="Calculation 3 2 4 2 4 2 6" xfId="5494"/>
    <cellStyle name="Calculation 3 2 4 2 4 3" xfId="5495"/>
    <cellStyle name="Calculation 3 2 4 2 4 3 2" xfId="5496"/>
    <cellStyle name="Calculation 3 2 4 2 4 4" xfId="5497"/>
    <cellStyle name="Calculation 3 2 4 2 4 4 2" xfId="5498"/>
    <cellStyle name="Calculation 3 2 4 2 4 5" xfId="5499"/>
    <cellStyle name="Calculation 3 2 4 2 4 6" xfId="5500"/>
    <cellStyle name="Calculation 3 2 4 2 4 7" xfId="5501"/>
    <cellStyle name="Calculation 3 2 4 2 5" xfId="5502"/>
    <cellStyle name="Calculation 3 2 4 2 5 2" xfId="5503"/>
    <cellStyle name="Calculation 3 2 4 2 5 2 2" xfId="5504"/>
    <cellStyle name="Calculation 3 2 4 2 5 3" xfId="5505"/>
    <cellStyle name="Calculation 3 2 4 2 5 3 2" xfId="5506"/>
    <cellStyle name="Calculation 3 2 4 2 5 4" xfId="5507"/>
    <cellStyle name="Calculation 3 2 4 2 5 5" xfId="5508"/>
    <cellStyle name="Calculation 3 2 4 2 5 6" xfId="5509"/>
    <cellStyle name="Calculation 3 2 4 2 6" xfId="5510"/>
    <cellStyle name="Calculation 3 2 4 2 6 2" xfId="5511"/>
    <cellStyle name="Calculation 3 2 4 2 7" xfId="5512"/>
    <cellStyle name="Calculation 3 2 4 2 7 2" xfId="5513"/>
    <cellStyle name="Calculation 3 2 4 2 8" xfId="5514"/>
    <cellStyle name="Calculation 3 2 4 2 9" xfId="5515"/>
    <cellStyle name="Calculation 3 2 4 3" xfId="5516"/>
    <cellStyle name="Calculation 3 2 4 3 10" xfId="5517"/>
    <cellStyle name="Calculation 3 2 4 3 2" xfId="5518"/>
    <cellStyle name="Calculation 3 2 4 3 2 2" xfId="5519"/>
    <cellStyle name="Calculation 3 2 4 3 2 2 2" xfId="5520"/>
    <cellStyle name="Calculation 3 2 4 3 2 2 2 2" xfId="5521"/>
    <cellStyle name="Calculation 3 2 4 3 2 2 2 2 2" xfId="5522"/>
    <cellStyle name="Calculation 3 2 4 3 2 2 2 3" xfId="5523"/>
    <cellStyle name="Calculation 3 2 4 3 2 2 2 3 2" xfId="5524"/>
    <cellStyle name="Calculation 3 2 4 3 2 2 2 4" xfId="5525"/>
    <cellStyle name="Calculation 3 2 4 3 2 2 2 5" xfId="5526"/>
    <cellStyle name="Calculation 3 2 4 3 2 2 2 6" xfId="5527"/>
    <cellStyle name="Calculation 3 2 4 3 2 2 3" xfId="5528"/>
    <cellStyle name="Calculation 3 2 4 3 2 2 3 2" xfId="5529"/>
    <cellStyle name="Calculation 3 2 4 3 2 2 4" xfId="5530"/>
    <cellStyle name="Calculation 3 2 4 3 2 2 4 2" xfId="5531"/>
    <cellStyle name="Calculation 3 2 4 3 2 2 5" xfId="5532"/>
    <cellStyle name="Calculation 3 2 4 3 2 2 6" xfId="5533"/>
    <cellStyle name="Calculation 3 2 4 3 2 2 7" xfId="5534"/>
    <cellStyle name="Calculation 3 2 4 3 2 3" xfId="5535"/>
    <cellStyle name="Calculation 3 2 4 3 2 3 2" xfId="5536"/>
    <cellStyle name="Calculation 3 2 4 3 2 3 2 2" xfId="5537"/>
    <cellStyle name="Calculation 3 2 4 3 2 3 3" xfId="5538"/>
    <cellStyle name="Calculation 3 2 4 3 2 3 3 2" xfId="5539"/>
    <cellStyle name="Calculation 3 2 4 3 2 3 4" xfId="5540"/>
    <cellStyle name="Calculation 3 2 4 3 2 3 5" xfId="5541"/>
    <cellStyle name="Calculation 3 2 4 3 2 3 6" xfId="5542"/>
    <cellStyle name="Calculation 3 2 4 3 2 4" xfId="5543"/>
    <cellStyle name="Calculation 3 2 4 3 2 4 2" xfId="5544"/>
    <cellStyle name="Calculation 3 2 4 3 2 5" xfId="5545"/>
    <cellStyle name="Calculation 3 2 4 3 2 5 2" xfId="5546"/>
    <cellStyle name="Calculation 3 2 4 3 2 6" xfId="5547"/>
    <cellStyle name="Calculation 3 2 4 3 2 7" xfId="5548"/>
    <cellStyle name="Calculation 3 2 4 3 2 8" xfId="5549"/>
    <cellStyle name="Calculation 3 2 4 3 3" xfId="5550"/>
    <cellStyle name="Calculation 3 2 4 3 3 2" xfId="5551"/>
    <cellStyle name="Calculation 3 2 4 3 3 2 2" xfId="5552"/>
    <cellStyle name="Calculation 3 2 4 3 3 2 2 2" xfId="5553"/>
    <cellStyle name="Calculation 3 2 4 3 3 2 2 2 2" xfId="5554"/>
    <cellStyle name="Calculation 3 2 4 3 3 2 2 3" xfId="5555"/>
    <cellStyle name="Calculation 3 2 4 3 3 2 2 3 2" xfId="5556"/>
    <cellStyle name="Calculation 3 2 4 3 3 2 2 4" xfId="5557"/>
    <cellStyle name="Calculation 3 2 4 3 3 2 2 5" xfId="5558"/>
    <cellStyle name="Calculation 3 2 4 3 3 2 2 6" xfId="5559"/>
    <cellStyle name="Calculation 3 2 4 3 3 2 3" xfId="5560"/>
    <cellStyle name="Calculation 3 2 4 3 3 2 3 2" xfId="5561"/>
    <cellStyle name="Calculation 3 2 4 3 3 2 4" xfId="5562"/>
    <cellStyle name="Calculation 3 2 4 3 3 2 4 2" xfId="5563"/>
    <cellStyle name="Calculation 3 2 4 3 3 2 5" xfId="5564"/>
    <cellStyle name="Calculation 3 2 4 3 3 2 6" xfId="5565"/>
    <cellStyle name="Calculation 3 2 4 3 3 2 7" xfId="5566"/>
    <cellStyle name="Calculation 3 2 4 3 3 3" xfId="5567"/>
    <cellStyle name="Calculation 3 2 4 3 3 3 2" xfId="5568"/>
    <cellStyle name="Calculation 3 2 4 3 3 3 2 2" xfId="5569"/>
    <cellStyle name="Calculation 3 2 4 3 3 3 3" xfId="5570"/>
    <cellStyle name="Calculation 3 2 4 3 3 3 3 2" xfId="5571"/>
    <cellStyle name="Calculation 3 2 4 3 3 3 4" xfId="5572"/>
    <cellStyle name="Calculation 3 2 4 3 3 3 5" xfId="5573"/>
    <cellStyle name="Calculation 3 2 4 3 3 3 6" xfId="5574"/>
    <cellStyle name="Calculation 3 2 4 3 3 4" xfId="5575"/>
    <cellStyle name="Calculation 3 2 4 3 3 4 2" xfId="5576"/>
    <cellStyle name="Calculation 3 2 4 3 3 5" xfId="5577"/>
    <cellStyle name="Calculation 3 2 4 3 3 5 2" xfId="5578"/>
    <cellStyle name="Calculation 3 2 4 3 3 6" xfId="5579"/>
    <cellStyle name="Calculation 3 2 4 3 3 7" xfId="5580"/>
    <cellStyle name="Calculation 3 2 4 3 3 8" xfId="5581"/>
    <cellStyle name="Calculation 3 2 4 3 4" xfId="5582"/>
    <cellStyle name="Calculation 3 2 4 3 4 2" xfId="5583"/>
    <cellStyle name="Calculation 3 2 4 3 4 2 2" xfId="5584"/>
    <cellStyle name="Calculation 3 2 4 3 4 2 2 2" xfId="5585"/>
    <cellStyle name="Calculation 3 2 4 3 4 2 3" xfId="5586"/>
    <cellStyle name="Calculation 3 2 4 3 4 2 3 2" xfId="5587"/>
    <cellStyle name="Calculation 3 2 4 3 4 2 4" xfId="5588"/>
    <cellStyle name="Calculation 3 2 4 3 4 2 5" xfId="5589"/>
    <cellStyle name="Calculation 3 2 4 3 4 2 6" xfId="5590"/>
    <cellStyle name="Calculation 3 2 4 3 4 3" xfId="5591"/>
    <cellStyle name="Calculation 3 2 4 3 4 3 2" xfId="5592"/>
    <cellStyle name="Calculation 3 2 4 3 4 4" xfId="5593"/>
    <cellStyle name="Calculation 3 2 4 3 4 4 2" xfId="5594"/>
    <cellStyle name="Calculation 3 2 4 3 4 5" xfId="5595"/>
    <cellStyle name="Calculation 3 2 4 3 4 6" xfId="5596"/>
    <cellStyle name="Calculation 3 2 4 3 4 7" xfId="5597"/>
    <cellStyle name="Calculation 3 2 4 3 5" xfId="5598"/>
    <cellStyle name="Calculation 3 2 4 3 5 2" xfId="5599"/>
    <cellStyle name="Calculation 3 2 4 3 5 2 2" xfId="5600"/>
    <cellStyle name="Calculation 3 2 4 3 5 3" xfId="5601"/>
    <cellStyle name="Calculation 3 2 4 3 5 3 2" xfId="5602"/>
    <cellStyle name="Calculation 3 2 4 3 5 4" xfId="5603"/>
    <cellStyle name="Calculation 3 2 4 3 5 5" xfId="5604"/>
    <cellStyle name="Calculation 3 2 4 3 5 6" xfId="5605"/>
    <cellStyle name="Calculation 3 2 4 3 6" xfId="5606"/>
    <cellStyle name="Calculation 3 2 4 3 6 2" xfId="5607"/>
    <cellStyle name="Calculation 3 2 4 3 7" xfId="5608"/>
    <cellStyle name="Calculation 3 2 4 3 7 2" xfId="5609"/>
    <cellStyle name="Calculation 3 2 4 3 8" xfId="5610"/>
    <cellStyle name="Calculation 3 2 4 3 9" xfId="5611"/>
    <cellStyle name="Calculation 3 2 4 4" xfId="5612"/>
    <cellStyle name="Calculation 3 2 4 4 2" xfId="5613"/>
    <cellStyle name="Calculation 3 2 4 4 2 2" xfId="5614"/>
    <cellStyle name="Calculation 3 2 4 4 2 2 2" xfId="5615"/>
    <cellStyle name="Calculation 3 2 4 4 2 2 2 2" xfId="5616"/>
    <cellStyle name="Calculation 3 2 4 4 2 2 3" xfId="5617"/>
    <cellStyle name="Calculation 3 2 4 4 2 2 3 2" xfId="5618"/>
    <cellStyle name="Calculation 3 2 4 4 2 2 4" xfId="5619"/>
    <cellStyle name="Calculation 3 2 4 4 2 2 5" xfId="5620"/>
    <cellStyle name="Calculation 3 2 4 4 2 2 6" xfId="5621"/>
    <cellStyle name="Calculation 3 2 4 4 2 3" xfId="5622"/>
    <cellStyle name="Calculation 3 2 4 4 2 3 2" xfId="5623"/>
    <cellStyle name="Calculation 3 2 4 4 2 4" xfId="5624"/>
    <cellStyle name="Calculation 3 2 4 4 2 4 2" xfId="5625"/>
    <cellStyle name="Calculation 3 2 4 4 2 5" xfId="5626"/>
    <cellStyle name="Calculation 3 2 4 4 2 6" xfId="5627"/>
    <cellStyle name="Calculation 3 2 4 4 2 7" xfId="5628"/>
    <cellStyle name="Calculation 3 2 4 4 3" xfId="5629"/>
    <cellStyle name="Calculation 3 2 4 4 3 2" xfId="5630"/>
    <cellStyle name="Calculation 3 2 4 4 3 2 2" xfId="5631"/>
    <cellStyle name="Calculation 3 2 4 4 3 3" xfId="5632"/>
    <cellStyle name="Calculation 3 2 4 4 3 3 2" xfId="5633"/>
    <cellStyle name="Calculation 3 2 4 4 3 4" xfId="5634"/>
    <cellStyle name="Calculation 3 2 4 4 3 5" xfId="5635"/>
    <cellStyle name="Calculation 3 2 4 4 3 6" xfId="5636"/>
    <cellStyle name="Calculation 3 2 4 4 4" xfId="5637"/>
    <cellStyle name="Calculation 3 2 4 4 4 2" xfId="5638"/>
    <cellStyle name="Calculation 3 2 4 4 5" xfId="5639"/>
    <cellStyle name="Calculation 3 2 4 4 5 2" xfId="5640"/>
    <cellStyle name="Calculation 3 2 4 4 6" xfId="5641"/>
    <cellStyle name="Calculation 3 2 4 4 7" xfId="5642"/>
    <cellStyle name="Calculation 3 2 4 4 8" xfId="5643"/>
    <cellStyle name="Calculation 3 2 4 5" xfId="5644"/>
    <cellStyle name="Calculation 3 2 4 5 2" xfId="5645"/>
    <cellStyle name="Calculation 3 2 4 5 2 2" xfId="5646"/>
    <cellStyle name="Calculation 3 2 4 5 2 2 2" xfId="5647"/>
    <cellStyle name="Calculation 3 2 4 5 2 3" xfId="5648"/>
    <cellStyle name="Calculation 3 2 4 5 2 3 2" xfId="5649"/>
    <cellStyle name="Calculation 3 2 4 5 2 4" xfId="5650"/>
    <cellStyle name="Calculation 3 2 4 5 2 5" xfId="5651"/>
    <cellStyle name="Calculation 3 2 4 5 2 6" xfId="5652"/>
    <cellStyle name="Calculation 3 2 4 5 3" xfId="5653"/>
    <cellStyle name="Calculation 3 2 4 5 3 2" xfId="5654"/>
    <cellStyle name="Calculation 3 2 4 5 4" xfId="5655"/>
    <cellStyle name="Calculation 3 2 4 5 4 2" xfId="5656"/>
    <cellStyle name="Calculation 3 2 4 5 5" xfId="5657"/>
    <cellStyle name="Calculation 3 2 4 5 6" xfId="5658"/>
    <cellStyle name="Calculation 3 2 4 5 7" xfId="5659"/>
    <cellStyle name="Calculation 3 2 4 6" xfId="5660"/>
    <cellStyle name="Calculation 3 2 4 6 2" xfId="5661"/>
    <cellStyle name="Calculation 3 2 4 6 2 2" xfId="5662"/>
    <cellStyle name="Calculation 3 2 4 6 3" xfId="5663"/>
    <cellStyle name="Calculation 3 2 4 6 3 2" xfId="5664"/>
    <cellStyle name="Calculation 3 2 4 6 4" xfId="5665"/>
    <cellStyle name="Calculation 3 2 4 6 5" xfId="5666"/>
    <cellStyle name="Calculation 3 2 4 6 6" xfId="5667"/>
    <cellStyle name="Calculation 3 2 4 7" xfId="5668"/>
    <cellStyle name="Calculation 3 2 4 7 2" xfId="5669"/>
    <cellStyle name="Calculation 3 2 4 8" xfId="5670"/>
    <cellStyle name="Calculation 3 2 4 8 2" xfId="5671"/>
    <cellStyle name="Calculation 3 2 4 9" xfId="5672"/>
    <cellStyle name="Calculation 3 2 5" xfId="5673"/>
    <cellStyle name="Calculation 3 2 5 10" xfId="5674"/>
    <cellStyle name="Calculation 3 2 5 2" xfId="5675"/>
    <cellStyle name="Calculation 3 2 5 2 2" xfId="5676"/>
    <cellStyle name="Calculation 3 2 5 2 2 2" xfId="5677"/>
    <cellStyle name="Calculation 3 2 5 2 2 2 2" xfId="5678"/>
    <cellStyle name="Calculation 3 2 5 2 2 2 2 2" xfId="5679"/>
    <cellStyle name="Calculation 3 2 5 2 2 2 3" xfId="5680"/>
    <cellStyle name="Calculation 3 2 5 2 2 2 3 2" xfId="5681"/>
    <cellStyle name="Calculation 3 2 5 2 2 2 4" xfId="5682"/>
    <cellStyle name="Calculation 3 2 5 2 2 2 5" xfId="5683"/>
    <cellStyle name="Calculation 3 2 5 2 2 2 6" xfId="5684"/>
    <cellStyle name="Calculation 3 2 5 2 2 3" xfId="5685"/>
    <cellStyle name="Calculation 3 2 5 2 2 3 2" xfId="5686"/>
    <cellStyle name="Calculation 3 2 5 2 2 4" xfId="5687"/>
    <cellStyle name="Calculation 3 2 5 2 2 4 2" xfId="5688"/>
    <cellStyle name="Calculation 3 2 5 2 2 5" xfId="5689"/>
    <cellStyle name="Calculation 3 2 5 2 2 6" xfId="5690"/>
    <cellStyle name="Calculation 3 2 5 2 2 7" xfId="5691"/>
    <cellStyle name="Calculation 3 2 5 2 3" xfId="5692"/>
    <cellStyle name="Calculation 3 2 5 2 3 2" xfId="5693"/>
    <cellStyle name="Calculation 3 2 5 2 3 2 2" xfId="5694"/>
    <cellStyle name="Calculation 3 2 5 2 3 3" xfId="5695"/>
    <cellStyle name="Calculation 3 2 5 2 3 3 2" xfId="5696"/>
    <cellStyle name="Calculation 3 2 5 2 3 4" xfId="5697"/>
    <cellStyle name="Calculation 3 2 5 2 3 5" xfId="5698"/>
    <cellStyle name="Calculation 3 2 5 2 3 6" xfId="5699"/>
    <cellStyle name="Calculation 3 2 5 2 4" xfId="5700"/>
    <cellStyle name="Calculation 3 2 5 2 4 2" xfId="5701"/>
    <cellStyle name="Calculation 3 2 5 2 5" xfId="5702"/>
    <cellStyle name="Calculation 3 2 5 2 5 2" xfId="5703"/>
    <cellStyle name="Calculation 3 2 5 2 6" xfId="5704"/>
    <cellStyle name="Calculation 3 2 5 2 7" xfId="5705"/>
    <cellStyle name="Calculation 3 2 5 2 8" xfId="5706"/>
    <cellStyle name="Calculation 3 2 5 3" xfId="5707"/>
    <cellStyle name="Calculation 3 2 5 3 2" xfId="5708"/>
    <cellStyle name="Calculation 3 2 5 3 2 2" xfId="5709"/>
    <cellStyle name="Calculation 3 2 5 3 2 2 2" xfId="5710"/>
    <cellStyle name="Calculation 3 2 5 3 2 2 2 2" xfId="5711"/>
    <cellStyle name="Calculation 3 2 5 3 2 2 3" xfId="5712"/>
    <cellStyle name="Calculation 3 2 5 3 2 2 3 2" xfId="5713"/>
    <cellStyle name="Calculation 3 2 5 3 2 2 4" xfId="5714"/>
    <cellStyle name="Calculation 3 2 5 3 2 2 5" xfId="5715"/>
    <cellStyle name="Calculation 3 2 5 3 2 2 6" xfId="5716"/>
    <cellStyle name="Calculation 3 2 5 3 2 3" xfId="5717"/>
    <cellStyle name="Calculation 3 2 5 3 2 3 2" xfId="5718"/>
    <cellStyle name="Calculation 3 2 5 3 2 4" xfId="5719"/>
    <cellStyle name="Calculation 3 2 5 3 2 4 2" xfId="5720"/>
    <cellStyle name="Calculation 3 2 5 3 2 5" xfId="5721"/>
    <cellStyle name="Calculation 3 2 5 3 2 6" xfId="5722"/>
    <cellStyle name="Calculation 3 2 5 3 2 7" xfId="5723"/>
    <cellStyle name="Calculation 3 2 5 3 3" xfId="5724"/>
    <cellStyle name="Calculation 3 2 5 3 3 2" xfId="5725"/>
    <cellStyle name="Calculation 3 2 5 3 3 2 2" xfId="5726"/>
    <cellStyle name="Calculation 3 2 5 3 3 3" xfId="5727"/>
    <cellStyle name="Calculation 3 2 5 3 3 3 2" xfId="5728"/>
    <cellStyle name="Calculation 3 2 5 3 3 4" xfId="5729"/>
    <cellStyle name="Calculation 3 2 5 3 3 5" xfId="5730"/>
    <cellStyle name="Calculation 3 2 5 3 3 6" xfId="5731"/>
    <cellStyle name="Calculation 3 2 5 3 4" xfId="5732"/>
    <cellStyle name="Calculation 3 2 5 3 4 2" xfId="5733"/>
    <cellStyle name="Calculation 3 2 5 3 5" xfId="5734"/>
    <cellStyle name="Calculation 3 2 5 3 5 2" xfId="5735"/>
    <cellStyle name="Calculation 3 2 5 3 6" xfId="5736"/>
    <cellStyle name="Calculation 3 2 5 3 7" xfId="5737"/>
    <cellStyle name="Calculation 3 2 5 3 8" xfId="5738"/>
    <cellStyle name="Calculation 3 2 5 4" xfId="5739"/>
    <cellStyle name="Calculation 3 2 5 4 2" xfId="5740"/>
    <cellStyle name="Calculation 3 2 5 4 2 2" xfId="5741"/>
    <cellStyle name="Calculation 3 2 5 4 2 2 2" xfId="5742"/>
    <cellStyle name="Calculation 3 2 5 4 2 3" xfId="5743"/>
    <cellStyle name="Calculation 3 2 5 4 2 3 2" xfId="5744"/>
    <cellStyle name="Calculation 3 2 5 4 2 4" xfId="5745"/>
    <cellStyle name="Calculation 3 2 5 4 2 5" xfId="5746"/>
    <cellStyle name="Calculation 3 2 5 4 2 6" xfId="5747"/>
    <cellStyle name="Calculation 3 2 5 4 3" xfId="5748"/>
    <cellStyle name="Calculation 3 2 5 4 3 2" xfId="5749"/>
    <cellStyle name="Calculation 3 2 5 4 4" xfId="5750"/>
    <cellStyle name="Calculation 3 2 5 4 4 2" xfId="5751"/>
    <cellStyle name="Calculation 3 2 5 4 5" xfId="5752"/>
    <cellStyle name="Calculation 3 2 5 4 6" xfId="5753"/>
    <cellStyle name="Calculation 3 2 5 4 7" xfId="5754"/>
    <cellStyle name="Calculation 3 2 5 5" xfId="5755"/>
    <cellStyle name="Calculation 3 2 5 5 2" xfId="5756"/>
    <cellStyle name="Calculation 3 2 5 5 2 2" xfId="5757"/>
    <cellStyle name="Calculation 3 2 5 5 3" xfId="5758"/>
    <cellStyle name="Calculation 3 2 5 5 3 2" xfId="5759"/>
    <cellStyle name="Calculation 3 2 5 5 4" xfId="5760"/>
    <cellStyle name="Calculation 3 2 5 5 5" xfId="5761"/>
    <cellStyle name="Calculation 3 2 5 5 6" xfId="5762"/>
    <cellStyle name="Calculation 3 2 5 6" xfId="5763"/>
    <cellStyle name="Calculation 3 2 5 6 2" xfId="5764"/>
    <cellStyle name="Calculation 3 2 5 7" xfId="5765"/>
    <cellStyle name="Calculation 3 2 5 7 2" xfId="5766"/>
    <cellStyle name="Calculation 3 2 5 8" xfId="5767"/>
    <cellStyle name="Calculation 3 2 5 9" xfId="5768"/>
    <cellStyle name="Calculation 3 2 6" xfId="5769"/>
    <cellStyle name="Calculation 3 2 6 2" xfId="5770"/>
    <cellStyle name="Calculation 3 2 6 2 2" xfId="5771"/>
    <cellStyle name="Calculation 3 2 6 2 2 2" xfId="5772"/>
    <cellStyle name="Calculation 3 2 6 2 2 2 2" xfId="5773"/>
    <cellStyle name="Calculation 3 2 6 2 2 3" xfId="5774"/>
    <cellStyle name="Calculation 3 2 6 2 2 3 2" xfId="5775"/>
    <cellStyle name="Calculation 3 2 6 2 2 4" xfId="5776"/>
    <cellStyle name="Calculation 3 2 6 2 2 5" xfId="5777"/>
    <cellStyle name="Calculation 3 2 6 2 2 6" xfId="5778"/>
    <cellStyle name="Calculation 3 2 6 2 3" xfId="5779"/>
    <cellStyle name="Calculation 3 2 6 2 3 2" xfId="5780"/>
    <cellStyle name="Calculation 3 2 6 2 4" xfId="5781"/>
    <cellStyle name="Calculation 3 2 6 2 4 2" xfId="5782"/>
    <cellStyle name="Calculation 3 2 6 2 5" xfId="5783"/>
    <cellStyle name="Calculation 3 2 6 2 6" xfId="5784"/>
    <cellStyle name="Calculation 3 2 6 2 7" xfId="5785"/>
    <cellStyle name="Calculation 3 2 6 3" xfId="5786"/>
    <cellStyle name="Calculation 3 2 6 3 2" xfId="5787"/>
    <cellStyle name="Calculation 3 2 6 3 2 2" xfId="5788"/>
    <cellStyle name="Calculation 3 2 6 3 3" xfId="5789"/>
    <cellStyle name="Calculation 3 2 6 3 3 2" xfId="5790"/>
    <cellStyle name="Calculation 3 2 6 3 4" xfId="5791"/>
    <cellStyle name="Calculation 3 2 6 3 5" xfId="5792"/>
    <cellStyle name="Calculation 3 2 6 3 6" xfId="5793"/>
    <cellStyle name="Calculation 3 2 6 4" xfId="5794"/>
    <cellStyle name="Calculation 3 2 6 4 2" xfId="5795"/>
    <cellStyle name="Calculation 3 2 6 5" xfId="5796"/>
    <cellStyle name="Calculation 3 2 6 5 2" xfId="5797"/>
    <cellStyle name="Calculation 3 2 6 6" xfId="5798"/>
    <cellStyle name="Calculation 3 2 6 7" xfId="5799"/>
    <cellStyle name="Calculation 3 2 6 8" xfId="5800"/>
    <cellStyle name="Calculation 3 2 7" xfId="5801"/>
    <cellStyle name="Calculation 3 2 7 2" xfId="5802"/>
    <cellStyle name="Calculation 3 2 7 2 2" xfId="5803"/>
    <cellStyle name="Calculation 3 2 7 2 2 2" xfId="5804"/>
    <cellStyle name="Calculation 3 2 7 2 3" xfId="5805"/>
    <cellStyle name="Calculation 3 2 7 2 3 2" xfId="5806"/>
    <cellStyle name="Calculation 3 2 7 2 4" xfId="5807"/>
    <cellStyle name="Calculation 3 2 7 2 5" xfId="5808"/>
    <cellStyle name="Calculation 3 2 7 2 6" xfId="5809"/>
    <cellStyle name="Calculation 3 2 7 3" xfId="5810"/>
    <cellStyle name="Calculation 3 2 7 3 2" xfId="5811"/>
    <cellStyle name="Calculation 3 2 7 4" xfId="5812"/>
    <cellStyle name="Calculation 3 2 7 4 2" xfId="5813"/>
    <cellStyle name="Calculation 3 2 7 5" xfId="5814"/>
    <cellStyle name="Calculation 3 2 7 6" xfId="5815"/>
    <cellStyle name="Calculation 3 2 7 7" xfId="5816"/>
    <cellStyle name="Calculation 3 2 8" xfId="5817"/>
    <cellStyle name="Calculation 3 2 8 2" xfId="5818"/>
    <cellStyle name="Calculation 3 2 9" xfId="5819"/>
    <cellStyle name="Calculation 3 2 9 2" xfId="5820"/>
    <cellStyle name="Calculation 3 3" xfId="5821"/>
    <cellStyle name="Calculation 3 3 10" xfId="5822"/>
    <cellStyle name="Calculation 3 3 11" xfId="5823"/>
    <cellStyle name="Calculation 3 3 12" xfId="5824"/>
    <cellStyle name="Calculation 3 3 2" xfId="5825"/>
    <cellStyle name="Calculation 3 3 2 10" xfId="5826"/>
    <cellStyle name="Calculation 3 3 2 11" xfId="5827"/>
    <cellStyle name="Calculation 3 3 2 2" xfId="5828"/>
    <cellStyle name="Calculation 3 3 2 2 10" xfId="5829"/>
    <cellStyle name="Calculation 3 3 2 2 2" xfId="5830"/>
    <cellStyle name="Calculation 3 3 2 2 2 2" xfId="5831"/>
    <cellStyle name="Calculation 3 3 2 2 2 2 2" xfId="5832"/>
    <cellStyle name="Calculation 3 3 2 2 2 2 2 2" xfId="5833"/>
    <cellStyle name="Calculation 3 3 2 2 2 2 2 2 2" xfId="5834"/>
    <cellStyle name="Calculation 3 3 2 2 2 2 2 3" xfId="5835"/>
    <cellStyle name="Calculation 3 3 2 2 2 2 2 3 2" xfId="5836"/>
    <cellStyle name="Calculation 3 3 2 2 2 2 2 4" xfId="5837"/>
    <cellStyle name="Calculation 3 3 2 2 2 2 2 5" xfId="5838"/>
    <cellStyle name="Calculation 3 3 2 2 2 2 2 6" xfId="5839"/>
    <cellStyle name="Calculation 3 3 2 2 2 2 3" xfId="5840"/>
    <cellStyle name="Calculation 3 3 2 2 2 2 3 2" xfId="5841"/>
    <cellStyle name="Calculation 3 3 2 2 2 2 4" xfId="5842"/>
    <cellStyle name="Calculation 3 3 2 2 2 2 4 2" xfId="5843"/>
    <cellStyle name="Calculation 3 3 2 2 2 2 5" xfId="5844"/>
    <cellStyle name="Calculation 3 3 2 2 2 2 6" xfId="5845"/>
    <cellStyle name="Calculation 3 3 2 2 2 2 7" xfId="5846"/>
    <cellStyle name="Calculation 3 3 2 2 2 3" xfId="5847"/>
    <cellStyle name="Calculation 3 3 2 2 2 3 2" xfId="5848"/>
    <cellStyle name="Calculation 3 3 2 2 2 3 2 2" xfId="5849"/>
    <cellStyle name="Calculation 3 3 2 2 2 3 3" xfId="5850"/>
    <cellStyle name="Calculation 3 3 2 2 2 3 3 2" xfId="5851"/>
    <cellStyle name="Calculation 3 3 2 2 2 3 4" xfId="5852"/>
    <cellStyle name="Calculation 3 3 2 2 2 3 5" xfId="5853"/>
    <cellStyle name="Calculation 3 3 2 2 2 3 6" xfId="5854"/>
    <cellStyle name="Calculation 3 3 2 2 2 4" xfId="5855"/>
    <cellStyle name="Calculation 3 3 2 2 2 4 2" xfId="5856"/>
    <cellStyle name="Calculation 3 3 2 2 2 5" xfId="5857"/>
    <cellStyle name="Calculation 3 3 2 2 2 5 2" xfId="5858"/>
    <cellStyle name="Calculation 3 3 2 2 2 6" xfId="5859"/>
    <cellStyle name="Calculation 3 3 2 2 2 7" xfId="5860"/>
    <cellStyle name="Calculation 3 3 2 2 2 8" xfId="5861"/>
    <cellStyle name="Calculation 3 3 2 2 3" xfId="5862"/>
    <cellStyle name="Calculation 3 3 2 2 3 2" xfId="5863"/>
    <cellStyle name="Calculation 3 3 2 2 3 2 2" xfId="5864"/>
    <cellStyle name="Calculation 3 3 2 2 3 2 2 2" xfId="5865"/>
    <cellStyle name="Calculation 3 3 2 2 3 2 2 2 2" xfId="5866"/>
    <cellStyle name="Calculation 3 3 2 2 3 2 2 3" xfId="5867"/>
    <cellStyle name="Calculation 3 3 2 2 3 2 2 3 2" xfId="5868"/>
    <cellStyle name="Calculation 3 3 2 2 3 2 2 4" xfId="5869"/>
    <cellStyle name="Calculation 3 3 2 2 3 2 2 5" xfId="5870"/>
    <cellStyle name="Calculation 3 3 2 2 3 2 2 6" xfId="5871"/>
    <cellStyle name="Calculation 3 3 2 2 3 2 3" xfId="5872"/>
    <cellStyle name="Calculation 3 3 2 2 3 2 3 2" xfId="5873"/>
    <cellStyle name="Calculation 3 3 2 2 3 2 4" xfId="5874"/>
    <cellStyle name="Calculation 3 3 2 2 3 2 4 2" xfId="5875"/>
    <cellStyle name="Calculation 3 3 2 2 3 2 5" xfId="5876"/>
    <cellStyle name="Calculation 3 3 2 2 3 2 6" xfId="5877"/>
    <cellStyle name="Calculation 3 3 2 2 3 2 7" xfId="5878"/>
    <cellStyle name="Calculation 3 3 2 2 3 3" xfId="5879"/>
    <cellStyle name="Calculation 3 3 2 2 3 3 2" xfId="5880"/>
    <cellStyle name="Calculation 3 3 2 2 3 3 2 2" xfId="5881"/>
    <cellStyle name="Calculation 3 3 2 2 3 3 3" xfId="5882"/>
    <cellStyle name="Calculation 3 3 2 2 3 3 3 2" xfId="5883"/>
    <cellStyle name="Calculation 3 3 2 2 3 3 4" xfId="5884"/>
    <cellStyle name="Calculation 3 3 2 2 3 3 5" xfId="5885"/>
    <cellStyle name="Calculation 3 3 2 2 3 3 6" xfId="5886"/>
    <cellStyle name="Calculation 3 3 2 2 3 4" xfId="5887"/>
    <cellStyle name="Calculation 3 3 2 2 3 4 2" xfId="5888"/>
    <cellStyle name="Calculation 3 3 2 2 3 5" xfId="5889"/>
    <cellStyle name="Calculation 3 3 2 2 3 5 2" xfId="5890"/>
    <cellStyle name="Calculation 3 3 2 2 3 6" xfId="5891"/>
    <cellStyle name="Calculation 3 3 2 2 3 7" xfId="5892"/>
    <cellStyle name="Calculation 3 3 2 2 3 8" xfId="5893"/>
    <cellStyle name="Calculation 3 3 2 2 4" xfId="5894"/>
    <cellStyle name="Calculation 3 3 2 2 4 2" xfId="5895"/>
    <cellStyle name="Calculation 3 3 2 2 4 2 2" xfId="5896"/>
    <cellStyle name="Calculation 3 3 2 2 4 2 2 2" xfId="5897"/>
    <cellStyle name="Calculation 3 3 2 2 4 2 3" xfId="5898"/>
    <cellStyle name="Calculation 3 3 2 2 4 2 3 2" xfId="5899"/>
    <cellStyle name="Calculation 3 3 2 2 4 2 4" xfId="5900"/>
    <cellStyle name="Calculation 3 3 2 2 4 2 5" xfId="5901"/>
    <cellStyle name="Calculation 3 3 2 2 4 2 6" xfId="5902"/>
    <cellStyle name="Calculation 3 3 2 2 4 3" xfId="5903"/>
    <cellStyle name="Calculation 3 3 2 2 4 3 2" xfId="5904"/>
    <cellStyle name="Calculation 3 3 2 2 4 4" xfId="5905"/>
    <cellStyle name="Calculation 3 3 2 2 4 4 2" xfId="5906"/>
    <cellStyle name="Calculation 3 3 2 2 4 5" xfId="5907"/>
    <cellStyle name="Calculation 3 3 2 2 4 6" xfId="5908"/>
    <cellStyle name="Calculation 3 3 2 2 4 7" xfId="5909"/>
    <cellStyle name="Calculation 3 3 2 2 5" xfId="5910"/>
    <cellStyle name="Calculation 3 3 2 2 5 2" xfId="5911"/>
    <cellStyle name="Calculation 3 3 2 2 5 2 2" xfId="5912"/>
    <cellStyle name="Calculation 3 3 2 2 5 3" xfId="5913"/>
    <cellStyle name="Calculation 3 3 2 2 5 3 2" xfId="5914"/>
    <cellStyle name="Calculation 3 3 2 2 5 4" xfId="5915"/>
    <cellStyle name="Calculation 3 3 2 2 5 5" xfId="5916"/>
    <cellStyle name="Calculation 3 3 2 2 5 6" xfId="5917"/>
    <cellStyle name="Calculation 3 3 2 2 6" xfId="5918"/>
    <cellStyle name="Calculation 3 3 2 2 6 2" xfId="5919"/>
    <cellStyle name="Calculation 3 3 2 2 7" xfId="5920"/>
    <cellStyle name="Calculation 3 3 2 2 7 2" xfId="5921"/>
    <cellStyle name="Calculation 3 3 2 2 8" xfId="5922"/>
    <cellStyle name="Calculation 3 3 2 2 9" xfId="5923"/>
    <cellStyle name="Calculation 3 3 2 3" xfId="5924"/>
    <cellStyle name="Calculation 3 3 2 3 2" xfId="5925"/>
    <cellStyle name="Calculation 3 3 2 3 2 2" xfId="5926"/>
    <cellStyle name="Calculation 3 3 2 3 2 2 2" xfId="5927"/>
    <cellStyle name="Calculation 3 3 2 3 2 2 2 2" xfId="5928"/>
    <cellStyle name="Calculation 3 3 2 3 2 2 3" xfId="5929"/>
    <cellStyle name="Calculation 3 3 2 3 2 2 3 2" xfId="5930"/>
    <cellStyle name="Calculation 3 3 2 3 2 2 4" xfId="5931"/>
    <cellStyle name="Calculation 3 3 2 3 2 2 5" xfId="5932"/>
    <cellStyle name="Calculation 3 3 2 3 2 2 6" xfId="5933"/>
    <cellStyle name="Calculation 3 3 2 3 2 3" xfId="5934"/>
    <cellStyle name="Calculation 3 3 2 3 2 3 2" xfId="5935"/>
    <cellStyle name="Calculation 3 3 2 3 2 4" xfId="5936"/>
    <cellStyle name="Calculation 3 3 2 3 2 4 2" xfId="5937"/>
    <cellStyle name="Calculation 3 3 2 3 2 5" xfId="5938"/>
    <cellStyle name="Calculation 3 3 2 3 2 6" xfId="5939"/>
    <cellStyle name="Calculation 3 3 2 3 2 7" xfId="5940"/>
    <cellStyle name="Calculation 3 3 2 3 3" xfId="5941"/>
    <cellStyle name="Calculation 3 3 2 3 3 2" xfId="5942"/>
    <cellStyle name="Calculation 3 3 2 3 3 2 2" xfId="5943"/>
    <cellStyle name="Calculation 3 3 2 3 3 3" xfId="5944"/>
    <cellStyle name="Calculation 3 3 2 3 3 3 2" xfId="5945"/>
    <cellStyle name="Calculation 3 3 2 3 3 4" xfId="5946"/>
    <cellStyle name="Calculation 3 3 2 3 3 5" xfId="5947"/>
    <cellStyle name="Calculation 3 3 2 3 3 6" xfId="5948"/>
    <cellStyle name="Calculation 3 3 2 3 4" xfId="5949"/>
    <cellStyle name="Calculation 3 3 2 3 4 2" xfId="5950"/>
    <cellStyle name="Calculation 3 3 2 3 5" xfId="5951"/>
    <cellStyle name="Calculation 3 3 2 3 5 2" xfId="5952"/>
    <cellStyle name="Calculation 3 3 2 3 6" xfId="5953"/>
    <cellStyle name="Calculation 3 3 2 3 7" xfId="5954"/>
    <cellStyle name="Calculation 3 3 2 3 8" xfId="5955"/>
    <cellStyle name="Calculation 3 3 2 4" xfId="5956"/>
    <cellStyle name="Calculation 3 3 2 4 2" xfId="5957"/>
    <cellStyle name="Calculation 3 3 2 4 2 2" xfId="5958"/>
    <cellStyle name="Calculation 3 3 2 4 2 2 2" xfId="5959"/>
    <cellStyle name="Calculation 3 3 2 4 2 2 2 2" xfId="5960"/>
    <cellStyle name="Calculation 3 3 2 4 2 2 3" xfId="5961"/>
    <cellStyle name="Calculation 3 3 2 4 2 2 3 2" xfId="5962"/>
    <cellStyle name="Calculation 3 3 2 4 2 2 4" xfId="5963"/>
    <cellStyle name="Calculation 3 3 2 4 2 2 5" xfId="5964"/>
    <cellStyle name="Calculation 3 3 2 4 2 2 6" xfId="5965"/>
    <cellStyle name="Calculation 3 3 2 4 2 3" xfId="5966"/>
    <cellStyle name="Calculation 3 3 2 4 2 3 2" xfId="5967"/>
    <cellStyle name="Calculation 3 3 2 4 2 4" xfId="5968"/>
    <cellStyle name="Calculation 3 3 2 4 2 4 2" xfId="5969"/>
    <cellStyle name="Calculation 3 3 2 4 2 5" xfId="5970"/>
    <cellStyle name="Calculation 3 3 2 4 2 6" xfId="5971"/>
    <cellStyle name="Calculation 3 3 2 4 2 7" xfId="5972"/>
    <cellStyle name="Calculation 3 3 2 4 3" xfId="5973"/>
    <cellStyle name="Calculation 3 3 2 4 3 2" xfId="5974"/>
    <cellStyle name="Calculation 3 3 2 4 3 2 2" xfId="5975"/>
    <cellStyle name="Calculation 3 3 2 4 3 3" xfId="5976"/>
    <cellStyle name="Calculation 3 3 2 4 3 3 2" xfId="5977"/>
    <cellStyle name="Calculation 3 3 2 4 3 4" xfId="5978"/>
    <cellStyle name="Calculation 3 3 2 4 3 5" xfId="5979"/>
    <cellStyle name="Calculation 3 3 2 4 3 6" xfId="5980"/>
    <cellStyle name="Calculation 3 3 2 4 4" xfId="5981"/>
    <cellStyle name="Calculation 3 3 2 4 4 2" xfId="5982"/>
    <cellStyle name="Calculation 3 3 2 4 5" xfId="5983"/>
    <cellStyle name="Calculation 3 3 2 4 5 2" xfId="5984"/>
    <cellStyle name="Calculation 3 3 2 4 6" xfId="5985"/>
    <cellStyle name="Calculation 3 3 2 4 7" xfId="5986"/>
    <cellStyle name="Calculation 3 3 2 4 8" xfId="5987"/>
    <cellStyle name="Calculation 3 3 2 5" xfId="5988"/>
    <cellStyle name="Calculation 3 3 2 5 2" xfId="5989"/>
    <cellStyle name="Calculation 3 3 2 5 2 2" xfId="5990"/>
    <cellStyle name="Calculation 3 3 2 5 2 2 2" xfId="5991"/>
    <cellStyle name="Calculation 3 3 2 5 2 3" xfId="5992"/>
    <cellStyle name="Calculation 3 3 2 5 2 3 2" xfId="5993"/>
    <cellStyle name="Calculation 3 3 2 5 2 4" xfId="5994"/>
    <cellStyle name="Calculation 3 3 2 5 2 5" xfId="5995"/>
    <cellStyle name="Calculation 3 3 2 5 2 6" xfId="5996"/>
    <cellStyle name="Calculation 3 3 2 5 3" xfId="5997"/>
    <cellStyle name="Calculation 3 3 2 5 3 2" xfId="5998"/>
    <cellStyle name="Calculation 3 3 2 5 4" xfId="5999"/>
    <cellStyle name="Calculation 3 3 2 5 4 2" xfId="6000"/>
    <cellStyle name="Calculation 3 3 2 5 5" xfId="6001"/>
    <cellStyle name="Calculation 3 3 2 5 6" xfId="6002"/>
    <cellStyle name="Calculation 3 3 2 5 7" xfId="6003"/>
    <cellStyle name="Calculation 3 3 2 6" xfId="6004"/>
    <cellStyle name="Calculation 3 3 2 6 2" xfId="6005"/>
    <cellStyle name="Calculation 3 3 2 6 2 2" xfId="6006"/>
    <cellStyle name="Calculation 3 3 2 6 3" xfId="6007"/>
    <cellStyle name="Calculation 3 3 2 6 3 2" xfId="6008"/>
    <cellStyle name="Calculation 3 3 2 6 4" xfId="6009"/>
    <cellStyle name="Calculation 3 3 2 6 5" xfId="6010"/>
    <cellStyle name="Calculation 3 3 2 6 6" xfId="6011"/>
    <cellStyle name="Calculation 3 3 2 7" xfId="6012"/>
    <cellStyle name="Calculation 3 3 2 7 2" xfId="6013"/>
    <cellStyle name="Calculation 3 3 2 8" xfId="6014"/>
    <cellStyle name="Calculation 3 3 2 8 2" xfId="6015"/>
    <cellStyle name="Calculation 3 3 2 9" xfId="6016"/>
    <cellStyle name="Calculation 3 3 3" xfId="6017"/>
    <cellStyle name="Calculation 3 3 3 10" xfId="6018"/>
    <cellStyle name="Calculation 3 3 3 2" xfId="6019"/>
    <cellStyle name="Calculation 3 3 3 2 10" xfId="6020"/>
    <cellStyle name="Calculation 3 3 3 2 2" xfId="6021"/>
    <cellStyle name="Calculation 3 3 3 2 2 2" xfId="6022"/>
    <cellStyle name="Calculation 3 3 3 2 2 2 2" xfId="6023"/>
    <cellStyle name="Calculation 3 3 3 2 2 2 2 2" xfId="6024"/>
    <cellStyle name="Calculation 3 3 3 2 2 2 2 2 2" xfId="6025"/>
    <cellStyle name="Calculation 3 3 3 2 2 2 2 3" xfId="6026"/>
    <cellStyle name="Calculation 3 3 3 2 2 2 2 3 2" xfId="6027"/>
    <cellStyle name="Calculation 3 3 3 2 2 2 2 4" xfId="6028"/>
    <cellStyle name="Calculation 3 3 3 2 2 2 2 5" xfId="6029"/>
    <cellStyle name="Calculation 3 3 3 2 2 2 2 6" xfId="6030"/>
    <cellStyle name="Calculation 3 3 3 2 2 2 3" xfId="6031"/>
    <cellStyle name="Calculation 3 3 3 2 2 2 3 2" xfId="6032"/>
    <cellStyle name="Calculation 3 3 3 2 2 2 4" xfId="6033"/>
    <cellStyle name="Calculation 3 3 3 2 2 2 4 2" xfId="6034"/>
    <cellStyle name="Calculation 3 3 3 2 2 2 5" xfId="6035"/>
    <cellStyle name="Calculation 3 3 3 2 2 2 6" xfId="6036"/>
    <cellStyle name="Calculation 3 3 3 2 2 2 7" xfId="6037"/>
    <cellStyle name="Calculation 3 3 3 2 2 3" xfId="6038"/>
    <cellStyle name="Calculation 3 3 3 2 2 3 2" xfId="6039"/>
    <cellStyle name="Calculation 3 3 3 2 2 3 2 2" xfId="6040"/>
    <cellStyle name="Calculation 3 3 3 2 2 3 3" xfId="6041"/>
    <cellStyle name="Calculation 3 3 3 2 2 3 3 2" xfId="6042"/>
    <cellStyle name="Calculation 3 3 3 2 2 3 4" xfId="6043"/>
    <cellStyle name="Calculation 3 3 3 2 2 3 5" xfId="6044"/>
    <cellStyle name="Calculation 3 3 3 2 2 3 6" xfId="6045"/>
    <cellStyle name="Calculation 3 3 3 2 2 4" xfId="6046"/>
    <cellStyle name="Calculation 3 3 3 2 2 4 2" xfId="6047"/>
    <cellStyle name="Calculation 3 3 3 2 2 5" xfId="6048"/>
    <cellStyle name="Calculation 3 3 3 2 2 5 2" xfId="6049"/>
    <cellStyle name="Calculation 3 3 3 2 2 6" xfId="6050"/>
    <cellStyle name="Calculation 3 3 3 2 2 7" xfId="6051"/>
    <cellStyle name="Calculation 3 3 3 2 2 8" xfId="6052"/>
    <cellStyle name="Calculation 3 3 3 2 3" xfId="6053"/>
    <cellStyle name="Calculation 3 3 3 2 3 2" xfId="6054"/>
    <cellStyle name="Calculation 3 3 3 2 3 2 2" xfId="6055"/>
    <cellStyle name="Calculation 3 3 3 2 3 2 2 2" xfId="6056"/>
    <cellStyle name="Calculation 3 3 3 2 3 2 2 2 2" xfId="6057"/>
    <cellStyle name="Calculation 3 3 3 2 3 2 2 3" xfId="6058"/>
    <cellStyle name="Calculation 3 3 3 2 3 2 2 3 2" xfId="6059"/>
    <cellStyle name="Calculation 3 3 3 2 3 2 2 4" xfId="6060"/>
    <cellStyle name="Calculation 3 3 3 2 3 2 2 5" xfId="6061"/>
    <cellStyle name="Calculation 3 3 3 2 3 2 2 6" xfId="6062"/>
    <cellStyle name="Calculation 3 3 3 2 3 2 3" xfId="6063"/>
    <cellStyle name="Calculation 3 3 3 2 3 2 3 2" xfId="6064"/>
    <cellStyle name="Calculation 3 3 3 2 3 2 4" xfId="6065"/>
    <cellStyle name="Calculation 3 3 3 2 3 2 4 2" xfId="6066"/>
    <cellStyle name="Calculation 3 3 3 2 3 2 5" xfId="6067"/>
    <cellStyle name="Calculation 3 3 3 2 3 2 6" xfId="6068"/>
    <cellStyle name="Calculation 3 3 3 2 3 2 7" xfId="6069"/>
    <cellStyle name="Calculation 3 3 3 2 3 3" xfId="6070"/>
    <cellStyle name="Calculation 3 3 3 2 3 3 2" xfId="6071"/>
    <cellStyle name="Calculation 3 3 3 2 3 3 2 2" xfId="6072"/>
    <cellStyle name="Calculation 3 3 3 2 3 3 3" xfId="6073"/>
    <cellStyle name="Calculation 3 3 3 2 3 3 3 2" xfId="6074"/>
    <cellStyle name="Calculation 3 3 3 2 3 3 4" xfId="6075"/>
    <cellStyle name="Calculation 3 3 3 2 3 3 5" xfId="6076"/>
    <cellStyle name="Calculation 3 3 3 2 3 3 6" xfId="6077"/>
    <cellStyle name="Calculation 3 3 3 2 3 4" xfId="6078"/>
    <cellStyle name="Calculation 3 3 3 2 3 4 2" xfId="6079"/>
    <cellStyle name="Calculation 3 3 3 2 3 5" xfId="6080"/>
    <cellStyle name="Calculation 3 3 3 2 3 5 2" xfId="6081"/>
    <cellStyle name="Calculation 3 3 3 2 3 6" xfId="6082"/>
    <cellStyle name="Calculation 3 3 3 2 3 7" xfId="6083"/>
    <cellStyle name="Calculation 3 3 3 2 3 8" xfId="6084"/>
    <cellStyle name="Calculation 3 3 3 2 4" xfId="6085"/>
    <cellStyle name="Calculation 3 3 3 2 4 2" xfId="6086"/>
    <cellStyle name="Calculation 3 3 3 2 4 2 2" xfId="6087"/>
    <cellStyle name="Calculation 3 3 3 2 4 2 2 2" xfId="6088"/>
    <cellStyle name="Calculation 3 3 3 2 4 2 3" xfId="6089"/>
    <cellStyle name="Calculation 3 3 3 2 4 2 3 2" xfId="6090"/>
    <cellStyle name="Calculation 3 3 3 2 4 2 4" xfId="6091"/>
    <cellStyle name="Calculation 3 3 3 2 4 2 5" xfId="6092"/>
    <cellStyle name="Calculation 3 3 3 2 4 2 6" xfId="6093"/>
    <cellStyle name="Calculation 3 3 3 2 4 3" xfId="6094"/>
    <cellStyle name="Calculation 3 3 3 2 4 3 2" xfId="6095"/>
    <cellStyle name="Calculation 3 3 3 2 4 4" xfId="6096"/>
    <cellStyle name="Calculation 3 3 3 2 4 4 2" xfId="6097"/>
    <cellStyle name="Calculation 3 3 3 2 4 5" xfId="6098"/>
    <cellStyle name="Calculation 3 3 3 2 4 6" xfId="6099"/>
    <cellStyle name="Calculation 3 3 3 2 4 7" xfId="6100"/>
    <cellStyle name="Calculation 3 3 3 2 5" xfId="6101"/>
    <cellStyle name="Calculation 3 3 3 2 5 2" xfId="6102"/>
    <cellStyle name="Calculation 3 3 3 2 5 2 2" xfId="6103"/>
    <cellStyle name="Calculation 3 3 3 2 5 3" xfId="6104"/>
    <cellStyle name="Calculation 3 3 3 2 5 3 2" xfId="6105"/>
    <cellStyle name="Calculation 3 3 3 2 5 4" xfId="6106"/>
    <cellStyle name="Calculation 3 3 3 2 5 5" xfId="6107"/>
    <cellStyle name="Calculation 3 3 3 2 5 6" xfId="6108"/>
    <cellStyle name="Calculation 3 3 3 2 6" xfId="6109"/>
    <cellStyle name="Calculation 3 3 3 2 6 2" xfId="6110"/>
    <cellStyle name="Calculation 3 3 3 2 7" xfId="6111"/>
    <cellStyle name="Calculation 3 3 3 2 7 2" xfId="6112"/>
    <cellStyle name="Calculation 3 3 3 2 8" xfId="6113"/>
    <cellStyle name="Calculation 3 3 3 2 9" xfId="6114"/>
    <cellStyle name="Calculation 3 3 3 3" xfId="6115"/>
    <cellStyle name="Calculation 3 3 3 3 2" xfId="6116"/>
    <cellStyle name="Calculation 3 3 3 3 2 2" xfId="6117"/>
    <cellStyle name="Calculation 3 3 3 3 2 2 2" xfId="6118"/>
    <cellStyle name="Calculation 3 3 3 3 2 2 2 2" xfId="6119"/>
    <cellStyle name="Calculation 3 3 3 3 2 2 3" xfId="6120"/>
    <cellStyle name="Calculation 3 3 3 3 2 2 3 2" xfId="6121"/>
    <cellStyle name="Calculation 3 3 3 3 2 2 4" xfId="6122"/>
    <cellStyle name="Calculation 3 3 3 3 2 2 5" xfId="6123"/>
    <cellStyle name="Calculation 3 3 3 3 2 2 6" xfId="6124"/>
    <cellStyle name="Calculation 3 3 3 3 2 3" xfId="6125"/>
    <cellStyle name="Calculation 3 3 3 3 2 3 2" xfId="6126"/>
    <cellStyle name="Calculation 3 3 3 3 2 4" xfId="6127"/>
    <cellStyle name="Calculation 3 3 3 3 2 4 2" xfId="6128"/>
    <cellStyle name="Calculation 3 3 3 3 2 5" xfId="6129"/>
    <cellStyle name="Calculation 3 3 3 3 2 6" xfId="6130"/>
    <cellStyle name="Calculation 3 3 3 3 2 7" xfId="6131"/>
    <cellStyle name="Calculation 3 3 3 3 3" xfId="6132"/>
    <cellStyle name="Calculation 3 3 3 3 3 2" xfId="6133"/>
    <cellStyle name="Calculation 3 3 3 3 3 2 2" xfId="6134"/>
    <cellStyle name="Calculation 3 3 3 3 3 3" xfId="6135"/>
    <cellStyle name="Calculation 3 3 3 3 3 3 2" xfId="6136"/>
    <cellStyle name="Calculation 3 3 3 3 3 4" xfId="6137"/>
    <cellStyle name="Calculation 3 3 3 3 3 5" xfId="6138"/>
    <cellStyle name="Calculation 3 3 3 3 3 6" xfId="6139"/>
    <cellStyle name="Calculation 3 3 3 3 4" xfId="6140"/>
    <cellStyle name="Calculation 3 3 3 3 4 2" xfId="6141"/>
    <cellStyle name="Calculation 3 3 3 3 5" xfId="6142"/>
    <cellStyle name="Calculation 3 3 3 3 5 2" xfId="6143"/>
    <cellStyle name="Calculation 3 3 3 3 6" xfId="6144"/>
    <cellStyle name="Calculation 3 3 3 3 7" xfId="6145"/>
    <cellStyle name="Calculation 3 3 3 3 8" xfId="6146"/>
    <cellStyle name="Calculation 3 3 3 4" xfId="6147"/>
    <cellStyle name="Calculation 3 3 3 4 2" xfId="6148"/>
    <cellStyle name="Calculation 3 3 3 4 2 2" xfId="6149"/>
    <cellStyle name="Calculation 3 3 3 4 2 2 2" xfId="6150"/>
    <cellStyle name="Calculation 3 3 3 4 2 3" xfId="6151"/>
    <cellStyle name="Calculation 3 3 3 4 2 3 2" xfId="6152"/>
    <cellStyle name="Calculation 3 3 3 4 2 4" xfId="6153"/>
    <cellStyle name="Calculation 3 3 3 4 2 5" xfId="6154"/>
    <cellStyle name="Calculation 3 3 3 4 2 6" xfId="6155"/>
    <cellStyle name="Calculation 3 3 3 4 3" xfId="6156"/>
    <cellStyle name="Calculation 3 3 3 4 3 2" xfId="6157"/>
    <cellStyle name="Calculation 3 3 3 4 4" xfId="6158"/>
    <cellStyle name="Calculation 3 3 3 4 4 2" xfId="6159"/>
    <cellStyle name="Calculation 3 3 3 4 5" xfId="6160"/>
    <cellStyle name="Calculation 3 3 3 4 6" xfId="6161"/>
    <cellStyle name="Calculation 3 3 3 4 7" xfId="6162"/>
    <cellStyle name="Calculation 3 3 3 5" xfId="6163"/>
    <cellStyle name="Calculation 3 3 3 5 2" xfId="6164"/>
    <cellStyle name="Calculation 3 3 3 5 2 2" xfId="6165"/>
    <cellStyle name="Calculation 3 3 3 5 3" xfId="6166"/>
    <cellStyle name="Calculation 3 3 3 5 3 2" xfId="6167"/>
    <cellStyle name="Calculation 3 3 3 5 4" xfId="6168"/>
    <cellStyle name="Calculation 3 3 3 5 5" xfId="6169"/>
    <cellStyle name="Calculation 3 3 3 5 6" xfId="6170"/>
    <cellStyle name="Calculation 3 3 3 6" xfId="6171"/>
    <cellStyle name="Calculation 3 3 3 6 2" xfId="6172"/>
    <cellStyle name="Calculation 3 3 3 7" xfId="6173"/>
    <cellStyle name="Calculation 3 3 3 7 2" xfId="6174"/>
    <cellStyle name="Calculation 3 3 3 8" xfId="6175"/>
    <cellStyle name="Calculation 3 3 3 9" xfId="6176"/>
    <cellStyle name="Calculation 3 3 4" xfId="6177"/>
    <cellStyle name="Calculation 3 3 4 10" xfId="6178"/>
    <cellStyle name="Calculation 3 3 4 2" xfId="6179"/>
    <cellStyle name="Calculation 3 3 4 2 2" xfId="6180"/>
    <cellStyle name="Calculation 3 3 4 2 2 2" xfId="6181"/>
    <cellStyle name="Calculation 3 3 4 2 2 2 2" xfId="6182"/>
    <cellStyle name="Calculation 3 3 4 2 2 2 2 2" xfId="6183"/>
    <cellStyle name="Calculation 3 3 4 2 2 2 3" xfId="6184"/>
    <cellStyle name="Calculation 3 3 4 2 2 2 3 2" xfId="6185"/>
    <cellStyle name="Calculation 3 3 4 2 2 2 4" xfId="6186"/>
    <cellStyle name="Calculation 3 3 4 2 2 2 5" xfId="6187"/>
    <cellStyle name="Calculation 3 3 4 2 2 2 6" xfId="6188"/>
    <cellStyle name="Calculation 3 3 4 2 2 3" xfId="6189"/>
    <cellStyle name="Calculation 3 3 4 2 2 3 2" xfId="6190"/>
    <cellStyle name="Calculation 3 3 4 2 2 4" xfId="6191"/>
    <cellStyle name="Calculation 3 3 4 2 2 4 2" xfId="6192"/>
    <cellStyle name="Calculation 3 3 4 2 2 5" xfId="6193"/>
    <cellStyle name="Calculation 3 3 4 2 2 6" xfId="6194"/>
    <cellStyle name="Calculation 3 3 4 2 2 7" xfId="6195"/>
    <cellStyle name="Calculation 3 3 4 2 3" xfId="6196"/>
    <cellStyle name="Calculation 3 3 4 2 3 2" xfId="6197"/>
    <cellStyle name="Calculation 3 3 4 2 3 2 2" xfId="6198"/>
    <cellStyle name="Calculation 3 3 4 2 3 3" xfId="6199"/>
    <cellStyle name="Calculation 3 3 4 2 3 3 2" xfId="6200"/>
    <cellStyle name="Calculation 3 3 4 2 3 4" xfId="6201"/>
    <cellStyle name="Calculation 3 3 4 2 3 5" xfId="6202"/>
    <cellStyle name="Calculation 3 3 4 2 3 6" xfId="6203"/>
    <cellStyle name="Calculation 3 3 4 2 4" xfId="6204"/>
    <cellStyle name="Calculation 3 3 4 2 4 2" xfId="6205"/>
    <cellStyle name="Calculation 3 3 4 2 5" xfId="6206"/>
    <cellStyle name="Calculation 3 3 4 2 5 2" xfId="6207"/>
    <cellStyle name="Calculation 3 3 4 2 6" xfId="6208"/>
    <cellStyle name="Calculation 3 3 4 2 7" xfId="6209"/>
    <cellStyle name="Calculation 3 3 4 2 8" xfId="6210"/>
    <cellStyle name="Calculation 3 3 4 3" xfId="6211"/>
    <cellStyle name="Calculation 3 3 4 3 2" xfId="6212"/>
    <cellStyle name="Calculation 3 3 4 3 2 2" xfId="6213"/>
    <cellStyle name="Calculation 3 3 4 3 2 2 2" xfId="6214"/>
    <cellStyle name="Calculation 3 3 4 3 2 2 2 2" xfId="6215"/>
    <cellStyle name="Calculation 3 3 4 3 2 2 3" xfId="6216"/>
    <cellStyle name="Calculation 3 3 4 3 2 2 3 2" xfId="6217"/>
    <cellStyle name="Calculation 3 3 4 3 2 2 4" xfId="6218"/>
    <cellStyle name="Calculation 3 3 4 3 2 2 5" xfId="6219"/>
    <cellStyle name="Calculation 3 3 4 3 2 2 6" xfId="6220"/>
    <cellStyle name="Calculation 3 3 4 3 2 3" xfId="6221"/>
    <cellStyle name="Calculation 3 3 4 3 2 3 2" xfId="6222"/>
    <cellStyle name="Calculation 3 3 4 3 2 4" xfId="6223"/>
    <cellStyle name="Calculation 3 3 4 3 2 4 2" xfId="6224"/>
    <cellStyle name="Calculation 3 3 4 3 2 5" xfId="6225"/>
    <cellStyle name="Calculation 3 3 4 3 2 6" xfId="6226"/>
    <cellStyle name="Calculation 3 3 4 3 2 7" xfId="6227"/>
    <cellStyle name="Calculation 3 3 4 3 3" xfId="6228"/>
    <cellStyle name="Calculation 3 3 4 3 3 2" xfId="6229"/>
    <cellStyle name="Calculation 3 3 4 3 3 2 2" xfId="6230"/>
    <cellStyle name="Calculation 3 3 4 3 3 3" xfId="6231"/>
    <cellStyle name="Calculation 3 3 4 3 3 3 2" xfId="6232"/>
    <cellStyle name="Calculation 3 3 4 3 3 4" xfId="6233"/>
    <cellStyle name="Calculation 3 3 4 3 3 5" xfId="6234"/>
    <cellStyle name="Calculation 3 3 4 3 3 6" xfId="6235"/>
    <cellStyle name="Calculation 3 3 4 3 4" xfId="6236"/>
    <cellStyle name="Calculation 3 3 4 3 4 2" xfId="6237"/>
    <cellStyle name="Calculation 3 3 4 3 5" xfId="6238"/>
    <cellStyle name="Calculation 3 3 4 3 5 2" xfId="6239"/>
    <cellStyle name="Calculation 3 3 4 3 6" xfId="6240"/>
    <cellStyle name="Calculation 3 3 4 3 7" xfId="6241"/>
    <cellStyle name="Calculation 3 3 4 3 8" xfId="6242"/>
    <cellStyle name="Calculation 3 3 4 4" xfId="6243"/>
    <cellStyle name="Calculation 3 3 4 4 2" xfId="6244"/>
    <cellStyle name="Calculation 3 3 4 4 2 2" xfId="6245"/>
    <cellStyle name="Calculation 3 3 4 4 2 2 2" xfId="6246"/>
    <cellStyle name="Calculation 3 3 4 4 2 3" xfId="6247"/>
    <cellStyle name="Calculation 3 3 4 4 2 3 2" xfId="6248"/>
    <cellStyle name="Calculation 3 3 4 4 2 4" xfId="6249"/>
    <cellStyle name="Calculation 3 3 4 4 2 5" xfId="6250"/>
    <cellStyle name="Calculation 3 3 4 4 2 6" xfId="6251"/>
    <cellStyle name="Calculation 3 3 4 4 3" xfId="6252"/>
    <cellStyle name="Calculation 3 3 4 4 3 2" xfId="6253"/>
    <cellStyle name="Calculation 3 3 4 4 4" xfId="6254"/>
    <cellStyle name="Calculation 3 3 4 4 4 2" xfId="6255"/>
    <cellStyle name="Calculation 3 3 4 4 5" xfId="6256"/>
    <cellStyle name="Calculation 3 3 4 4 6" xfId="6257"/>
    <cellStyle name="Calculation 3 3 4 4 7" xfId="6258"/>
    <cellStyle name="Calculation 3 3 4 5" xfId="6259"/>
    <cellStyle name="Calculation 3 3 4 5 2" xfId="6260"/>
    <cellStyle name="Calculation 3 3 4 5 2 2" xfId="6261"/>
    <cellStyle name="Calculation 3 3 4 5 3" xfId="6262"/>
    <cellStyle name="Calculation 3 3 4 5 3 2" xfId="6263"/>
    <cellStyle name="Calculation 3 3 4 5 4" xfId="6264"/>
    <cellStyle name="Calculation 3 3 4 5 5" xfId="6265"/>
    <cellStyle name="Calculation 3 3 4 5 6" xfId="6266"/>
    <cellStyle name="Calculation 3 3 4 6" xfId="6267"/>
    <cellStyle name="Calculation 3 3 4 6 2" xfId="6268"/>
    <cellStyle name="Calculation 3 3 4 7" xfId="6269"/>
    <cellStyle name="Calculation 3 3 4 7 2" xfId="6270"/>
    <cellStyle name="Calculation 3 3 4 8" xfId="6271"/>
    <cellStyle name="Calculation 3 3 4 9" xfId="6272"/>
    <cellStyle name="Calculation 3 3 5" xfId="6273"/>
    <cellStyle name="Calculation 3 3 5 2" xfId="6274"/>
    <cellStyle name="Calculation 3 3 5 2 2" xfId="6275"/>
    <cellStyle name="Calculation 3 3 5 2 2 2" xfId="6276"/>
    <cellStyle name="Calculation 3 3 5 2 2 2 2" xfId="6277"/>
    <cellStyle name="Calculation 3 3 5 2 2 3" xfId="6278"/>
    <cellStyle name="Calculation 3 3 5 2 2 3 2" xfId="6279"/>
    <cellStyle name="Calculation 3 3 5 2 2 4" xfId="6280"/>
    <cellStyle name="Calculation 3 3 5 2 2 5" xfId="6281"/>
    <cellStyle name="Calculation 3 3 5 2 2 6" xfId="6282"/>
    <cellStyle name="Calculation 3 3 5 2 3" xfId="6283"/>
    <cellStyle name="Calculation 3 3 5 2 3 2" xfId="6284"/>
    <cellStyle name="Calculation 3 3 5 2 4" xfId="6285"/>
    <cellStyle name="Calculation 3 3 5 2 4 2" xfId="6286"/>
    <cellStyle name="Calculation 3 3 5 2 5" xfId="6287"/>
    <cellStyle name="Calculation 3 3 5 2 6" xfId="6288"/>
    <cellStyle name="Calculation 3 3 5 2 7" xfId="6289"/>
    <cellStyle name="Calculation 3 3 5 3" xfId="6290"/>
    <cellStyle name="Calculation 3 3 5 3 2" xfId="6291"/>
    <cellStyle name="Calculation 3 3 5 3 2 2" xfId="6292"/>
    <cellStyle name="Calculation 3 3 5 3 3" xfId="6293"/>
    <cellStyle name="Calculation 3 3 5 3 3 2" xfId="6294"/>
    <cellStyle name="Calculation 3 3 5 3 4" xfId="6295"/>
    <cellStyle name="Calculation 3 3 5 3 5" xfId="6296"/>
    <cellStyle name="Calculation 3 3 5 3 6" xfId="6297"/>
    <cellStyle name="Calculation 3 3 5 4" xfId="6298"/>
    <cellStyle name="Calculation 3 3 5 4 2" xfId="6299"/>
    <cellStyle name="Calculation 3 3 5 5" xfId="6300"/>
    <cellStyle name="Calculation 3 3 5 5 2" xfId="6301"/>
    <cellStyle name="Calculation 3 3 5 6" xfId="6302"/>
    <cellStyle name="Calculation 3 3 5 7" xfId="6303"/>
    <cellStyle name="Calculation 3 3 5 8" xfId="6304"/>
    <cellStyle name="Calculation 3 3 6" xfId="6305"/>
    <cellStyle name="Calculation 3 3 6 2" xfId="6306"/>
    <cellStyle name="Calculation 3 3 6 2 2" xfId="6307"/>
    <cellStyle name="Calculation 3 3 6 2 2 2" xfId="6308"/>
    <cellStyle name="Calculation 3 3 6 2 3" xfId="6309"/>
    <cellStyle name="Calculation 3 3 6 2 3 2" xfId="6310"/>
    <cellStyle name="Calculation 3 3 6 2 4" xfId="6311"/>
    <cellStyle name="Calculation 3 3 6 2 5" xfId="6312"/>
    <cellStyle name="Calculation 3 3 6 2 6" xfId="6313"/>
    <cellStyle name="Calculation 3 3 6 3" xfId="6314"/>
    <cellStyle name="Calculation 3 3 6 3 2" xfId="6315"/>
    <cellStyle name="Calculation 3 3 6 4" xfId="6316"/>
    <cellStyle name="Calculation 3 3 6 4 2" xfId="6317"/>
    <cellStyle name="Calculation 3 3 6 5" xfId="6318"/>
    <cellStyle name="Calculation 3 3 6 6" xfId="6319"/>
    <cellStyle name="Calculation 3 3 6 7" xfId="6320"/>
    <cellStyle name="Calculation 3 3 7" xfId="6321"/>
    <cellStyle name="Calculation 3 3 7 2" xfId="6322"/>
    <cellStyle name="Calculation 3 3 7 2 2" xfId="6323"/>
    <cellStyle name="Calculation 3 3 7 3" xfId="6324"/>
    <cellStyle name="Calculation 3 3 7 3 2" xfId="6325"/>
    <cellStyle name="Calculation 3 3 7 4" xfId="6326"/>
    <cellStyle name="Calculation 3 3 7 5" xfId="6327"/>
    <cellStyle name="Calculation 3 3 7 6" xfId="6328"/>
    <cellStyle name="Calculation 3 3 8" xfId="6329"/>
    <cellStyle name="Calculation 3 3 8 2" xfId="6330"/>
    <cellStyle name="Calculation 3 3 9" xfId="6331"/>
    <cellStyle name="Calculation 3 3 9 2" xfId="6332"/>
    <cellStyle name="Calculation 3 4" xfId="6333"/>
    <cellStyle name="Calculation 3 4 10" xfId="6334"/>
    <cellStyle name="Calculation 3 4 11" xfId="6335"/>
    <cellStyle name="Calculation 3 4 2" xfId="6336"/>
    <cellStyle name="Calculation 3 4 2 10" xfId="6337"/>
    <cellStyle name="Calculation 3 4 2 2" xfId="6338"/>
    <cellStyle name="Calculation 3 4 2 2 10" xfId="6339"/>
    <cellStyle name="Calculation 3 4 2 2 2" xfId="6340"/>
    <cellStyle name="Calculation 3 4 2 2 2 2" xfId="6341"/>
    <cellStyle name="Calculation 3 4 2 2 2 2 2" xfId="6342"/>
    <cellStyle name="Calculation 3 4 2 2 2 2 2 2" xfId="6343"/>
    <cellStyle name="Calculation 3 4 2 2 2 2 2 2 2" xfId="6344"/>
    <cellStyle name="Calculation 3 4 2 2 2 2 2 3" xfId="6345"/>
    <cellStyle name="Calculation 3 4 2 2 2 2 2 3 2" xfId="6346"/>
    <cellStyle name="Calculation 3 4 2 2 2 2 2 4" xfId="6347"/>
    <cellStyle name="Calculation 3 4 2 2 2 2 2 5" xfId="6348"/>
    <cellStyle name="Calculation 3 4 2 2 2 2 2 6" xfId="6349"/>
    <cellStyle name="Calculation 3 4 2 2 2 2 3" xfId="6350"/>
    <cellStyle name="Calculation 3 4 2 2 2 2 3 2" xfId="6351"/>
    <cellStyle name="Calculation 3 4 2 2 2 2 4" xfId="6352"/>
    <cellStyle name="Calculation 3 4 2 2 2 2 4 2" xfId="6353"/>
    <cellStyle name="Calculation 3 4 2 2 2 2 5" xfId="6354"/>
    <cellStyle name="Calculation 3 4 2 2 2 2 6" xfId="6355"/>
    <cellStyle name="Calculation 3 4 2 2 2 2 7" xfId="6356"/>
    <cellStyle name="Calculation 3 4 2 2 2 3" xfId="6357"/>
    <cellStyle name="Calculation 3 4 2 2 2 3 2" xfId="6358"/>
    <cellStyle name="Calculation 3 4 2 2 2 3 2 2" xfId="6359"/>
    <cellStyle name="Calculation 3 4 2 2 2 3 3" xfId="6360"/>
    <cellStyle name="Calculation 3 4 2 2 2 3 3 2" xfId="6361"/>
    <cellStyle name="Calculation 3 4 2 2 2 3 4" xfId="6362"/>
    <cellStyle name="Calculation 3 4 2 2 2 3 5" xfId="6363"/>
    <cellStyle name="Calculation 3 4 2 2 2 3 6" xfId="6364"/>
    <cellStyle name="Calculation 3 4 2 2 2 4" xfId="6365"/>
    <cellStyle name="Calculation 3 4 2 2 2 4 2" xfId="6366"/>
    <cellStyle name="Calculation 3 4 2 2 2 5" xfId="6367"/>
    <cellStyle name="Calculation 3 4 2 2 2 5 2" xfId="6368"/>
    <cellStyle name="Calculation 3 4 2 2 2 6" xfId="6369"/>
    <cellStyle name="Calculation 3 4 2 2 2 7" xfId="6370"/>
    <cellStyle name="Calculation 3 4 2 2 2 8" xfId="6371"/>
    <cellStyle name="Calculation 3 4 2 2 3" xfId="6372"/>
    <cellStyle name="Calculation 3 4 2 2 3 2" xfId="6373"/>
    <cellStyle name="Calculation 3 4 2 2 3 2 2" xfId="6374"/>
    <cellStyle name="Calculation 3 4 2 2 3 2 2 2" xfId="6375"/>
    <cellStyle name="Calculation 3 4 2 2 3 2 2 2 2" xfId="6376"/>
    <cellStyle name="Calculation 3 4 2 2 3 2 2 3" xfId="6377"/>
    <cellStyle name="Calculation 3 4 2 2 3 2 2 3 2" xfId="6378"/>
    <cellStyle name="Calculation 3 4 2 2 3 2 2 4" xfId="6379"/>
    <cellStyle name="Calculation 3 4 2 2 3 2 2 5" xfId="6380"/>
    <cellStyle name="Calculation 3 4 2 2 3 2 2 6" xfId="6381"/>
    <cellStyle name="Calculation 3 4 2 2 3 2 3" xfId="6382"/>
    <cellStyle name="Calculation 3 4 2 2 3 2 3 2" xfId="6383"/>
    <cellStyle name="Calculation 3 4 2 2 3 2 4" xfId="6384"/>
    <cellStyle name="Calculation 3 4 2 2 3 2 4 2" xfId="6385"/>
    <cellStyle name="Calculation 3 4 2 2 3 2 5" xfId="6386"/>
    <cellStyle name="Calculation 3 4 2 2 3 2 6" xfId="6387"/>
    <cellStyle name="Calculation 3 4 2 2 3 2 7" xfId="6388"/>
    <cellStyle name="Calculation 3 4 2 2 3 3" xfId="6389"/>
    <cellStyle name="Calculation 3 4 2 2 3 3 2" xfId="6390"/>
    <cellStyle name="Calculation 3 4 2 2 3 3 2 2" xfId="6391"/>
    <cellStyle name="Calculation 3 4 2 2 3 3 3" xfId="6392"/>
    <cellStyle name="Calculation 3 4 2 2 3 3 3 2" xfId="6393"/>
    <cellStyle name="Calculation 3 4 2 2 3 3 4" xfId="6394"/>
    <cellStyle name="Calculation 3 4 2 2 3 3 5" xfId="6395"/>
    <cellStyle name="Calculation 3 4 2 2 3 3 6" xfId="6396"/>
    <cellStyle name="Calculation 3 4 2 2 3 4" xfId="6397"/>
    <cellStyle name="Calculation 3 4 2 2 3 4 2" xfId="6398"/>
    <cellStyle name="Calculation 3 4 2 2 3 5" xfId="6399"/>
    <cellStyle name="Calculation 3 4 2 2 3 5 2" xfId="6400"/>
    <cellStyle name="Calculation 3 4 2 2 3 6" xfId="6401"/>
    <cellStyle name="Calculation 3 4 2 2 3 7" xfId="6402"/>
    <cellStyle name="Calculation 3 4 2 2 3 8" xfId="6403"/>
    <cellStyle name="Calculation 3 4 2 2 4" xfId="6404"/>
    <cellStyle name="Calculation 3 4 2 2 4 2" xfId="6405"/>
    <cellStyle name="Calculation 3 4 2 2 4 2 2" xfId="6406"/>
    <cellStyle name="Calculation 3 4 2 2 4 2 2 2" xfId="6407"/>
    <cellStyle name="Calculation 3 4 2 2 4 2 3" xfId="6408"/>
    <cellStyle name="Calculation 3 4 2 2 4 2 3 2" xfId="6409"/>
    <cellStyle name="Calculation 3 4 2 2 4 2 4" xfId="6410"/>
    <cellStyle name="Calculation 3 4 2 2 4 2 5" xfId="6411"/>
    <cellStyle name="Calculation 3 4 2 2 4 2 6" xfId="6412"/>
    <cellStyle name="Calculation 3 4 2 2 4 3" xfId="6413"/>
    <cellStyle name="Calculation 3 4 2 2 4 3 2" xfId="6414"/>
    <cellStyle name="Calculation 3 4 2 2 4 4" xfId="6415"/>
    <cellStyle name="Calculation 3 4 2 2 4 4 2" xfId="6416"/>
    <cellStyle name="Calculation 3 4 2 2 4 5" xfId="6417"/>
    <cellStyle name="Calculation 3 4 2 2 4 6" xfId="6418"/>
    <cellStyle name="Calculation 3 4 2 2 4 7" xfId="6419"/>
    <cellStyle name="Calculation 3 4 2 2 5" xfId="6420"/>
    <cellStyle name="Calculation 3 4 2 2 5 2" xfId="6421"/>
    <cellStyle name="Calculation 3 4 2 2 5 2 2" xfId="6422"/>
    <cellStyle name="Calculation 3 4 2 2 5 3" xfId="6423"/>
    <cellStyle name="Calculation 3 4 2 2 5 3 2" xfId="6424"/>
    <cellStyle name="Calculation 3 4 2 2 5 4" xfId="6425"/>
    <cellStyle name="Calculation 3 4 2 2 5 5" xfId="6426"/>
    <cellStyle name="Calculation 3 4 2 2 5 6" xfId="6427"/>
    <cellStyle name="Calculation 3 4 2 2 6" xfId="6428"/>
    <cellStyle name="Calculation 3 4 2 2 6 2" xfId="6429"/>
    <cellStyle name="Calculation 3 4 2 2 7" xfId="6430"/>
    <cellStyle name="Calculation 3 4 2 2 7 2" xfId="6431"/>
    <cellStyle name="Calculation 3 4 2 2 8" xfId="6432"/>
    <cellStyle name="Calculation 3 4 2 2 9" xfId="6433"/>
    <cellStyle name="Calculation 3 4 2 3" xfId="6434"/>
    <cellStyle name="Calculation 3 4 2 3 2" xfId="6435"/>
    <cellStyle name="Calculation 3 4 2 3 2 2" xfId="6436"/>
    <cellStyle name="Calculation 3 4 2 3 2 2 2" xfId="6437"/>
    <cellStyle name="Calculation 3 4 2 3 2 2 2 2" xfId="6438"/>
    <cellStyle name="Calculation 3 4 2 3 2 2 3" xfId="6439"/>
    <cellStyle name="Calculation 3 4 2 3 2 2 3 2" xfId="6440"/>
    <cellStyle name="Calculation 3 4 2 3 2 2 4" xfId="6441"/>
    <cellStyle name="Calculation 3 4 2 3 2 2 5" xfId="6442"/>
    <cellStyle name="Calculation 3 4 2 3 2 2 6" xfId="6443"/>
    <cellStyle name="Calculation 3 4 2 3 2 3" xfId="6444"/>
    <cellStyle name="Calculation 3 4 2 3 2 3 2" xfId="6445"/>
    <cellStyle name="Calculation 3 4 2 3 2 4" xfId="6446"/>
    <cellStyle name="Calculation 3 4 2 3 2 4 2" xfId="6447"/>
    <cellStyle name="Calculation 3 4 2 3 2 5" xfId="6448"/>
    <cellStyle name="Calculation 3 4 2 3 2 6" xfId="6449"/>
    <cellStyle name="Calculation 3 4 2 3 2 7" xfId="6450"/>
    <cellStyle name="Calculation 3 4 2 3 3" xfId="6451"/>
    <cellStyle name="Calculation 3 4 2 3 3 2" xfId="6452"/>
    <cellStyle name="Calculation 3 4 2 3 3 2 2" xfId="6453"/>
    <cellStyle name="Calculation 3 4 2 3 3 3" xfId="6454"/>
    <cellStyle name="Calculation 3 4 2 3 3 3 2" xfId="6455"/>
    <cellStyle name="Calculation 3 4 2 3 3 4" xfId="6456"/>
    <cellStyle name="Calculation 3 4 2 3 3 5" xfId="6457"/>
    <cellStyle name="Calculation 3 4 2 3 3 6" xfId="6458"/>
    <cellStyle name="Calculation 3 4 2 3 4" xfId="6459"/>
    <cellStyle name="Calculation 3 4 2 3 4 2" xfId="6460"/>
    <cellStyle name="Calculation 3 4 2 3 5" xfId="6461"/>
    <cellStyle name="Calculation 3 4 2 3 5 2" xfId="6462"/>
    <cellStyle name="Calculation 3 4 2 3 6" xfId="6463"/>
    <cellStyle name="Calculation 3 4 2 3 7" xfId="6464"/>
    <cellStyle name="Calculation 3 4 2 3 8" xfId="6465"/>
    <cellStyle name="Calculation 3 4 2 4" xfId="6466"/>
    <cellStyle name="Calculation 3 4 2 4 2" xfId="6467"/>
    <cellStyle name="Calculation 3 4 2 4 2 2" xfId="6468"/>
    <cellStyle name="Calculation 3 4 2 4 2 2 2" xfId="6469"/>
    <cellStyle name="Calculation 3 4 2 4 2 3" xfId="6470"/>
    <cellStyle name="Calculation 3 4 2 4 2 3 2" xfId="6471"/>
    <cellStyle name="Calculation 3 4 2 4 2 4" xfId="6472"/>
    <cellStyle name="Calculation 3 4 2 4 2 5" xfId="6473"/>
    <cellStyle name="Calculation 3 4 2 4 2 6" xfId="6474"/>
    <cellStyle name="Calculation 3 4 2 4 3" xfId="6475"/>
    <cellStyle name="Calculation 3 4 2 4 3 2" xfId="6476"/>
    <cellStyle name="Calculation 3 4 2 4 4" xfId="6477"/>
    <cellStyle name="Calculation 3 4 2 4 4 2" xfId="6478"/>
    <cellStyle name="Calculation 3 4 2 4 5" xfId="6479"/>
    <cellStyle name="Calculation 3 4 2 4 6" xfId="6480"/>
    <cellStyle name="Calculation 3 4 2 4 7" xfId="6481"/>
    <cellStyle name="Calculation 3 4 2 5" xfId="6482"/>
    <cellStyle name="Calculation 3 4 2 5 2" xfId="6483"/>
    <cellStyle name="Calculation 3 4 2 5 2 2" xfId="6484"/>
    <cellStyle name="Calculation 3 4 2 5 3" xfId="6485"/>
    <cellStyle name="Calculation 3 4 2 5 3 2" xfId="6486"/>
    <cellStyle name="Calculation 3 4 2 5 4" xfId="6487"/>
    <cellStyle name="Calculation 3 4 2 5 5" xfId="6488"/>
    <cellStyle name="Calculation 3 4 2 5 6" xfId="6489"/>
    <cellStyle name="Calculation 3 4 2 6" xfId="6490"/>
    <cellStyle name="Calculation 3 4 2 6 2" xfId="6491"/>
    <cellStyle name="Calculation 3 4 2 7" xfId="6492"/>
    <cellStyle name="Calculation 3 4 2 7 2" xfId="6493"/>
    <cellStyle name="Calculation 3 4 2 8" xfId="6494"/>
    <cellStyle name="Calculation 3 4 2 9" xfId="6495"/>
    <cellStyle name="Calculation 3 4 3" xfId="6496"/>
    <cellStyle name="Calculation 3 4 3 10" xfId="6497"/>
    <cellStyle name="Calculation 3 4 3 2" xfId="6498"/>
    <cellStyle name="Calculation 3 4 3 2 2" xfId="6499"/>
    <cellStyle name="Calculation 3 4 3 2 2 2" xfId="6500"/>
    <cellStyle name="Calculation 3 4 3 2 2 2 2" xfId="6501"/>
    <cellStyle name="Calculation 3 4 3 2 2 2 2 2" xfId="6502"/>
    <cellStyle name="Calculation 3 4 3 2 2 2 3" xfId="6503"/>
    <cellStyle name="Calculation 3 4 3 2 2 2 3 2" xfId="6504"/>
    <cellStyle name="Calculation 3 4 3 2 2 2 4" xfId="6505"/>
    <cellStyle name="Calculation 3 4 3 2 2 2 5" xfId="6506"/>
    <cellStyle name="Calculation 3 4 3 2 2 2 6" xfId="6507"/>
    <cellStyle name="Calculation 3 4 3 2 2 3" xfId="6508"/>
    <cellStyle name="Calculation 3 4 3 2 2 3 2" xfId="6509"/>
    <cellStyle name="Calculation 3 4 3 2 2 4" xfId="6510"/>
    <cellStyle name="Calculation 3 4 3 2 2 4 2" xfId="6511"/>
    <cellStyle name="Calculation 3 4 3 2 2 5" xfId="6512"/>
    <cellStyle name="Calculation 3 4 3 2 2 6" xfId="6513"/>
    <cellStyle name="Calculation 3 4 3 2 2 7" xfId="6514"/>
    <cellStyle name="Calculation 3 4 3 2 3" xfId="6515"/>
    <cellStyle name="Calculation 3 4 3 2 3 2" xfId="6516"/>
    <cellStyle name="Calculation 3 4 3 2 3 2 2" xfId="6517"/>
    <cellStyle name="Calculation 3 4 3 2 3 3" xfId="6518"/>
    <cellStyle name="Calculation 3 4 3 2 3 3 2" xfId="6519"/>
    <cellStyle name="Calculation 3 4 3 2 3 4" xfId="6520"/>
    <cellStyle name="Calculation 3 4 3 2 3 5" xfId="6521"/>
    <cellStyle name="Calculation 3 4 3 2 3 6" xfId="6522"/>
    <cellStyle name="Calculation 3 4 3 2 4" xfId="6523"/>
    <cellStyle name="Calculation 3 4 3 2 4 2" xfId="6524"/>
    <cellStyle name="Calculation 3 4 3 2 5" xfId="6525"/>
    <cellStyle name="Calculation 3 4 3 2 5 2" xfId="6526"/>
    <cellStyle name="Calculation 3 4 3 2 6" xfId="6527"/>
    <cellStyle name="Calculation 3 4 3 2 7" xfId="6528"/>
    <cellStyle name="Calculation 3 4 3 2 8" xfId="6529"/>
    <cellStyle name="Calculation 3 4 3 3" xfId="6530"/>
    <cellStyle name="Calculation 3 4 3 3 2" xfId="6531"/>
    <cellStyle name="Calculation 3 4 3 3 2 2" xfId="6532"/>
    <cellStyle name="Calculation 3 4 3 3 2 2 2" xfId="6533"/>
    <cellStyle name="Calculation 3 4 3 3 2 2 2 2" xfId="6534"/>
    <cellStyle name="Calculation 3 4 3 3 2 2 3" xfId="6535"/>
    <cellStyle name="Calculation 3 4 3 3 2 2 3 2" xfId="6536"/>
    <cellStyle name="Calculation 3 4 3 3 2 2 4" xfId="6537"/>
    <cellStyle name="Calculation 3 4 3 3 2 2 5" xfId="6538"/>
    <cellStyle name="Calculation 3 4 3 3 2 2 6" xfId="6539"/>
    <cellStyle name="Calculation 3 4 3 3 2 3" xfId="6540"/>
    <cellStyle name="Calculation 3 4 3 3 2 3 2" xfId="6541"/>
    <cellStyle name="Calculation 3 4 3 3 2 4" xfId="6542"/>
    <cellStyle name="Calculation 3 4 3 3 2 4 2" xfId="6543"/>
    <cellStyle name="Calculation 3 4 3 3 2 5" xfId="6544"/>
    <cellStyle name="Calculation 3 4 3 3 2 6" xfId="6545"/>
    <cellStyle name="Calculation 3 4 3 3 2 7" xfId="6546"/>
    <cellStyle name="Calculation 3 4 3 3 3" xfId="6547"/>
    <cellStyle name="Calculation 3 4 3 3 3 2" xfId="6548"/>
    <cellStyle name="Calculation 3 4 3 3 3 2 2" xfId="6549"/>
    <cellStyle name="Calculation 3 4 3 3 3 3" xfId="6550"/>
    <cellStyle name="Calculation 3 4 3 3 3 3 2" xfId="6551"/>
    <cellStyle name="Calculation 3 4 3 3 3 4" xfId="6552"/>
    <cellStyle name="Calculation 3 4 3 3 3 5" xfId="6553"/>
    <cellStyle name="Calculation 3 4 3 3 3 6" xfId="6554"/>
    <cellStyle name="Calculation 3 4 3 3 4" xfId="6555"/>
    <cellStyle name="Calculation 3 4 3 3 4 2" xfId="6556"/>
    <cellStyle name="Calculation 3 4 3 3 5" xfId="6557"/>
    <cellStyle name="Calculation 3 4 3 3 5 2" xfId="6558"/>
    <cellStyle name="Calculation 3 4 3 3 6" xfId="6559"/>
    <cellStyle name="Calculation 3 4 3 3 7" xfId="6560"/>
    <cellStyle name="Calculation 3 4 3 3 8" xfId="6561"/>
    <cellStyle name="Calculation 3 4 3 4" xfId="6562"/>
    <cellStyle name="Calculation 3 4 3 4 2" xfId="6563"/>
    <cellStyle name="Calculation 3 4 3 4 2 2" xfId="6564"/>
    <cellStyle name="Calculation 3 4 3 4 2 2 2" xfId="6565"/>
    <cellStyle name="Calculation 3 4 3 4 2 3" xfId="6566"/>
    <cellStyle name="Calculation 3 4 3 4 2 3 2" xfId="6567"/>
    <cellStyle name="Calculation 3 4 3 4 2 4" xfId="6568"/>
    <cellStyle name="Calculation 3 4 3 4 2 5" xfId="6569"/>
    <cellStyle name="Calculation 3 4 3 4 2 6" xfId="6570"/>
    <cellStyle name="Calculation 3 4 3 4 3" xfId="6571"/>
    <cellStyle name="Calculation 3 4 3 4 3 2" xfId="6572"/>
    <cellStyle name="Calculation 3 4 3 4 4" xfId="6573"/>
    <cellStyle name="Calculation 3 4 3 4 4 2" xfId="6574"/>
    <cellStyle name="Calculation 3 4 3 4 5" xfId="6575"/>
    <cellStyle name="Calculation 3 4 3 4 6" xfId="6576"/>
    <cellStyle name="Calculation 3 4 3 4 7" xfId="6577"/>
    <cellStyle name="Calculation 3 4 3 5" xfId="6578"/>
    <cellStyle name="Calculation 3 4 3 5 2" xfId="6579"/>
    <cellStyle name="Calculation 3 4 3 5 2 2" xfId="6580"/>
    <cellStyle name="Calculation 3 4 3 5 3" xfId="6581"/>
    <cellStyle name="Calculation 3 4 3 5 3 2" xfId="6582"/>
    <cellStyle name="Calculation 3 4 3 5 4" xfId="6583"/>
    <cellStyle name="Calculation 3 4 3 5 5" xfId="6584"/>
    <cellStyle name="Calculation 3 4 3 5 6" xfId="6585"/>
    <cellStyle name="Calculation 3 4 3 6" xfId="6586"/>
    <cellStyle name="Calculation 3 4 3 6 2" xfId="6587"/>
    <cellStyle name="Calculation 3 4 3 7" xfId="6588"/>
    <cellStyle name="Calculation 3 4 3 7 2" xfId="6589"/>
    <cellStyle name="Calculation 3 4 3 8" xfId="6590"/>
    <cellStyle name="Calculation 3 4 3 9" xfId="6591"/>
    <cellStyle name="Calculation 3 4 4" xfId="6592"/>
    <cellStyle name="Calculation 3 4 4 2" xfId="6593"/>
    <cellStyle name="Calculation 3 4 4 2 2" xfId="6594"/>
    <cellStyle name="Calculation 3 4 4 2 2 2" xfId="6595"/>
    <cellStyle name="Calculation 3 4 4 2 2 2 2" xfId="6596"/>
    <cellStyle name="Calculation 3 4 4 2 2 3" xfId="6597"/>
    <cellStyle name="Calculation 3 4 4 2 2 3 2" xfId="6598"/>
    <cellStyle name="Calculation 3 4 4 2 2 4" xfId="6599"/>
    <cellStyle name="Calculation 3 4 4 2 2 5" xfId="6600"/>
    <cellStyle name="Calculation 3 4 4 2 2 6" xfId="6601"/>
    <cellStyle name="Calculation 3 4 4 2 3" xfId="6602"/>
    <cellStyle name="Calculation 3 4 4 2 3 2" xfId="6603"/>
    <cellStyle name="Calculation 3 4 4 2 4" xfId="6604"/>
    <cellStyle name="Calculation 3 4 4 2 4 2" xfId="6605"/>
    <cellStyle name="Calculation 3 4 4 2 5" xfId="6606"/>
    <cellStyle name="Calculation 3 4 4 2 6" xfId="6607"/>
    <cellStyle name="Calculation 3 4 4 2 7" xfId="6608"/>
    <cellStyle name="Calculation 3 4 4 3" xfId="6609"/>
    <cellStyle name="Calculation 3 4 4 3 2" xfId="6610"/>
    <cellStyle name="Calculation 3 4 4 3 2 2" xfId="6611"/>
    <cellStyle name="Calculation 3 4 4 3 3" xfId="6612"/>
    <cellStyle name="Calculation 3 4 4 3 3 2" xfId="6613"/>
    <cellStyle name="Calculation 3 4 4 3 4" xfId="6614"/>
    <cellStyle name="Calculation 3 4 4 3 5" xfId="6615"/>
    <cellStyle name="Calculation 3 4 4 3 6" xfId="6616"/>
    <cellStyle name="Calculation 3 4 4 4" xfId="6617"/>
    <cellStyle name="Calculation 3 4 4 4 2" xfId="6618"/>
    <cellStyle name="Calculation 3 4 4 5" xfId="6619"/>
    <cellStyle name="Calculation 3 4 4 5 2" xfId="6620"/>
    <cellStyle name="Calculation 3 4 4 6" xfId="6621"/>
    <cellStyle name="Calculation 3 4 4 7" xfId="6622"/>
    <cellStyle name="Calculation 3 4 4 8" xfId="6623"/>
    <cellStyle name="Calculation 3 4 5" xfId="6624"/>
    <cellStyle name="Calculation 3 4 5 2" xfId="6625"/>
    <cellStyle name="Calculation 3 4 5 2 2" xfId="6626"/>
    <cellStyle name="Calculation 3 4 5 2 2 2" xfId="6627"/>
    <cellStyle name="Calculation 3 4 5 2 3" xfId="6628"/>
    <cellStyle name="Calculation 3 4 5 2 3 2" xfId="6629"/>
    <cellStyle name="Calculation 3 4 5 2 4" xfId="6630"/>
    <cellStyle name="Calculation 3 4 5 2 5" xfId="6631"/>
    <cellStyle name="Calculation 3 4 5 2 6" xfId="6632"/>
    <cellStyle name="Calculation 3 4 5 3" xfId="6633"/>
    <cellStyle name="Calculation 3 4 5 3 2" xfId="6634"/>
    <cellStyle name="Calculation 3 4 5 4" xfId="6635"/>
    <cellStyle name="Calculation 3 4 5 4 2" xfId="6636"/>
    <cellStyle name="Calculation 3 4 5 5" xfId="6637"/>
    <cellStyle name="Calculation 3 4 5 6" xfId="6638"/>
    <cellStyle name="Calculation 3 4 5 7" xfId="6639"/>
    <cellStyle name="Calculation 3 4 6" xfId="6640"/>
    <cellStyle name="Calculation 3 4 6 2" xfId="6641"/>
    <cellStyle name="Calculation 3 4 6 2 2" xfId="6642"/>
    <cellStyle name="Calculation 3 4 6 3" xfId="6643"/>
    <cellStyle name="Calculation 3 4 6 3 2" xfId="6644"/>
    <cellStyle name="Calculation 3 4 6 4" xfId="6645"/>
    <cellStyle name="Calculation 3 4 6 5" xfId="6646"/>
    <cellStyle name="Calculation 3 4 6 6" xfId="6647"/>
    <cellStyle name="Calculation 3 4 7" xfId="6648"/>
    <cellStyle name="Calculation 3 4 7 2" xfId="6649"/>
    <cellStyle name="Calculation 3 4 8" xfId="6650"/>
    <cellStyle name="Calculation 3 4 8 2" xfId="6651"/>
    <cellStyle name="Calculation 3 4 9" xfId="6652"/>
    <cellStyle name="Calculation 3 5" xfId="6653"/>
    <cellStyle name="Calculation 3 5 10" xfId="6654"/>
    <cellStyle name="Calculation 3 5 11" xfId="6655"/>
    <cellStyle name="Calculation 3 5 2" xfId="6656"/>
    <cellStyle name="Calculation 3 5 2 10" xfId="6657"/>
    <cellStyle name="Calculation 3 5 2 2" xfId="6658"/>
    <cellStyle name="Calculation 3 5 2 2 2" xfId="6659"/>
    <cellStyle name="Calculation 3 5 2 2 2 2" xfId="6660"/>
    <cellStyle name="Calculation 3 5 2 2 2 2 2" xfId="6661"/>
    <cellStyle name="Calculation 3 5 2 2 2 2 2 2" xfId="6662"/>
    <cellStyle name="Calculation 3 5 2 2 2 2 3" xfId="6663"/>
    <cellStyle name="Calculation 3 5 2 2 2 2 3 2" xfId="6664"/>
    <cellStyle name="Calculation 3 5 2 2 2 2 4" xfId="6665"/>
    <cellStyle name="Calculation 3 5 2 2 2 2 5" xfId="6666"/>
    <cellStyle name="Calculation 3 5 2 2 2 2 6" xfId="6667"/>
    <cellStyle name="Calculation 3 5 2 2 2 3" xfId="6668"/>
    <cellStyle name="Calculation 3 5 2 2 2 3 2" xfId="6669"/>
    <cellStyle name="Calculation 3 5 2 2 2 4" xfId="6670"/>
    <cellStyle name="Calculation 3 5 2 2 2 4 2" xfId="6671"/>
    <cellStyle name="Calculation 3 5 2 2 2 5" xfId="6672"/>
    <cellStyle name="Calculation 3 5 2 2 2 6" xfId="6673"/>
    <cellStyle name="Calculation 3 5 2 2 2 7" xfId="6674"/>
    <cellStyle name="Calculation 3 5 2 2 3" xfId="6675"/>
    <cellStyle name="Calculation 3 5 2 2 3 2" xfId="6676"/>
    <cellStyle name="Calculation 3 5 2 2 3 2 2" xfId="6677"/>
    <cellStyle name="Calculation 3 5 2 2 3 3" xfId="6678"/>
    <cellStyle name="Calculation 3 5 2 2 3 3 2" xfId="6679"/>
    <cellStyle name="Calculation 3 5 2 2 3 4" xfId="6680"/>
    <cellStyle name="Calculation 3 5 2 2 3 5" xfId="6681"/>
    <cellStyle name="Calculation 3 5 2 2 3 6" xfId="6682"/>
    <cellStyle name="Calculation 3 5 2 2 4" xfId="6683"/>
    <cellStyle name="Calculation 3 5 2 2 4 2" xfId="6684"/>
    <cellStyle name="Calculation 3 5 2 2 5" xfId="6685"/>
    <cellStyle name="Calculation 3 5 2 2 5 2" xfId="6686"/>
    <cellStyle name="Calculation 3 5 2 2 6" xfId="6687"/>
    <cellStyle name="Calculation 3 5 2 2 7" xfId="6688"/>
    <cellStyle name="Calculation 3 5 2 2 8" xfId="6689"/>
    <cellStyle name="Calculation 3 5 2 3" xfId="6690"/>
    <cellStyle name="Calculation 3 5 2 3 2" xfId="6691"/>
    <cellStyle name="Calculation 3 5 2 3 2 2" xfId="6692"/>
    <cellStyle name="Calculation 3 5 2 3 2 2 2" xfId="6693"/>
    <cellStyle name="Calculation 3 5 2 3 2 2 2 2" xfId="6694"/>
    <cellStyle name="Calculation 3 5 2 3 2 2 3" xfId="6695"/>
    <cellStyle name="Calculation 3 5 2 3 2 2 3 2" xfId="6696"/>
    <cellStyle name="Calculation 3 5 2 3 2 2 4" xfId="6697"/>
    <cellStyle name="Calculation 3 5 2 3 2 2 5" xfId="6698"/>
    <cellStyle name="Calculation 3 5 2 3 2 2 6" xfId="6699"/>
    <cellStyle name="Calculation 3 5 2 3 2 3" xfId="6700"/>
    <cellStyle name="Calculation 3 5 2 3 2 3 2" xfId="6701"/>
    <cellStyle name="Calculation 3 5 2 3 2 4" xfId="6702"/>
    <cellStyle name="Calculation 3 5 2 3 2 4 2" xfId="6703"/>
    <cellStyle name="Calculation 3 5 2 3 2 5" xfId="6704"/>
    <cellStyle name="Calculation 3 5 2 3 2 6" xfId="6705"/>
    <cellStyle name="Calculation 3 5 2 3 2 7" xfId="6706"/>
    <cellStyle name="Calculation 3 5 2 3 3" xfId="6707"/>
    <cellStyle name="Calculation 3 5 2 3 3 2" xfId="6708"/>
    <cellStyle name="Calculation 3 5 2 3 3 2 2" xfId="6709"/>
    <cellStyle name="Calculation 3 5 2 3 3 3" xfId="6710"/>
    <cellStyle name="Calculation 3 5 2 3 3 3 2" xfId="6711"/>
    <cellStyle name="Calculation 3 5 2 3 3 4" xfId="6712"/>
    <cellStyle name="Calculation 3 5 2 3 3 5" xfId="6713"/>
    <cellStyle name="Calculation 3 5 2 3 3 6" xfId="6714"/>
    <cellStyle name="Calculation 3 5 2 3 4" xfId="6715"/>
    <cellStyle name="Calculation 3 5 2 3 4 2" xfId="6716"/>
    <cellStyle name="Calculation 3 5 2 3 5" xfId="6717"/>
    <cellStyle name="Calculation 3 5 2 3 5 2" xfId="6718"/>
    <cellStyle name="Calculation 3 5 2 3 6" xfId="6719"/>
    <cellStyle name="Calculation 3 5 2 3 7" xfId="6720"/>
    <cellStyle name="Calculation 3 5 2 3 8" xfId="6721"/>
    <cellStyle name="Calculation 3 5 2 4" xfId="6722"/>
    <cellStyle name="Calculation 3 5 2 4 2" xfId="6723"/>
    <cellStyle name="Calculation 3 5 2 4 2 2" xfId="6724"/>
    <cellStyle name="Calculation 3 5 2 4 2 2 2" xfId="6725"/>
    <cellStyle name="Calculation 3 5 2 4 2 3" xfId="6726"/>
    <cellStyle name="Calculation 3 5 2 4 2 3 2" xfId="6727"/>
    <cellStyle name="Calculation 3 5 2 4 2 4" xfId="6728"/>
    <cellStyle name="Calculation 3 5 2 4 2 5" xfId="6729"/>
    <cellStyle name="Calculation 3 5 2 4 2 6" xfId="6730"/>
    <cellStyle name="Calculation 3 5 2 4 3" xfId="6731"/>
    <cellStyle name="Calculation 3 5 2 4 3 2" xfId="6732"/>
    <cellStyle name="Calculation 3 5 2 4 4" xfId="6733"/>
    <cellStyle name="Calculation 3 5 2 4 4 2" xfId="6734"/>
    <cellStyle name="Calculation 3 5 2 4 5" xfId="6735"/>
    <cellStyle name="Calculation 3 5 2 4 6" xfId="6736"/>
    <cellStyle name="Calculation 3 5 2 4 7" xfId="6737"/>
    <cellStyle name="Calculation 3 5 2 5" xfId="6738"/>
    <cellStyle name="Calculation 3 5 2 5 2" xfId="6739"/>
    <cellStyle name="Calculation 3 5 2 5 2 2" xfId="6740"/>
    <cellStyle name="Calculation 3 5 2 5 3" xfId="6741"/>
    <cellStyle name="Calculation 3 5 2 5 3 2" xfId="6742"/>
    <cellStyle name="Calculation 3 5 2 5 4" xfId="6743"/>
    <cellStyle name="Calculation 3 5 2 5 5" xfId="6744"/>
    <cellStyle name="Calculation 3 5 2 5 6" xfId="6745"/>
    <cellStyle name="Calculation 3 5 2 6" xfId="6746"/>
    <cellStyle name="Calculation 3 5 2 6 2" xfId="6747"/>
    <cellStyle name="Calculation 3 5 2 7" xfId="6748"/>
    <cellStyle name="Calculation 3 5 2 7 2" xfId="6749"/>
    <cellStyle name="Calculation 3 5 2 8" xfId="6750"/>
    <cellStyle name="Calculation 3 5 2 9" xfId="6751"/>
    <cellStyle name="Calculation 3 5 3" xfId="6752"/>
    <cellStyle name="Calculation 3 5 3 2" xfId="6753"/>
    <cellStyle name="Calculation 3 5 3 2 2" xfId="6754"/>
    <cellStyle name="Calculation 3 5 3 2 2 2" xfId="6755"/>
    <cellStyle name="Calculation 3 5 3 2 2 2 2" xfId="6756"/>
    <cellStyle name="Calculation 3 5 3 2 2 3" xfId="6757"/>
    <cellStyle name="Calculation 3 5 3 2 2 3 2" xfId="6758"/>
    <cellStyle name="Calculation 3 5 3 2 2 4" xfId="6759"/>
    <cellStyle name="Calculation 3 5 3 2 2 5" xfId="6760"/>
    <cellStyle name="Calculation 3 5 3 2 2 6" xfId="6761"/>
    <cellStyle name="Calculation 3 5 3 2 3" xfId="6762"/>
    <cellStyle name="Calculation 3 5 3 2 3 2" xfId="6763"/>
    <cellStyle name="Calculation 3 5 3 2 4" xfId="6764"/>
    <cellStyle name="Calculation 3 5 3 2 4 2" xfId="6765"/>
    <cellStyle name="Calculation 3 5 3 2 5" xfId="6766"/>
    <cellStyle name="Calculation 3 5 3 2 6" xfId="6767"/>
    <cellStyle name="Calculation 3 5 3 2 7" xfId="6768"/>
    <cellStyle name="Calculation 3 5 3 3" xfId="6769"/>
    <cellStyle name="Calculation 3 5 3 3 2" xfId="6770"/>
    <cellStyle name="Calculation 3 5 3 3 2 2" xfId="6771"/>
    <cellStyle name="Calculation 3 5 3 3 3" xfId="6772"/>
    <cellStyle name="Calculation 3 5 3 3 3 2" xfId="6773"/>
    <cellStyle name="Calculation 3 5 3 3 4" xfId="6774"/>
    <cellStyle name="Calculation 3 5 3 3 5" xfId="6775"/>
    <cellStyle name="Calculation 3 5 3 3 6" xfId="6776"/>
    <cellStyle name="Calculation 3 5 3 4" xfId="6777"/>
    <cellStyle name="Calculation 3 5 3 4 2" xfId="6778"/>
    <cellStyle name="Calculation 3 5 3 5" xfId="6779"/>
    <cellStyle name="Calculation 3 5 3 5 2" xfId="6780"/>
    <cellStyle name="Calculation 3 5 3 6" xfId="6781"/>
    <cellStyle name="Calculation 3 5 3 7" xfId="6782"/>
    <cellStyle name="Calculation 3 5 3 8" xfId="6783"/>
    <cellStyle name="Calculation 3 5 4" xfId="6784"/>
    <cellStyle name="Calculation 3 5 4 2" xfId="6785"/>
    <cellStyle name="Calculation 3 5 4 2 2" xfId="6786"/>
    <cellStyle name="Calculation 3 5 4 2 2 2" xfId="6787"/>
    <cellStyle name="Calculation 3 5 4 2 2 2 2" xfId="6788"/>
    <cellStyle name="Calculation 3 5 4 2 2 3" xfId="6789"/>
    <cellStyle name="Calculation 3 5 4 2 2 3 2" xfId="6790"/>
    <cellStyle name="Calculation 3 5 4 2 2 4" xfId="6791"/>
    <cellStyle name="Calculation 3 5 4 2 2 5" xfId="6792"/>
    <cellStyle name="Calculation 3 5 4 2 2 6" xfId="6793"/>
    <cellStyle name="Calculation 3 5 4 2 3" xfId="6794"/>
    <cellStyle name="Calculation 3 5 4 2 3 2" xfId="6795"/>
    <cellStyle name="Calculation 3 5 4 2 4" xfId="6796"/>
    <cellStyle name="Calculation 3 5 4 2 4 2" xfId="6797"/>
    <cellStyle name="Calculation 3 5 4 2 5" xfId="6798"/>
    <cellStyle name="Calculation 3 5 4 2 6" xfId="6799"/>
    <cellStyle name="Calculation 3 5 4 2 7" xfId="6800"/>
    <cellStyle name="Calculation 3 5 4 3" xfId="6801"/>
    <cellStyle name="Calculation 3 5 4 3 2" xfId="6802"/>
    <cellStyle name="Calculation 3 5 4 3 2 2" xfId="6803"/>
    <cellStyle name="Calculation 3 5 4 3 3" xfId="6804"/>
    <cellStyle name="Calculation 3 5 4 3 3 2" xfId="6805"/>
    <cellStyle name="Calculation 3 5 4 3 4" xfId="6806"/>
    <cellStyle name="Calculation 3 5 4 3 5" xfId="6807"/>
    <cellStyle name="Calculation 3 5 4 3 6" xfId="6808"/>
    <cellStyle name="Calculation 3 5 4 4" xfId="6809"/>
    <cellStyle name="Calculation 3 5 4 4 2" xfId="6810"/>
    <cellStyle name="Calculation 3 5 4 5" xfId="6811"/>
    <cellStyle name="Calculation 3 5 4 5 2" xfId="6812"/>
    <cellStyle name="Calculation 3 5 4 6" xfId="6813"/>
    <cellStyle name="Calculation 3 5 4 7" xfId="6814"/>
    <cellStyle name="Calculation 3 5 4 8" xfId="6815"/>
    <cellStyle name="Calculation 3 5 5" xfId="6816"/>
    <cellStyle name="Calculation 3 5 5 2" xfId="6817"/>
    <cellStyle name="Calculation 3 5 5 2 2" xfId="6818"/>
    <cellStyle name="Calculation 3 5 5 2 2 2" xfId="6819"/>
    <cellStyle name="Calculation 3 5 5 2 3" xfId="6820"/>
    <cellStyle name="Calculation 3 5 5 2 3 2" xfId="6821"/>
    <cellStyle name="Calculation 3 5 5 2 4" xfId="6822"/>
    <cellStyle name="Calculation 3 5 5 2 5" xfId="6823"/>
    <cellStyle name="Calculation 3 5 5 2 6" xfId="6824"/>
    <cellStyle name="Calculation 3 5 5 3" xfId="6825"/>
    <cellStyle name="Calculation 3 5 5 3 2" xfId="6826"/>
    <cellStyle name="Calculation 3 5 5 4" xfId="6827"/>
    <cellStyle name="Calculation 3 5 5 4 2" xfId="6828"/>
    <cellStyle name="Calculation 3 5 5 5" xfId="6829"/>
    <cellStyle name="Calculation 3 5 5 6" xfId="6830"/>
    <cellStyle name="Calculation 3 5 5 7" xfId="6831"/>
    <cellStyle name="Calculation 3 5 6" xfId="6832"/>
    <cellStyle name="Calculation 3 5 6 2" xfId="6833"/>
    <cellStyle name="Calculation 3 5 6 2 2" xfId="6834"/>
    <cellStyle name="Calculation 3 5 6 3" xfId="6835"/>
    <cellStyle name="Calculation 3 5 6 3 2" xfId="6836"/>
    <cellStyle name="Calculation 3 5 6 4" xfId="6837"/>
    <cellStyle name="Calculation 3 5 6 5" xfId="6838"/>
    <cellStyle name="Calculation 3 5 6 6" xfId="6839"/>
    <cellStyle name="Calculation 3 5 7" xfId="6840"/>
    <cellStyle name="Calculation 3 5 7 2" xfId="6841"/>
    <cellStyle name="Calculation 3 5 8" xfId="6842"/>
    <cellStyle name="Calculation 3 5 8 2" xfId="6843"/>
    <cellStyle name="Calculation 3 5 9" xfId="6844"/>
    <cellStyle name="Calculation 3 6" xfId="6845"/>
    <cellStyle name="Calculation 3 6 2" xfId="6846"/>
    <cellStyle name="Calculation 3 6 2 2" xfId="6847"/>
    <cellStyle name="Calculation 3 6 2 2 2" xfId="6848"/>
    <cellStyle name="Calculation 3 6 2 3" xfId="6849"/>
    <cellStyle name="Calculation 3 6 2 3 2" xfId="6850"/>
    <cellStyle name="Calculation 3 6 2 4" xfId="6851"/>
    <cellStyle name="Calculation 3 6 2 5" xfId="6852"/>
    <cellStyle name="Calculation 3 6 2 6" xfId="6853"/>
    <cellStyle name="Calculation 3 6 3" xfId="6854"/>
    <cellStyle name="Calculation 3 6 3 2" xfId="6855"/>
    <cellStyle name="Calculation 3 6 4" xfId="6856"/>
    <cellStyle name="Calculation 3 6 4 2" xfId="6857"/>
    <cellStyle name="Calculation 3 6 5" xfId="6858"/>
    <cellStyle name="Calculation 3 6 6" xfId="6859"/>
    <cellStyle name="Calculation 3 6 7" xfId="6860"/>
    <cellStyle name="Calculation 3 7" xfId="6861"/>
    <cellStyle name="Calculation 3 7 2" xfId="6862"/>
    <cellStyle name="Calculation 3 8" xfId="6863"/>
    <cellStyle name="Calculation 3 8 2" xfId="6864"/>
    <cellStyle name="Calculation 3 9" xfId="6865"/>
    <cellStyle name="Calculation 4" xfId="6866"/>
    <cellStyle name="Calculation 4 10" xfId="6867"/>
    <cellStyle name="Calculation 4 11" xfId="6868"/>
    <cellStyle name="Calculation 4 12" xfId="6869"/>
    <cellStyle name="Calculation 4 2" xfId="6870"/>
    <cellStyle name="Calculation 4 2 10" xfId="6871"/>
    <cellStyle name="Calculation 4 2 11" xfId="6872"/>
    <cellStyle name="Calculation 4 2 2" xfId="6873"/>
    <cellStyle name="Calculation 4 2 2 10" xfId="6874"/>
    <cellStyle name="Calculation 4 2 2 2" xfId="6875"/>
    <cellStyle name="Calculation 4 2 2 2 2" xfId="6876"/>
    <cellStyle name="Calculation 4 2 2 2 2 2" xfId="6877"/>
    <cellStyle name="Calculation 4 2 2 2 2 2 2" xfId="6878"/>
    <cellStyle name="Calculation 4 2 2 2 2 2 2 2" xfId="6879"/>
    <cellStyle name="Calculation 4 2 2 2 2 2 3" xfId="6880"/>
    <cellStyle name="Calculation 4 2 2 2 2 2 3 2" xfId="6881"/>
    <cellStyle name="Calculation 4 2 2 2 2 2 4" xfId="6882"/>
    <cellStyle name="Calculation 4 2 2 2 2 2 5" xfId="6883"/>
    <cellStyle name="Calculation 4 2 2 2 2 2 6" xfId="6884"/>
    <cellStyle name="Calculation 4 2 2 2 2 3" xfId="6885"/>
    <cellStyle name="Calculation 4 2 2 2 2 3 2" xfId="6886"/>
    <cellStyle name="Calculation 4 2 2 2 2 4" xfId="6887"/>
    <cellStyle name="Calculation 4 2 2 2 2 4 2" xfId="6888"/>
    <cellStyle name="Calculation 4 2 2 2 2 5" xfId="6889"/>
    <cellStyle name="Calculation 4 2 2 2 2 6" xfId="6890"/>
    <cellStyle name="Calculation 4 2 2 2 2 7" xfId="6891"/>
    <cellStyle name="Calculation 4 2 2 2 3" xfId="6892"/>
    <cellStyle name="Calculation 4 2 2 2 3 2" xfId="6893"/>
    <cellStyle name="Calculation 4 2 2 2 3 2 2" xfId="6894"/>
    <cellStyle name="Calculation 4 2 2 2 3 3" xfId="6895"/>
    <cellStyle name="Calculation 4 2 2 2 3 3 2" xfId="6896"/>
    <cellStyle name="Calculation 4 2 2 2 3 4" xfId="6897"/>
    <cellStyle name="Calculation 4 2 2 2 3 5" xfId="6898"/>
    <cellStyle name="Calculation 4 2 2 2 3 6" xfId="6899"/>
    <cellStyle name="Calculation 4 2 2 2 4" xfId="6900"/>
    <cellStyle name="Calculation 4 2 2 2 4 2" xfId="6901"/>
    <cellStyle name="Calculation 4 2 2 2 5" xfId="6902"/>
    <cellStyle name="Calculation 4 2 2 2 5 2" xfId="6903"/>
    <cellStyle name="Calculation 4 2 2 2 6" xfId="6904"/>
    <cellStyle name="Calculation 4 2 2 2 7" xfId="6905"/>
    <cellStyle name="Calculation 4 2 2 2 8" xfId="6906"/>
    <cellStyle name="Calculation 4 2 2 3" xfId="6907"/>
    <cellStyle name="Calculation 4 2 2 3 2" xfId="6908"/>
    <cellStyle name="Calculation 4 2 2 3 2 2" xfId="6909"/>
    <cellStyle name="Calculation 4 2 2 3 2 2 2" xfId="6910"/>
    <cellStyle name="Calculation 4 2 2 3 2 2 2 2" xfId="6911"/>
    <cellStyle name="Calculation 4 2 2 3 2 2 3" xfId="6912"/>
    <cellStyle name="Calculation 4 2 2 3 2 2 3 2" xfId="6913"/>
    <cellStyle name="Calculation 4 2 2 3 2 2 4" xfId="6914"/>
    <cellStyle name="Calculation 4 2 2 3 2 2 5" xfId="6915"/>
    <cellStyle name="Calculation 4 2 2 3 2 2 6" xfId="6916"/>
    <cellStyle name="Calculation 4 2 2 3 2 3" xfId="6917"/>
    <cellStyle name="Calculation 4 2 2 3 2 3 2" xfId="6918"/>
    <cellStyle name="Calculation 4 2 2 3 2 4" xfId="6919"/>
    <cellStyle name="Calculation 4 2 2 3 2 4 2" xfId="6920"/>
    <cellStyle name="Calculation 4 2 2 3 2 5" xfId="6921"/>
    <cellStyle name="Calculation 4 2 2 3 2 6" xfId="6922"/>
    <cellStyle name="Calculation 4 2 2 3 2 7" xfId="6923"/>
    <cellStyle name="Calculation 4 2 2 3 3" xfId="6924"/>
    <cellStyle name="Calculation 4 2 2 3 3 2" xfId="6925"/>
    <cellStyle name="Calculation 4 2 2 3 3 2 2" xfId="6926"/>
    <cellStyle name="Calculation 4 2 2 3 3 3" xfId="6927"/>
    <cellStyle name="Calculation 4 2 2 3 3 3 2" xfId="6928"/>
    <cellStyle name="Calculation 4 2 2 3 3 4" xfId="6929"/>
    <cellStyle name="Calculation 4 2 2 3 3 5" xfId="6930"/>
    <cellStyle name="Calculation 4 2 2 3 3 6" xfId="6931"/>
    <cellStyle name="Calculation 4 2 2 3 4" xfId="6932"/>
    <cellStyle name="Calculation 4 2 2 3 4 2" xfId="6933"/>
    <cellStyle name="Calculation 4 2 2 3 5" xfId="6934"/>
    <cellStyle name="Calculation 4 2 2 3 5 2" xfId="6935"/>
    <cellStyle name="Calculation 4 2 2 3 6" xfId="6936"/>
    <cellStyle name="Calculation 4 2 2 3 7" xfId="6937"/>
    <cellStyle name="Calculation 4 2 2 3 8" xfId="6938"/>
    <cellStyle name="Calculation 4 2 2 4" xfId="6939"/>
    <cellStyle name="Calculation 4 2 2 4 2" xfId="6940"/>
    <cellStyle name="Calculation 4 2 2 4 2 2" xfId="6941"/>
    <cellStyle name="Calculation 4 2 2 4 2 2 2" xfId="6942"/>
    <cellStyle name="Calculation 4 2 2 4 2 3" xfId="6943"/>
    <cellStyle name="Calculation 4 2 2 4 2 3 2" xfId="6944"/>
    <cellStyle name="Calculation 4 2 2 4 2 4" xfId="6945"/>
    <cellStyle name="Calculation 4 2 2 4 2 5" xfId="6946"/>
    <cellStyle name="Calculation 4 2 2 4 2 6" xfId="6947"/>
    <cellStyle name="Calculation 4 2 2 4 3" xfId="6948"/>
    <cellStyle name="Calculation 4 2 2 4 3 2" xfId="6949"/>
    <cellStyle name="Calculation 4 2 2 4 4" xfId="6950"/>
    <cellStyle name="Calculation 4 2 2 4 4 2" xfId="6951"/>
    <cellStyle name="Calculation 4 2 2 4 5" xfId="6952"/>
    <cellStyle name="Calculation 4 2 2 4 6" xfId="6953"/>
    <cellStyle name="Calculation 4 2 2 4 7" xfId="6954"/>
    <cellStyle name="Calculation 4 2 2 5" xfId="6955"/>
    <cellStyle name="Calculation 4 2 2 5 2" xfId="6956"/>
    <cellStyle name="Calculation 4 2 2 5 2 2" xfId="6957"/>
    <cellStyle name="Calculation 4 2 2 5 3" xfId="6958"/>
    <cellStyle name="Calculation 4 2 2 5 3 2" xfId="6959"/>
    <cellStyle name="Calculation 4 2 2 5 4" xfId="6960"/>
    <cellStyle name="Calculation 4 2 2 5 5" xfId="6961"/>
    <cellStyle name="Calculation 4 2 2 5 6" xfId="6962"/>
    <cellStyle name="Calculation 4 2 2 6" xfId="6963"/>
    <cellStyle name="Calculation 4 2 2 6 2" xfId="6964"/>
    <cellStyle name="Calculation 4 2 2 7" xfId="6965"/>
    <cellStyle name="Calculation 4 2 2 7 2" xfId="6966"/>
    <cellStyle name="Calculation 4 2 2 8" xfId="6967"/>
    <cellStyle name="Calculation 4 2 2 9" xfId="6968"/>
    <cellStyle name="Calculation 4 2 3" xfId="6969"/>
    <cellStyle name="Calculation 4 2 3 2" xfId="6970"/>
    <cellStyle name="Calculation 4 2 3 2 2" xfId="6971"/>
    <cellStyle name="Calculation 4 2 3 2 2 2" xfId="6972"/>
    <cellStyle name="Calculation 4 2 3 2 2 2 2" xfId="6973"/>
    <cellStyle name="Calculation 4 2 3 2 2 3" xfId="6974"/>
    <cellStyle name="Calculation 4 2 3 2 2 3 2" xfId="6975"/>
    <cellStyle name="Calculation 4 2 3 2 2 4" xfId="6976"/>
    <cellStyle name="Calculation 4 2 3 2 2 5" xfId="6977"/>
    <cellStyle name="Calculation 4 2 3 2 2 6" xfId="6978"/>
    <cellStyle name="Calculation 4 2 3 2 3" xfId="6979"/>
    <cellStyle name="Calculation 4 2 3 2 3 2" xfId="6980"/>
    <cellStyle name="Calculation 4 2 3 2 4" xfId="6981"/>
    <cellStyle name="Calculation 4 2 3 2 4 2" xfId="6982"/>
    <cellStyle name="Calculation 4 2 3 2 5" xfId="6983"/>
    <cellStyle name="Calculation 4 2 3 2 6" xfId="6984"/>
    <cellStyle name="Calculation 4 2 3 2 7" xfId="6985"/>
    <cellStyle name="Calculation 4 2 3 3" xfId="6986"/>
    <cellStyle name="Calculation 4 2 3 3 2" xfId="6987"/>
    <cellStyle name="Calculation 4 2 3 3 2 2" xfId="6988"/>
    <cellStyle name="Calculation 4 2 3 3 3" xfId="6989"/>
    <cellStyle name="Calculation 4 2 3 3 3 2" xfId="6990"/>
    <cellStyle name="Calculation 4 2 3 3 4" xfId="6991"/>
    <cellStyle name="Calculation 4 2 3 3 5" xfId="6992"/>
    <cellStyle name="Calculation 4 2 3 3 6" xfId="6993"/>
    <cellStyle name="Calculation 4 2 3 4" xfId="6994"/>
    <cellStyle name="Calculation 4 2 3 4 2" xfId="6995"/>
    <cellStyle name="Calculation 4 2 3 5" xfId="6996"/>
    <cellStyle name="Calculation 4 2 3 5 2" xfId="6997"/>
    <cellStyle name="Calculation 4 2 3 6" xfId="6998"/>
    <cellStyle name="Calculation 4 2 3 7" xfId="6999"/>
    <cellStyle name="Calculation 4 2 3 8" xfId="7000"/>
    <cellStyle name="Calculation 4 2 4" xfId="7001"/>
    <cellStyle name="Calculation 4 2 4 2" xfId="7002"/>
    <cellStyle name="Calculation 4 2 4 2 2" xfId="7003"/>
    <cellStyle name="Calculation 4 2 4 2 2 2" xfId="7004"/>
    <cellStyle name="Calculation 4 2 4 2 2 2 2" xfId="7005"/>
    <cellStyle name="Calculation 4 2 4 2 2 3" xfId="7006"/>
    <cellStyle name="Calculation 4 2 4 2 2 3 2" xfId="7007"/>
    <cellStyle name="Calculation 4 2 4 2 2 4" xfId="7008"/>
    <cellStyle name="Calculation 4 2 4 2 2 5" xfId="7009"/>
    <cellStyle name="Calculation 4 2 4 2 2 6" xfId="7010"/>
    <cellStyle name="Calculation 4 2 4 2 3" xfId="7011"/>
    <cellStyle name="Calculation 4 2 4 2 3 2" xfId="7012"/>
    <cellStyle name="Calculation 4 2 4 2 4" xfId="7013"/>
    <cellStyle name="Calculation 4 2 4 2 4 2" xfId="7014"/>
    <cellStyle name="Calculation 4 2 4 2 5" xfId="7015"/>
    <cellStyle name="Calculation 4 2 4 2 6" xfId="7016"/>
    <cellStyle name="Calculation 4 2 4 2 7" xfId="7017"/>
    <cellStyle name="Calculation 4 2 4 3" xfId="7018"/>
    <cellStyle name="Calculation 4 2 4 3 2" xfId="7019"/>
    <cellStyle name="Calculation 4 2 4 3 2 2" xfId="7020"/>
    <cellStyle name="Calculation 4 2 4 3 3" xfId="7021"/>
    <cellStyle name="Calculation 4 2 4 3 3 2" xfId="7022"/>
    <cellStyle name="Calculation 4 2 4 3 4" xfId="7023"/>
    <cellStyle name="Calculation 4 2 4 3 5" xfId="7024"/>
    <cellStyle name="Calculation 4 2 4 3 6" xfId="7025"/>
    <cellStyle name="Calculation 4 2 4 4" xfId="7026"/>
    <cellStyle name="Calculation 4 2 4 4 2" xfId="7027"/>
    <cellStyle name="Calculation 4 2 4 5" xfId="7028"/>
    <cellStyle name="Calculation 4 2 4 5 2" xfId="7029"/>
    <cellStyle name="Calculation 4 2 4 6" xfId="7030"/>
    <cellStyle name="Calculation 4 2 4 7" xfId="7031"/>
    <cellStyle name="Calculation 4 2 4 8" xfId="7032"/>
    <cellStyle name="Calculation 4 2 5" xfId="7033"/>
    <cellStyle name="Calculation 4 2 5 2" xfId="7034"/>
    <cellStyle name="Calculation 4 2 5 2 2" xfId="7035"/>
    <cellStyle name="Calculation 4 2 5 2 2 2" xfId="7036"/>
    <cellStyle name="Calculation 4 2 5 2 3" xfId="7037"/>
    <cellStyle name="Calculation 4 2 5 2 3 2" xfId="7038"/>
    <cellStyle name="Calculation 4 2 5 2 4" xfId="7039"/>
    <cellStyle name="Calculation 4 2 5 2 5" xfId="7040"/>
    <cellStyle name="Calculation 4 2 5 2 6" xfId="7041"/>
    <cellStyle name="Calculation 4 2 5 3" xfId="7042"/>
    <cellStyle name="Calculation 4 2 5 3 2" xfId="7043"/>
    <cellStyle name="Calculation 4 2 5 4" xfId="7044"/>
    <cellStyle name="Calculation 4 2 5 4 2" xfId="7045"/>
    <cellStyle name="Calculation 4 2 5 5" xfId="7046"/>
    <cellStyle name="Calculation 4 2 5 6" xfId="7047"/>
    <cellStyle name="Calculation 4 2 5 7" xfId="7048"/>
    <cellStyle name="Calculation 4 2 6" xfId="7049"/>
    <cellStyle name="Calculation 4 2 6 2" xfId="7050"/>
    <cellStyle name="Calculation 4 2 6 2 2" xfId="7051"/>
    <cellStyle name="Calculation 4 2 6 3" xfId="7052"/>
    <cellStyle name="Calculation 4 2 6 3 2" xfId="7053"/>
    <cellStyle name="Calculation 4 2 6 4" xfId="7054"/>
    <cellStyle name="Calculation 4 2 6 5" xfId="7055"/>
    <cellStyle name="Calculation 4 2 6 6" xfId="7056"/>
    <cellStyle name="Calculation 4 2 7" xfId="7057"/>
    <cellStyle name="Calculation 4 2 7 2" xfId="7058"/>
    <cellStyle name="Calculation 4 2 8" xfId="7059"/>
    <cellStyle name="Calculation 4 2 8 2" xfId="7060"/>
    <cellStyle name="Calculation 4 2 9" xfId="7061"/>
    <cellStyle name="Calculation 4 3" xfId="7062"/>
    <cellStyle name="Calculation 4 3 10" xfId="7063"/>
    <cellStyle name="Calculation 4 3 2" xfId="7064"/>
    <cellStyle name="Calculation 4 3 2 10" xfId="7065"/>
    <cellStyle name="Calculation 4 3 2 2" xfId="7066"/>
    <cellStyle name="Calculation 4 3 2 2 2" xfId="7067"/>
    <cellStyle name="Calculation 4 3 2 2 2 2" xfId="7068"/>
    <cellStyle name="Calculation 4 3 2 2 2 2 2" xfId="7069"/>
    <cellStyle name="Calculation 4 3 2 2 2 2 2 2" xfId="7070"/>
    <cellStyle name="Calculation 4 3 2 2 2 2 3" xfId="7071"/>
    <cellStyle name="Calculation 4 3 2 2 2 2 3 2" xfId="7072"/>
    <cellStyle name="Calculation 4 3 2 2 2 2 4" xfId="7073"/>
    <cellStyle name="Calculation 4 3 2 2 2 2 5" xfId="7074"/>
    <cellStyle name="Calculation 4 3 2 2 2 2 6" xfId="7075"/>
    <cellStyle name="Calculation 4 3 2 2 2 3" xfId="7076"/>
    <cellStyle name="Calculation 4 3 2 2 2 3 2" xfId="7077"/>
    <cellStyle name="Calculation 4 3 2 2 2 4" xfId="7078"/>
    <cellStyle name="Calculation 4 3 2 2 2 4 2" xfId="7079"/>
    <cellStyle name="Calculation 4 3 2 2 2 5" xfId="7080"/>
    <cellStyle name="Calculation 4 3 2 2 2 6" xfId="7081"/>
    <cellStyle name="Calculation 4 3 2 2 2 7" xfId="7082"/>
    <cellStyle name="Calculation 4 3 2 2 3" xfId="7083"/>
    <cellStyle name="Calculation 4 3 2 2 3 2" xfId="7084"/>
    <cellStyle name="Calculation 4 3 2 2 3 2 2" xfId="7085"/>
    <cellStyle name="Calculation 4 3 2 2 3 3" xfId="7086"/>
    <cellStyle name="Calculation 4 3 2 2 3 3 2" xfId="7087"/>
    <cellStyle name="Calculation 4 3 2 2 3 4" xfId="7088"/>
    <cellStyle name="Calculation 4 3 2 2 3 5" xfId="7089"/>
    <cellStyle name="Calculation 4 3 2 2 3 6" xfId="7090"/>
    <cellStyle name="Calculation 4 3 2 2 4" xfId="7091"/>
    <cellStyle name="Calculation 4 3 2 2 4 2" xfId="7092"/>
    <cellStyle name="Calculation 4 3 2 2 5" xfId="7093"/>
    <cellStyle name="Calculation 4 3 2 2 5 2" xfId="7094"/>
    <cellStyle name="Calculation 4 3 2 2 6" xfId="7095"/>
    <cellStyle name="Calculation 4 3 2 2 7" xfId="7096"/>
    <cellStyle name="Calculation 4 3 2 2 8" xfId="7097"/>
    <cellStyle name="Calculation 4 3 2 3" xfId="7098"/>
    <cellStyle name="Calculation 4 3 2 3 2" xfId="7099"/>
    <cellStyle name="Calculation 4 3 2 3 2 2" xfId="7100"/>
    <cellStyle name="Calculation 4 3 2 3 2 2 2" xfId="7101"/>
    <cellStyle name="Calculation 4 3 2 3 2 2 2 2" xfId="7102"/>
    <cellStyle name="Calculation 4 3 2 3 2 2 3" xfId="7103"/>
    <cellStyle name="Calculation 4 3 2 3 2 2 3 2" xfId="7104"/>
    <cellStyle name="Calculation 4 3 2 3 2 2 4" xfId="7105"/>
    <cellStyle name="Calculation 4 3 2 3 2 2 5" xfId="7106"/>
    <cellStyle name="Calculation 4 3 2 3 2 2 6" xfId="7107"/>
    <cellStyle name="Calculation 4 3 2 3 2 3" xfId="7108"/>
    <cellStyle name="Calculation 4 3 2 3 2 3 2" xfId="7109"/>
    <cellStyle name="Calculation 4 3 2 3 2 4" xfId="7110"/>
    <cellStyle name="Calculation 4 3 2 3 2 4 2" xfId="7111"/>
    <cellStyle name="Calculation 4 3 2 3 2 5" xfId="7112"/>
    <cellStyle name="Calculation 4 3 2 3 2 6" xfId="7113"/>
    <cellStyle name="Calculation 4 3 2 3 2 7" xfId="7114"/>
    <cellStyle name="Calculation 4 3 2 3 3" xfId="7115"/>
    <cellStyle name="Calculation 4 3 2 3 3 2" xfId="7116"/>
    <cellStyle name="Calculation 4 3 2 3 3 2 2" xfId="7117"/>
    <cellStyle name="Calculation 4 3 2 3 3 3" xfId="7118"/>
    <cellStyle name="Calculation 4 3 2 3 3 3 2" xfId="7119"/>
    <cellStyle name="Calculation 4 3 2 3 3 4" xfId="7120"/>
    <cellStyle name="Calculation 4 3 2 3 3 5" xfId="7121"/>
    <cellStyle name="Calculation 4 3 2 3 3 6" xfId="7122"/>
    <cellStyle name="Calculation 4 3 2 3 4" xfId="7123"/>
    <cellStyle name="Calculation 4 3 2 3 4 2" xfId="7124"/>
    <cellStyle name="Calculation 4 3 2 3 5" xfId="7125"/>
    <cellStyle name="Calculation 4 3 2 3 5 2" xfId="7126"/>
    <cellStyle name="Calculation 4 3 2 3 6" xfId="7127"/>
    <cellStyle name="Calculation 4 3 2 3 7" xfId="7128"/>
    <cellStyle name="Calculation 4 3 2 3 8" xfId="7129"/>
    <cellStyle name="Calculation 4 3 2 4" xfId="7130"/>
    <cellStyle name="Calculation 4 3 2 4 2" xfId="7131"/>
    <cellStyle name="Calculation 4 3 2 4 2 2" xfId="7132"/>
    <cellStyle name="Calculation 4 3 2 4 2 2 2" xfId="7133"/>
    <cellStyle name="Calculation 4 3 2 4 2 3" xfId="7134"/>
    <cellStyle name="Calculation 4 3 2 4 2 3 2" xfId="7135"/>
    <cellStyle name="Calculation 4 3 2 4 2 4" xfId="7136"/>
    <cellStyle name="Calculation 4 3 2 4 2 5" xfId="7137"/>
    <cellStyle name="Calculation 4 3 2 4 2 6" xfId="7138"/>
    <cellStyle name="Calculation 4 3 2 4 3" xfId="7139"/>
    <cellStyle name="Calculation 4 3 2 4 3 2" xfId="7140"/>
    <cellStyle name="Calculation 4 3 2 4 4" xfId="7141"/>
    <cellStyle name="Calculation 4 3 2 4 4 2" xfId="7142"/>
    <cellStyle name="Calculation 4 3 2 4 5" xfId="7143"/>
    <cellStyle name="Calculation 4 3 2 4 6" xfId="7144"/>
    <cellStyle name="Calculation 4 3 2 4 7" xfId="7145"/>
    <cellStyle name="Calculation 4 3 2 5" xfId="7146"/>
    <cellStyle name="Calculation 4 3 2 5 2" xfId="7147"/>
    <cellStyle name="Calculation 4 3 2 5 2 2" xfId="7148"/>
    <cellStyle name="Calculation 4 3 2 5 3" xfId="7149"/>
    <cellStyle name="Calculation 4 3 2 5 3 2" xfId="7150"/>
    <cellStyle name="Calculation 4 3 2 5 4" xfId="7151"/>
    <cellStyle name="Calculation 4 3 2 5 5" xfId="7152"/>
    <cellStyle name="Calculation 4 3 2 5 6" xfId="7153"/>
    <cellStyle name="Calculation 4 3 2 6" xfId="7154"/>
    <cellStyle name="Calculation 4 3 2 6 2" xfId="7155"/>
    <cellStyle name="Calculation 4 3 2 7" xfId="7156"/>
    <cellStyle name="Calculation 4 3 2 7 2" xfId="7157"/>
    <cellStyle name="Calculation 4 3 2 8" xfId="7158"/>
    <cellStyle name="Calculation 4 3 2 9" xfId="7159"/>
    <cellStyle name="Calculation 4 3 3" xfId="7160"/>
    <cellStyle name="Calculation 4 3 3 2" xfId="7161"/>
    <cellStyle name="Calculation 4 3 3 2 2" xfId="7162"/>
    <cellStyle name="Calculation 4 3 3 2 2 2" xfId="7163"/>
    <cellStyle name="Calculation 4 3 3 2 2 2 2" xfId="7164"/>
    <cellStyle name="Calculation 4 3 3 2 2 3" xfId="7165"/>
    <cellStyle name="Calculation 4 3 3 2 2 3 2" xfId="7166"/>
    <cellStyle name="Calculation 4 3 3 2 2 4" xfId="7167"/>
    <cellStyle name="Calculation 4 3 3 2 2 5" xfId="7168"/>
    <cellStyle name="Calculation 4 3 3 2 2 6" xfId="7169"/>
    <cellStyle name="Calculation 4 3 3 2 3" xfId="7170"/>
    <cellStyle name="Calculation 4 3 3 2 3 2" xfId="7171"/>
    <cellStyle name="Calculation 4 3 3 2 4" xfId="7172"/>
    <cellStyle name="Calculation 4 3 3 2 4 2" xfId="7173"/>
    <cellStyle name="Calculation 4 3 3 2 5" xfId="7174"/>
    <cellStyle name="Calculation 4 3 3 2 6" xfId="7175"/>
    <cellStyle name="Calculation 4 3 3 2 7" xfId="7176"/>
    <cellStyle name="Calculation 4 3 3 3" xfId="7177"/>
    <cellStyle name="Calculation 4 3 3 3 2" xfId="7178"/>
    <cellStyle name="Calculation 4 3 3 3 2 2" xfId="7179"/>
    <cellStyle name="Calculation 4 3 3 3 3" xfId="7180"/>
    <cellStyle name="Calculation 4 3 3 3 3 2" xfId="7181"/>
    <cellStyle name="Calculation 4 3 3 3 4" xfId="7182"/>
    <cellStyle name="Calculation 4 3 3 3 5" xfId="7183"/>
    <cellStyle name="Calculation 4 3 3 3 6" xfId="7184"/>
    <cellStyle name="Calculation 4 3 3 4" xfId="7185"/>
    <cellStyle name="Calculation 4 3 3 4 2" xfId="7186"/>
    <cellStyle name="Calculation 4 3 3 5" xfId="7187"/>
    <cellStyle name="Calculation 4 3 3 5 2" xfId="7188"/>
    <cellStyle name="Calculation 4 3 3 6" xfId="7189"/>
    <cellStyle name="Calculation 4 3 3 7" xfId="7190"/>
    <cellStyle name="Calculation 4 3 3 8" xfId="7191"/>
    <cellStyle name="Calculation 4 3 4" xfId="7192"/>
    <cellStyle name="Calculation 4 3 4 2" xfId="7193"/>
    <cellStyle name="Calculation 4 3 4 2 2" xfId="7194"/>
    <cellStyle name="Calculation 4 3 4 2 2 2" xfId="7195"/>
    <cellStyle name="Calculation 4 3 4 2 3" xfId="7196"/>
    <cellStyle name="Calculation 4 3 4 2 3 2" xfId="7197"/>
    <cellStyle name="Calculation 4 3 4 2 4" xfId="7198"/>
    <cellStyle name="Calculation 4 3 4 2 5" xfId="7199"/>
    <cellStyle name="Calculation 4 3 4 2 6" xfId="7200"/>
    <cellStyle name="Calculation 4 3 4 3" xfId="7201"/>
    <cellStyle name="Calculation 4 3 4 3 2" xfId="7202"/>
    <cellStyle name="Calculation 4 3 4 4" xfId="7203"/>
    <cellStyle name="Calculation 4 3 4 4 2" xfId="7204"/>
    <cellStyle name="Calculation 4 3 4 5" xfId="7205"/>
    <cellStyle name="Calculation 4 3 4 6" xfId="7206"/>
    <cellStyle name="Calculation 4 3 4 7" xfId="7207"/>
    <cellStyle name="Calculation 4 3 5" xfId="7208"/>
    <cellStyle name="Calculation 4 3 5 2" xfId="7209"/>
    <cellStyle name="Calculation 4 3 5 2 2" xfId="7210"/>
    <cellStyle name="Calculation 4 3 5 3" xfId="7211"/>
    <cellStyle name="Calculation 4 3 5 3 2" xfId="7212"/>
    <cellStyle name="Calculation 4 3 5 4" xfId="7213"/>
    <cellStyle name="Calculation 4 3 5 5" xfId="7214"/>
    <cellStyle name="Calculation 4 3 5 6" xfId="7215"/>
    <cellStyle name="Calculation 4 3 6" xfId="7216"/>
    <cellStyle name="Calculation 4 3 6 2" xfId="7217"/>
    <cellStyle name="Calculation 4 3 7" xfId="7218"/>
    <cellStyle name="Calculation 4 3 7 2" xfId="7219"/>
    <cellStyle name="Calculation 4 3 8" xfId="7220"/>
    <cellStyle name="Calculation 4 3 9" xfId="7221"/>
    <cellStyle name="Calculation 4 4" xfId="7222"/>
    <cellStyle name="Calculation 4 4 10" xfId="7223"/>
    <cellStyle name="Calculation 4 4 2" xfId="7224"/>
    <cellStyle name="Calculation 4 4 2 2" xfId="7225"/>
    <cellStyle name="Calculation 4 4 2 2 2" xfId="7226"/>
    <cellStyle name="Calculation 4 4 2 2 2 2" xfId="7227"/>
    <cellStyle name="Calculation 4 4 2 2 2 2 2" xfId="7228"/>
    <cellStyle name="Calculation 4 4 2 2 2 3" xfId="7229"/>
    <cellStyle name="Calculation 4 4 2 2 2 3 2" xfId="7230"/>
    <cellStyle name="Calculation 4 4 2 2 2 4" xfId="7231"/>
    <cellStyle name="Calculation 4 4 2 2 2 5" xfId="7232"/>
    <cellStyle name="Calculation 4 4 2 2 2 6" xfId="7233"/>
    <cellStyle name="Calculation 4 4 2 2 3" xfId="7234"/>
    <cellStyle name="Calculation 4 4 2 2 3 2" xfId="7235"/>
    <cellStyle name="Calculation 4 4 2 2 4" xfId="7236"/>
    <cellStyle name="Calculation 4 4 2 2 4 2" xfId="7237"/>
    <cellStyle name="Calculation 4 4 2 2 5" xfId="7238"/>
    <cellStyle name="Calculation 4 4 2 2 6" xfId="7239"/>
    <cellStyle name="Calculation 4 4 2 2 7" xfId="7240"/>
    <cellStyle name="Calculation 4 4 2 3" xfId="7241"/>
    <cellStyle name="Calculation 4 4 2 3 2" xfId="7242"/>
    <cellStyle name="Calculation 4 4 2 3 2 2" xfId="7243"/>
    <cellStyle name="Calculation 4 4 2 3 3" xfId="7244"/>
    <cellStyle name="Calculation 4 4 2 3 3 2" xfId="7245"/>
    <cellStyle name="Calculation 4 4 2 3 4" xfId="7246"/>
    <cellStyle name="Calculation 4 4 2 3 5" xfId="7247"/>
    <cellStyle name="Calculation 4 4 2 3 6" xfId="7248"/>
    <cellStyle name="Calculation 4 4 2 4" xfId="7249"/>
    <cellStyle name="Calculation 4 4 2 4 2" xfId="7250"/>
    <cellStyle name="Calculation 4 4 2 5" xfId="7251"/>
    <cellStyle name="Calculation 4 4 2 5 2" xfId="7252"/>
    <cellStyle name="Calculation 4 4 2 6" xfId="7253"/>
    <cellStyle name="Calculation 4 4 2 7" xfId="7254"/>
    <cellStyle name="Calculation 4 4 2 8" xfId="7255"/>
    <cellStyle name="Calculation 4 4 3" xfId="7256"/>
    <cellStyle name="Calculation 4 4 3 2" xfId="7257"/>
    <cellStyle name="Calculation 4 4 3 2 2" xfId="7258"/>
    <cellStyle name="Calculation 4 4 3 2 2 2" xfId="7259"/>
    <cellStyle name="Calculation 4 4 3 2 2 2 2" xfId="7260"/>
    <cellStyle name="Calculation 4 4 3 2 2 3" xfId="7261"/>
    <cellStyle name="Calculation 4 4 3 2 2 3 2" xfId="7262"/>
    <cellStyle name="Calculation 4 4 3 2 2 4" xfId="7263"/>
    <cellStyle name="Calculation 4 4 3 2 2 5" xfId="7264"/>
    <cellStyle name="Calculation 4 4 3 2 2 6" xfId="7265"/>
    <cellStyle name="Calculation 4 4 3 2 3" xfId="7266"/>
    <cellStyle name="Calculation 4 4 3 2 3 2" xfId="7267"/>
    <cellStyle name="Calculation 4 4 3 2 4" xfId="7268"/>
    <cellStyle name="Calculation 4 4 3 2 4 2" xfId="7269"/>
    <cellStyle name="Calculation 4 4 3 2 5" xfId="7270"/>
    <cellStyle name="Calculation 4 4 3 2 6" xfId="7271"/>
    <cellStyle name="Calculation 4 4 3 2 7" xfId="7272"/>
    <cellStyle name="Calculation 4 4 3 3" xfId="7273"/>
    <cellStyle name="Calculation 4 4 3 3 2" xfId="7274"/>
    <cellStyle name="Calculation 4 4 3 3 2 2" xfId="7275"/>
    <cellStyle name="Calculation 4 4 3 3 3" xfId="7276"/>
    <cellStyle name="Calculation 4 4 3 3 3 2" xfId="7277"/>
    <cellStyle name="Calculation 4 4 3 3 4" xfId="7278"/>
    <cellStyle name="Calculation 4 4 3 3 5" xfId="7279"/>
    <cellStyle name="Calculation 4 4 3 3 6" xfId="7280"/>
    <cellStyle name="Calculation 4 4 3 4" xfId="7281"/>
    <cellStyle name="Calculation 4 4 3 4 2" xfId="7282"/>
    <cellStyle name="Calculation 4 4 3 5" xfId="7283"/>
    <cellStyle name="Calculation 4 4 3 5 2" xfId="7284"/>
    <cellStyle name="Calculation 4 4 3 6" xfId="7285"/>
    <cellStyle name="Calculation 4 4 3 7" xfId="7286"/>
    <cellStyle name="Calculation 4 4 3 8" xfId="7287"/>
    <cellStyle name="Calculation 4 4 4" xfId="7288"/>
    <cellStyle name="Calculation 4 4 4 2" xfId="7289"/>
    <cellStyle name="Calculation 4 4 4 2 2" xfId="7290"/>
    <cellStyle name="Calculation 4 4 4 2 2 2" xfId="7291"/>
    <cellStyle name="Calculation 4 4 4 2 3" xfId="7292"/>
    <cellStyle name="Calculation 4 4 4 2 3 2" xfId="7293"/>
    <cellStyle name="Calculation 4 4 4 2 4" xfId="7294"/>
    <cellStyle name="Calculation 4 4 4 2 5" xfId="7295"/>
    <cellStyle name="Calculation 4 4 4 2 6" xfId="7296"/>
    <cellStyle name="Calculation 4 4 4 3" xfId="7297"/>
    <cellStyle name="Calculation 4 4 4 3 2" xfId="7298"/>
    <cellStyle name="Calculation 4 4 4 4" xfId="7299"/>
    <cellStyle name="Calculation 4 4 4 4 2" xfId="7300"/>
    <cellStyle name="Calculation 4 4 4 5" xfId="7301"/>
    <cellStyle name="Calculation 4 4 4 6" xfId="7302"/>
    <cellStyle name="Calculation 4 4 4 7" xfId="7303"/>
    <cellStyle name="Calculation 4 4 5" xfId="7304"/>
    <cellStyle name="Calculation 4 4 5 2" xfId="7305"/>
    <cellStyle name="Calculation 4 4 5 2 2" xfId="7306"/>
    <cellStyle name="Calculation 4 4 5 3" xfId="7307"/>
    <cellStyle name="Calculation 4 4 5 3 2" xfId="7308"/>
    <cellStyle name="Calculation 4 4 5 4" xfId="7309"/>
    <cellStyle name="Calculation 4 4 5 5" xfId="7310"/>
    <cellStyle name="Calculation 4 4 5 6" xfId="7311"/>
    <cellStyle name="Calculation 4 4 6" xfId="7312"/>
    <cellStyle name="Calculation 4 4 6 2" xfId="7313"/>
    <cellStyle name="Calculation 4 4 7" xfId="7314"/>
    <cellStyle name="Calculation 4 4 7 2" xfId="7315"/>
    <cellStyle name="Calculation 4 4 8" xfId="7316"/>
    <cellStyle name="Calculation 4 4 9" xfId="7317"/>
    <cellStyle name="Calculation 4 5" xfId="7318"/>
    <cellStyle name="Calculation 4 5 2" xfId="7319"/>
    <cellStyle name="Calculation 4 5 2 2" xfId="7320"/>
    <cellStyle name="Calculation 4 5 2 2 2" xfId="7321"/>
    <cellStyle name="Calculation 4 5 2 2 2 2" xfId="7322"/>
    <cellStyle name="Calculation 4 5 2 2 3" xfId="7323"/>
    <cellStyle name="Calculation 4 5 2 2 3 2" xfId="7324"/>
    <cellStyle name="Calculation 4 5 2 2 4" xfId="7325"/>
    <cellStyle name="Calculation 4 5 2 2 5" xfId="7326"/>
    <cellStyle name="Calculation 4 5 2 2 6" xfId="7327"/>
    <cellStyle name="Calculation 4 5 2 3" xfId="7328"/>
    <cellStyle name="Calculation 4 5 2 3 2" xfId="7329"/>
    <cellStyle name="Calculation 4 5 2 4" xfId="7330"/>
    <cellStyle name="Calculation 4 5 2 4 2" xfId="7331"/>
    <cellStyle name="Calculation 4 5 2 5" xfId="7332"/>
    <cellStyle name="Calculation 4 5 2 6" xfId="7333"/>
    <cellStyle name="Calculation 4 5 2 7" xfId="7334"/>
    <cellStyle name="Calculation 4 5 3" xfId="7335"/>
    <cellStyle name="Calculation 4 5 3 2" xfId="7336"/>
    <cellStyle name="Calculation 4 5 3 2 2" xfId="7337"/>
    <cellStyle name="Calculation 4 5 3 3" xfId="7338"/>
    <cellStyle name="Calculation 4 5 3 3 2" xfId="7339"/>
    <cellStyle name="Calculation 4 5 3 4" xfId="7340"/>
    <cellStyle name="Calculation 4 5 3 5" xfId="7341"/>
    <cellStyle name="Calculation 4 5 3 6" xfId="7342"/>
    <cellStyle name="Calculation 4 5 4" xfId="7343"/>
    <cellStyle name="Calculation 4 5 4 2" xfId="7344"/>
    <cellStyle name="Calculation 4 5 5" xfId="7345"/>
    <cellStyle name="Calculation 4 5 5 2" xfId="7346"/>
    <cellStyle name="Calculation 4 5 6" xfId="7347"/>
    <cellStyle name="Calculation 4 5 7" xfId="7348"/>
    <cellStyle name="Calculation 4 5 8" xfId="7349"/>
    <cellStyle name="Calculation 4 6" xfId="7350"/>
    <cellStyle name="Calculation 4 6 2" xfId="7351"/>
    <cellStyle name="Calculation 4 6 2 2" xfId="7352"/>
    <cellStyle name="Calculation 4 6 2 2 2" xfId="7353"/>
    <cellStyle name="Calculation 4 6 2 3" xfId="7354"/>
    <cellStyle name="Calculation 4 6 2 3 2" xfId="7355"/>
    <cellStyle name="Calculation 4 6 2 4" xfId="7356"/>
    <cellStyle name="Calculation 4 6 2 5" xfId="7357"/>
    <cellStyle name="Calculation 4 6 2 6" xfId="7358"/>
    <cellStyle name="Calculation 4 6 3" xfId="7359"/>
    <cellStyle name="Calculation 4 6 3 2" xfId="7360"/>
    <cellStyle name="Calculation 4 6 4" xfId="7361"/>
    <cellStyle name="Calculation 4 6 4 2" xfId="7362"/>
    <cellStyle name="Calculation 4 6 5" xfId="7363"/>
    <cellStyle name="Calculation 4 6 6" xfId="7364"/>
    <cellStyle name="Calculation 4 6 7" xfId="7365"/>
    <cellStyle name="Calculation 4 7" xfId="7366"/>
    <cellStyle name="Calculation 4 7 2" xfId="7367"/>
    <cellStyle name="Calculation 4 7 2 2" xfId="7368"/>
    <cellStyle name="Calculation 4 7 3" xfId="7369"/>
    <cellStyle name="Calculation 4 7 3 2" xfId="7370"/>
    <cellStyle name="Calculation 4 7 4" xfId="7371"/>
    <cellStyle name="Calculation 4 7 5" xfId="7372"/>
    <cellStyle name="Calculation 4 7 6" xfId="7373"/>
    <cellStyle name="Calculation 4 8" xfId="7374"/>
    <cellStyle name="Calculation 4 8 2" xfId="7375"/>
    <cellStyle name="Calculation 4 9" xfId="7376"/>
    <cellStyle name="Calculation 4 9 2" xfId="7377"/>
    <cellStyle name="Calculation 5" xfId="7378"/>
    <cellStyle name="Calculation 5 10" xfId="7379"/>
    <cellStyle name="Calculation 5 11" xfId="7380"/>
    <cellStyle name="Calculation 5 2" xfId="7381"/>
    <cellStyle name="Calculation 5 2 10" xfId="7382"/>
    <cellStyle name="Calculation 5 2 2" xfId="7383"/>
    <cellStyle name="Calculation 5 2 2 10" xfId="7384"/>
    <cellStyle name="Calculation 5 2 2 2" xfId="7385"/>
    <cellStyle name="Calculation 5 2 2 2 2" xfId="7386"/>
    <cellStyle name="Calculation 5 2 2 2 2 2" xfId="7387"/>
    <cellStyle name="Calculation 5 2 2 2 2 2 2" xfId="7388"/>
    <cellStyle name="Calculation 5 2 2 2 2 2 2 2" xfId="7389"/>
    <cellStyle name="Calculation 5 2 2 2 2 2 3" xfId="7390"/>
    <cellStyle name="Calculation 5 2 2 2 2 2 3 2" xfId="7391"/>
    <cellStyle name="Calculation 5 2 2 2 2 2 4" xfId="7392"/>
    <cellStyle name="Calculation 5 2 2 2 2 2 5" xfId="7393"/>
    <cellStyle name="Calculation 5 2 2 2 2 2 6" xfId="7394"/>
    <cellStyle name="Calculation 5 2 2 2 2 3" xfId="7395"/>
    <cellStyle name="Calculation 5 2 2 2 2 3 2" xfId="7396"/>
    <cellStyle name="Calculation 5 2 2 2 2 4" xfId="7397"/>
    <cellStyle name="Calculation 5 2 2 2 2 4 2" xfId="7398"/>
    <cellStyle name="Calculation 5 2 2 2 2 5" xfId="7399"/>
    <cellStyle name="Calculation 5 2 2 2 2 6" xfId="7400"/>
    <cellStyle name="Calculation 5 2 2 2 2 7" xfId="7401"/>
    <cellStyle name="Calculation 5 2 2 2 3" xfId="7402"/>
    <cellStyle name="Calculation 5 2 2 2 3 2" xfId="7403"/>
    <cellStyle name="Calculation 5 2 2 2 3 2 2" xfId="7404"/>
    <cellStyle name="Calculation 5 2 2 2 3 3" xfId="7405"/>
    <cellStyle name="Calculation 5 2 2 2 3 3 2" xfId="7406"/>
    <cellStyle name="Calculation 5 2 2 2 3 4" xfId="7407"/>
    <cellStyle name="Calculation 5 2 2 2 3 5" xfId="7408"/>
    <cellStyle name="Calculation 5 2 2 2 3 6" xfId="7409"/>
    <cellStyle name="Calculation 5 2 2 2 4" xfId="7410"/>
    <cellStyle name="Calculation 5 2 2 2 4 2" xfId="7411"/>
    <cellStyle name="Calculation 5 2 2 2 5" xfId="7412"/>
    <cellStyle name="Calculation 5 2 2 2 5 2" xfId="7413"/>
    <cellStyle name="Calculation 5 2 2 2 6" xfId="7414"/>
    <cellStyle name="Calculation 5 2 2 2 7" xfId="7415"/>
    <cellStyle name="Calculation 5 2 2 2 8" xfId="7416"/>
    <cellStyle name="Calculation 5 2 2 3" xfId="7417"/>
    <cellStyle name="Calculation 5 2 2 3 2" xfId="7418"/>
    <cellStyle name="Calculation 5 2 2 3 2 2" xfId="7419"/>
    <cellStyle name="Calculation 5 2 2 3 2 2 2" xfId="7420"/>
    <cellStyle name="Calculation 5 2 2 3 2 2 2 2" xfId="7421"/>
    <cellStyle name="Calculation 5 2 2 3 2 2 3" xfId="7422"/>
    <cellStyle name="Calculation 5 2 2 3 2 2 3 2" xfId="7423"/>
    <cellStyle name="Calculation 5 2 2 3 2 2 4" xfId="7424"/>
    <cellStyle name="Calculation 5 2 2 3 2 2 5" xfId="7425"/>
    <cellStyle name="Calculation 5 2 2 3 2 2 6" xfId="7426"/>
    <cellStyle name="Calculation 5 2 2 3 2 3" xfId="7427"/>
    <cellStyle name="Calculation 5 2 2 3 2 3 2" xfId="7428"/>
    <cellStyle name="Calculation 5 2 2 3 2 4" xfId="7429"/>
    <cellStyle name="Calculation 5 2 2 3 2 4 2" xfId="7430"/>
    <cellStyle name="Calculation 5 2 2 3 2 5" xfId="7431"/>
    <cellStyle name="Calculation 5 2 2 3 2 6" xfId="7432"/>
    <cellStyle name="Calculation 5 2 2 3 2 7" xfId="7433"/>
    <cellStyle name="Calculation 5 2 2 3 3" xfId="7434"/>
    <cellStyle name="Calculation 5 2 2 3 3 2" xfId="7435"/>
    <cellStyle name="Calculation 5 2 2 3 3 2 2" xfId="7436"/>
    <cellStyle name="Calculation 5 2 2 3 3 3" xfId="7437"/>
    <cellStyle name="Calculation 5 2 2 3 3 3 2" xfId="7438"/>
    <cellStyle name="Calculation 5 2 2 3 3 4" xfId="7439"/>
    <cellStyle name="Calculation 5 2 2 3 3 5" xfId="7440"/>
    <cellStyle name="Calculation 5 2 2 3 3 6" xfId="7441"/>
    <cellStyle name="Calculation 5 2 2 3 4" xfId="7442"/>
    <cellStyle name="Calculation 5 2 2 3 4 2" xfId="7443"/>
    <cellStyle name="Calculation 5 2 2 3 5" xfId="7444"/>
    <cellStyle name="Calculation 5 2 2 3 5 2" xfId="7445"/>
    <cellStyle name="Calculation 5 2 2 3 6" xfId="7446"/>
    <cellStyle name="Calculation 5 2 2 3 7" xfId="7447"/>
    <cellStyle name="Calculation 5 2 2 3 8" xfId="7448"/>
    <cellStyle name="Calculation 5 2 2 4" xfId="7449"/>
    <cellStyle name="Calculation 5 2 2 4 2" xfId="7450"/>
    <cellStyle name="Calculation 5 2 2 4 2 2" xfId="7451"/>
    <cellStyle name="Calculation 5 2 2 4 2 2 2" xfId="7452"/>
    <cellStyle name="Calculation 5 2 2 4 2 3" xfId="7453"/>
    <cellStyle name="Calculation 5 2 2 4 2 3 2" xfId="7454"/>
    <cellStyle name="Calculation 5 2 2 4 2 4" xfId="7455"/>
    <cellStyle name="Calculation 5 2 2 4 2 5" xfId="7456"/>
    <cellStyle name="Calculation 5 2 2 4 2 6" xfId="7457"/>
    <cellStyle name="Calculation 5 2 2 4 3" xfId="7458"/>
    <cellStyle name="Calculation 5 2 2 4 3 2" xfId="7459"/>
    <cellStyle name="Calculation 5 2 2 4 4" xfId="7460"/>
    <cellStyle name="Calculation 5 2 2 4 4 2" xfId="7461"/>
    <cellStyle name="Calculation 5 2 2 4 5" xfId="7462"/>
    <cellStyle name="Calculation 5 2 2 4 6" xfId="7463"/>
    <cellStyle name="Calculation 5 2 2 4 7" xfId="7464"/>
    <cellStyle name="Calculation 5 2 2 5" xfId="7465"/>
    <cellStyle name="Calculation 5 2 2 5 2" xfId="7466"/>
    <cellStyle name="Calculation 5 2 2 5 2 2" xfId="7467"/>
    <cellStyle name="Calculation 5 2 2 5 3" xfId="7468"/>
    <cellStyle name="Calculation 5 2 2 5 3 2" xfId="7469"/>
    <cellStyle name="Calculation 5 2 2 5 4" xfId="7470"/>
    <cellStyle name="Calculation 5 2 2 5 5" xfId="7471"/>
    <cellStyle name="Calculation 5 2 2 5 6" xfId="7472"/>
    <cellStyle name="Calculation 5 2 2 6" xfId="7473"/>
    <cellStyle name="Calculation 5 2 2 6 2" xfId="7474"/>
    <cellStyle name="Calculation 5 2 2 7" xfId="7475"/>
    <cellStyle name="Calculation 5 2 2 7 2" xfId="7476"/>
    <cellStyle name="Calculation 5 2 2 8" xfId="7477"/>
    <cellStyle name="Calculation 5 2 2 9" xfId="7478"/>
    <cellStyle name="Calculation 5 2 3" xfId="7479"/>
    <cellStyle name="Calculation 5 2 3 2" xfId="7480"/>
    <cellStyle name="Calculation 5 2 3 2 2" xfId="7481"/>
    <cellStyle name="Calculation 5 2 3 2 2 2" xfId="7482"/>
    <cellStyle name="Calculation 5 2 3 2 2 2 2" xfId="7483"/>
    <cellStyle name="Calculation 5 2 3 2 2 3" xfId="7484"/>
    <cellStyle name="Calculation 5 2 3 2 2 3 2" xfId="7485"/>
    <cellStyle name="Calculation 5 2 3 2 2 4" xfId="7486"/>
    <cellStyle name="Calculation 5 2 3 2 2 5" xfId="7487"/>
    <cellStyle name="Calculation 5 2 3 2 2 6" xfId="7488"/>
    <cellStyle name="Calculation 5 2 3 2 3" xfId="7489"/>
    <cellStyle name="Calculation 5 2 3 2 3 2" xfId="7490"/>
    <cellStyle name="Calculation 5 2 3 2 4" xfId="7491"/>
    <cellStyle name="Calculation 5 2 3 2 4 2" xfId="7492"/>
    <cellStyle name="Calculation 5 2 3 2 5" xfId="7493"/>
    <cellStyle name="Calculation 5 2 3 2 6" xfId="7494"/>
    <cellStyle name="Calculation 5 2 3 2 7" xfId="7495"/>
    <cellStyle name="Calculation 5 2 3 3" xfId="7496"/>
    <cellStyle name="Calculation 5 2 3 3 2" xfId="7497"/>
    <cellStyle name="Calculation 5 2 3 3 2 2" xfId="7498"/>
    <cellStyle name="Calculation 5 2 3 3 3" xfId="7499"/>
    <cellStyle name="Calculation 5 2 3 3 3 2" xfId="7500"/>
    <cellStyle name="Calculation 5 2 3 3 4" xfId="7501"/>
    <cellStyle name="Calculation 5 2 3 3 5" xfId="7502"/>
    <cellStyle name="Calculation 5 2 3 3 6" xfId="7503"/>
    <cellStyle name="Calculation 5 2 3 4" xfId="7504"/>
    <cellStyle name="Calculation 5 2 3 4 2" xfId="7505"/>
    <cellStyle name="Calculation 5 2 3 5" xfId="7506"/>
    <cellStyle name="Calculation 5 2 3 5 2" xfId="7507"/>
    <cellStyle name="Calculation 5 2 3 6" xfId="7508"/>
    <cellStyle name="Calculation 5 2 3 7" xfId="7509"/>
    <cellStyle name="Calculation 5 2 3 8" xfId="7510"/>
    <cellStyle name="Calculation 5 2 4" xfId="7511"/>
    <cellStyle name="Calculation 5 2 4 2" xfId="7512"/>
    <cellStyle name="Calculation 5 2 4 2 2" xfId="7513"/>
    <cellStyle name="Calculation 5 2 4 2 2 2" xfId="7514"/>
    <cellStyle name="Calculation 5 2 4 2 3" xfId="7515"/>
    <cellStyle name="Calculation 5 2 4 2 3 2" xfId="7516"/>
    <cellStyle name="Calculation 5 2 4 2 4" xfId="7517"/>
    <cellStyle name="Calculation 5 2 4 2 5" xfId="7518"/>
    <cellStyle name="Calculation 5 2 4 2 6" xfId="7519"/>
    <cellStyle name="Calculation 5 2 4 3" xfId="7520"/>
    <cellStyle name="Calculation 5 2 4 3 2" xfId="7521"/>
    <cellStyle name="Calculation 5 2 4 4" xfId="7522"/>
    <cellStyle name="Calculation 5 2 4 4 2" xfId="7523"/>
    <cellStyle name="Calculation 5 2 4 5" xfId="7524"/>
    <cellStyle name="Calculation 5 2 4 6" xfId="7525"/>
    <cellStyle name="Calculation 5 2 4 7" xfId="7526"/>
    <cellStyle name="Calculation 5 2 5" xfId="7527"/>
    <cellStyle name="Calculation 5 2 5 2" xfId="7528"/>
    <cellStyle name="Calculation 5 2 5 2 2" xfId="7529"/>
    <cellStyle name="Calculation 5 2 5 3" xfId="7530"/>
    <cellStyle name="Calculation 5 2 5 3 2" xfId="7531"/>
    <cellStyle name="Calculation 5 2 5 4" xfId="7532"/>
    <cellStyle name="Calculation 5 2 5 5" xfId="7533"/>
    <cellStyle name="Calculation 5 2 5 6" xfId="7534"/>
    <cellStyle name="Calculation 5 2 6" xfId="7535"/>
    <cellStyle name="Calculation 5 2 6 2" xfId="7536"/>
    <cellStyle name="Calculation 5 2 7" xfId="7537"/>
    <cellStyle name="Calculation 5 2 7 2" xfId="7538"/>
    <cellStyle name="Calculation 5 2 8" xfId="7539"/>
    <cellStyle name="Calculation 5 2 9" xfId="7540"/>
    <cellStyle name="Calculation 5 3" xfId="7541"/>
    <cellStyle name="Calculation 5 3 10" xfId="7542"/>
    <cellStyle name="Calculation 5 3 2" xfId="7543"/>
    <cellStyle name="Calculation 5 3 2 2" xfId="7544"/>
    <cellStyle name="Calculation 5 3 2 2 2" xfId="7545"/>
    <cellStyle name="Calculation 5 3 2 2 2 2" xfId="7546"/>
    <cellStyle name="Calculation 5 3 2 2 2 2 2" xfId="7547"/>
    <cellStyle name="Calculation 5 3 2 2 2 3" xfId="7548"/>
    <cellStyle name="Calculation 5 3 2 2 2 3 2" xfId="7549"/>
    <cellStyle name="Calculation 5 3 2 2 2 4" xfId="7550"/>
    <cellStyle name="Calculation 5 3 2 2 2 5" xfId="7551"/>
    <cellStyle name="Calculation 5 3 2 2 2 6" xfId="7552"/>
    <cellStyle name="Calculation 5 3 2 2 3" xfId="7553"/>
    <cellStyle name="Calculation 5 3 2 2 3 2" xfId="7554"/>
    <cellStyle name="Calculation 5 3 2 2 4" xfId="7555"/>
    <cellStyle name="Calculation 5 3 2 2 4 2" xfId="7556"/>
    <cellStyle name="Calculation 5 3 2 2 5" xfId="7557"/>
    <cellStyle name="Calculation 5 3 2 2 6" xfId="7558"/>
    <cellStyle name="Calculation 5 3 2 2 7" xfId="7559"/>
    <cellStyle name="Calculation 5 3 2 3" xfId="7560"/>
    <cellStyle name="Calculation 5 3 2 3 2" xfId="7561"/>
    <cellStyle name="Calculation 5 3 2 3 2 2" xfId="7562"/>
    <cellStyle name="Calculation 5 3 2 3 3" xfId="7563"/>
    <cellStyle name="Calculation 5 3 2 3 3 2" xfId="7564"/>
    <cellStyle name="Calculation 5 3 2 3 4" xfId="7565"/>
    <cellStyle name="Calculation 5 3 2 3 5" xfId="7566"/>
    <cellStyle name="Calculation 5 3 2 3 6" xfId="7567"/>
    <cellStyle name="Calculation 5 3 2 4" xfId="7568"/>
    <cellStyle name="Calculation 5 3 2 4 2" xfId="7569"/>
    <cellStyle name="Calculation 5 3 2 5" xfId="7570"/>
    <cellStyle name="Calculation 5 3 2 5 2" xfId="7571"/>
    <cellStyle name="Calculation 5 3 2 6" xfId="7572"/>
    <cellStyle name="Calculation 5 3 2 7" xfId="7573"/>
    <cellStyle name="Calculation 5 3 2 8" xfId="7574"/>
    <cellStyle name="Calculation 5 3 3" xfId="7575"/>
    <cellStyle name="Calculation 5 3 3 2" xfId="7576"/>
    <cellStyle name="Calculation 5 3 3 2 2" xfId="7577"/>
    <cellStyle name="Calculation 5 3 3 2 2 2" xfId="7578"/>
    <cellStyle name="Calculation 5 3 3 2 2 2 2" xfId="7579"/>
    <cellStyle name="Calculation 5 3 3 2 2 3" xfId="7580"/>
    <cellStyle name="Calculation 5 3 3 2 2 3 2" xfId="7581"/>
    <cellStyle name="Calculation 5 3 3 2 2 4" xfId="7582"/>
    <cellStyle name="Calculation 5 3 3 2 2 5" xfId="7583"/>
    <cellStyle name="Calculation 5 3 3 2 2 6" xfId="7584"/>
    <cellStyle name="Calculation 5 3 3 2 3" xfId="7585"/>
    <cellStyle name="Calculation 5 3 3 2 3 2" xfId="7586"/>
    <cellStyle name="Calculation 5 3 3 2 4" xfId="7587"/>
    <cellStyle name="Calculation 5 3 3 2 4 2" xfId="7588"/>
    <cellStyle name="Calculation 5 3 3 2 5" xfId="7589"/>
    <cellStyle name="Calculation 5 3 3 2 6" xfId="7590"/>
    <cellStyle name="Calculation 5 3 3 2 7" xfId="7591"/>
    <cellStyle name="Calculation 5 3 3 3" xfId="7592"/>
    <cellStyle name="Calculation 5 3 3 3 2" xfId="7593"/>
    <cellStyle name="Calculation 5 3 3 3 2 2" xfId="7594"/>
    <cellStyle name="Calculation 5 3 3 3 3" xfId="7595"/>
    <cellStyle name="Calculation 5 3 3 3 3 2" xfId="7596"/>
    <cellStyle name="Calculation 5 3 3 3 4" xfId="7597"/>
    <cellStyle name="Calculation 5 3 3 3 5" xfId="7598"/>
    <cellStyle name="Calculation 5 3 3 3 6" xfId="7599"/>
    <cellStyle name="Calculation 5 3 3 4" xfId="7600"/>
    <cellStyle name="Calculation 5 3 3 4 2" xfId="7601"/>
    <cellStyle name="Calculation 5 3 3 5" xfId="7602"/>
    <cellStyle name="Calculation 5 3 3 5 2" xfId="7603"/>
    <cellStyle name="Calculation 5 3 3 6" xfId="7604"/>
    <cellStyle name="Calculation 5 3 3 7" xfId="7605"/>
    <cellStyle name="Calculation 5 3 3 8" xfId="7606"/>
    <cellStyle name="Calculation 5 3 4" xfId="7607"/>
    <cellStyle name="Calculation 5 3 4 2" xfId="7608"/>
    <cellStyle name="Calculation 5 3 4 2 2" xfId="7609"/>
    <cellStyle name="Calculation 5 3 4 2 2 2" xfId="7610"/>
    <cellStyle name="Calculation 5 3 4 2 3" xfId="7611"/>
    <cellStyle name="Calculation 5 3 4 2 3 2" xfId="7612"/>
    <cellStyle name="Calculation 5 3 4 2 4" xfId="7613"/>
    <cellStyle name="Calculation 5 3 4 2 5" xfId="7614"/>
    <cellStyle name="Calculation 5 3 4 2 6" xfId="7615"/>
    <cellStyle name="Calculation 5 3 4 3" xfId="7616"/>
    <cellStyle name="Calculation 5 3 4 3 2" xfId="7617"/>
    <cellStyle name="Calculation 5 3 4 4" xfId="7618"/>
    <cellStyle name="Calculation 5 3 4 4 2" xfId="7619"/>
    <cellStyle name="Calculation 5 3 4 5" xfId="7620"/>
    <cellStyle name="Calculation 5 3 4 6" xfId="7621"/>
    <cellStyle name="Calculation 5 3 4 7" xfId="7622"/>
    <cellStyle name="Calculation 5 3 5" xfId="7623"/>
    <cellStyle name="Calculation 5 3 5 2" xfId="7624"/>
    <cellStyle name="Calculation 5 3 5 2 2" xfId="7625"/>
    <cellStyle name="Calculation 5 3 5 3" xfId="7626"/>
    <cellStyle name="Calculation 5 3 5 3 2" xfId="7627"/>
    <cellStyle name="Calculation 5 3 5 4" xfId="7628"/>
    <cellStyle name="Calculation 5 3 5 5" xfId="7629"/>
    <cellStyle name="Calculation 5 3 5 6" xfId="7630"/>
    <cellStyle name="Calculation 5 3 6" xfId="7631"/>
    <cellStyle name="Calculation 5 3 6 2" xfId="7632"/>
    <cellStyle name="Calculation 5 3 7" xfId="7633"/>
    <cellStyle name="Calculation 5 3 7 2" xfId="7634"/>
    <cellStyle name="Calculation 5 3 8" xfId="7635"/>
    <cellStyle name="Calculation 5 3 9" xfId="7636"/>
    <cellStyle name="Calculation 5 4" xfId="7637"/>
    <cellStyle name="Calculation 5 4 2" xfId="7638"/>
    <cellStyle name="Calculation 5 4 2 2" xfId="7639"/>
    <cellStyle name="Calculation 5 4 2 2 2" xfId="7640"/>
    <cellStyle name="Calculation 5 4 2 2 2 2" xfId="7641"/>
    <cellStyle name="Calculation 5 4 2 2 3" xfId="7642"/>
    <cellStyle name="Calculation 5 4 2 2 3 2" xfId="7643"/>
    <cellStyle name="Calculation 5 4 2 2 4" xfId="7644"/>
    <cellStyle name="Calculation 5 4 2 2 5" xfId="7645"/>
    <cellStyle name="Calculation 5 4 2 2 6" xfId="7646"/>
    <cellStyle name="Calculation 5 4 2 3" xfId="7647"/>
    <cellStyle name="Calculation 5 4 2 3 2" xfId="7648"/>
    <cellStyle name="Calculation 5 4 2 4" xfId="7649"/>
    <cellStyle name="Calculation 5 4 2 4 2" xfId="7650"/>
    <cellStyle name="Calculation 5 4 2 5" xfId="7651"/>
    <cellStyle name="Calculation 5 4 2 6" xfId="7652"/>
    <cellStyle name="Calculation 5 4 2 7" xfId="7653"/>
    <cellStyle name="Calculation 5 4 3" xfId="7654"/>
    <cellStyle name="Calculation 5 4 3 2" xfId="7655"/>
    <cellStyle name="Calculation 5 4 3 2 2" xfId="7656"/>
    <cellStyle name="Calculation 5 4 3 3" xfId="7657"/>
    <cellStyle name="Calculation 5 4 3 3 2" xfId="7658"/>
    <cellStyle name="Calculation 5 4 3 4" xfId="7659"/>
    <cellStyle name="Calculation 5 4 3 5" xfId="7660"/>
    <cellStyle name="Calculation 5 4 3 6" xfId="7661"/>
    <cellStyle name="Calculation 5 4 4" xfId="7662"/>
    <cellStyle name="Calculation 5 4 4 2" xfId="7663"/>
    <cellStyle name="Calculation 5 4 5" xfId="7664"/>
    <cellStyle name="Calculation 5 4 5 2" xfId="7665"/>
    <cellStyle name="Calculation 5 4 6" xfId="7666"/>
    <cellStyle name="Calculation 5 4 7" xfId="7667"/>
    <cellStyle name="Calculation 5 4 8" xfId="7668"/>
    <cellStyle name="Calculation 5 5" xfId="7669"/>
    <cellStyle name="Calculation 5 5 2" xfId="7670"/>
    <cellStyle name="Calculation 5 5 2 2" xfId="7671"/>
    <cellStyle name="Calculation 5 5 2 2 2" xfId="7672"/>
    <cellStyle name="Calculation 5 5 2 3" xfId="7673"/>
    <cellStyle name="Calculation 5 5 2 3 2" xfId="7674"/>
    <cellStyle name="Calculation 5 5 2 4" xfId="7675"/>
    <cellStyle name="Calculation 5 5 2 5" xfId="7676"/>
    <cellStyle name="Calculation 5 5 2 6" xfId="7677"/>
    <cellStyle name="Calculation 5 5 3" xfId="7678"/>
    <cellStyle name="Calculation 5 5 3 2" xfId="7679"/>
    <cellStyle name="Calculation 5 5 4" xfId="7680"/>
    <cellStyle name="Calculation 5 5 4 2" xfId="7681"/>
    <cellStyle name="Calculation 5 5 5" xfId="7682"/>
    <cellStyle name="Calculation 5 5 6" xfId="7683"/>
    <cellStyle name="Calculation 5 5 7" xfId="7684"/>
    <cellStyle name="Calculation 5 6" xfId="7685"/>
    <cellStyle name="Calculation 5 6 2" xfId="7686"/>
    <cellStyle name="Calculation 5 6 2 2" xfId="7687"/>
    <cellStyle name="Calculation 5 6 3" xfId="7688"/>
    <cellStyle name="Calculation 5 6 3 2" xfId="7689"/>
    <cellStyle name="Calculation 5 6 4" xfId="7690"/>
    <cellStyle name="Calculation 5 6 5" xfId="7691"/>
    <cellStyle name="Calculation 5 6 6" xfId="7692"/>
    <cellStyle name="Calculation 5 7" xfId="7693"/>
    <cellStyle name="Calculation 5 7 2" xfId="7694"/>
    <cellStyle name="Calculation 5 8" xfId="7695"/>
    <cellStyle name="Calculation 5 8 2" xfId="7696"/>
    <cellStyle name="Calculation 5 9" xfId="7697"/>
    <cellStyle name="Calculation 6" xfId="7698"/>
    <cellStyle name="Calculation 6 10" xfId="7699"/>
    <cellStyle name="Calculation 6 2" xfId="7700"/>
    <cellStyle name="Calculation 6 2 2" xfId="7701"/>
    <cellStyle name="Calculation 6 2 2 2" xfId="7702"/>
    <cellStyle name="Calculation 6 2 2 2 2" xfId="7703"/>
    <cellStyle name="Calculation 6 2 2 2 2 2" xfId="7704"/>
    <cellStyle name="Calculation 6 2 2 2 3" xfId="7705"/>
    <cellStyle name="Calculation 6 2 2 2 3 2" xfId="7706"/>
    <cellStyle name="Calculation 6 2 2 2 4" xfId="7707"/>
    <cellStyle name="Calculation 6 2 2 2 5" xfId="7708"/>
    <cellStyle name="Calculation 6 2 2 2 6" xfId="7709"/>
    <cellStyle name="Calculation 6 2 2 3" xfId="7710"/>
    <cellStyle name="Calculation 6 2 2 3 2" xfId="7711"/>
    <cellStyle name="Calculation 6 2 2 4" xfId="7712"/>
    <cellStyle name="Calculation 6 2 2 4 2" xfId="7713"/>
    <cellStyle name="Calculation 6 2 2 5" xfId="7714"/>
    <cellStyle name="Calculation 6 2 2 6" xfId="7715"/>
    <cellStyle name="Calculation 6 2 2 7" xfId="7716"/>
    <cellStyle name="Calculation 6 2 3" xfId="7717"/>
    <cellStyle name="Calculation 6 2 3 2" xfId="7718"/>
    <cellStyle name="Calculation 6 2 3 2 2" xfId="7719"/>
    <cellStyle name="Calculation 6 2 3 3" xfId="7720"/>
    <cellStyle name="Calculation 6 2 3 3 2" xfId="7721"/>
    <cellStyle name="Calculation 6 2 3 4" xfId="7722"/>
    <cellStyle name="Calculation 6 2 3 5" xfId="7723"/>
    <cellStyle name="Calculation 6 2 3 6" xfId="7724"/>
    <cellStyle name="Calculation 6 2 4" xfId="7725"/>
    <cellStyle name="Calculation 6 2 4 2" xfId="7726"/>
    <cellStyle name="Calculation 6 2 5" xfId="7727"/>
    <cellStyle name="Calculation 6 2 5 2" xfId="7728"/>
    <cellStyle name="Calculation 6 2 6" xfId="7729"/>
    <cellStyle name="Calculation 6 2 7" xfId="7730"/>
    <cellStyle name="Calculation 6 2 8" xfId="7731"/>
    <cellStyle name="Calculation 6 3" xfId="7732"/>
    <cellStyle name="Calculation 6 3 2" xfId="7733"/>
    <cellStyle name="Calculation 6 3 2 2" xfId="7734"/>
    <cellStyle name="Calculation 6 3 2 2 2" xfId="7735"/>
    <cellStyle name="Calculation 6 3 2 2 2 2" xfId="7736"/>
    <cellStyle name="Calculation 6 3 2 2 3" xfId="7737"/>
    <cellStyle name="Calculation 6 3 2 2 3 2" xfId="7738"/>
    <cellStyle name="Calculation 6 3 2 2 4" xfId="7739"/>
    <cellStyle name="Calculation 6 3 2 2 5" xfId="7740"/>
    <cellStyle name="Calculation 6 3 2 2 6" xfId="7741"/>
    <cellStyle name="Calculation 6 3 2 3" xfId="7742"/>
    <cellStyle name="Calculation 6 3 2 3 2" xfId="7743"/>
    <cellStyle name="Calculation 6 3 2 4" xfId="7744"/>
    <cellStyle name="Calculation 6 3 2 4 2" xfId="7745"/>
    <cellStyle name="Calculation 6 3 2 5" xfId="7746"/>
    <cellStyle name="Calculation 6 3 2 6" xfId="7747"/>
    <cellStyle name="Calculation 6 3 2 7" xfId="7748"/>
    <cellStyle name="Calculation 6 3 3" xfId="7749"/>
    <cellStyle name="Calculation 6 3 3 2" xfId="7750"/>
    <cellStyle name="Calculation 6 3 3 2 2" xfId="7751"/>
    <cellStyle name="Calculation 6 3 3 3" xfId="7752"/>
    <cellStyle name="Calculation 6 3 3 3 2" xfId="7753"/>
    <cellStyle name="Calculation 6 3 3 4" xfId="7754"/>
    <cellStyle name="Calculation 6 3 3 5" xfId="7755"/>
    <cellStyle name="Calculation 6 3 3 6" xfId="7756"/>
    <cellStyle name="Calculation 6 3 4" xfId="7757"/>
    <cellStyle name="Calculation 6 3 4 2" xfId="7758"/>
    <cellStyle name="Calculation 6 3 5" xfId="7759"/>
    <cellStyle name="Calculation 6 3 5 2" xfId="7760"/>
    <cellStyle name="Calculation 6 3 6" xfId="7761"/>
    <cellStyle name="Calculation 6 3 7" xfId="7762"/>
    <cellStyle name="Calculation 6 3 8" xfId="7763"/>
    <cellStyle name="Calculation 6 4" xfId="7764"/>
    <cellStyle name="Calculation 6 4 2" xfId="7765"/>
    <cellStyle name="Calculation 6 4 2 2" xfId="7766"/>
    <cellStyle name="Calculation 6 4 2 2 2" xfId="7767"/>
    <cellStyle name="Calculation 6 4 2 3" xfId="7768"/>
    <cellStyle name="Calculation 6 4 2 3 2" xfId="7769"/>
    <cellStyle name="Calculation 6 4 2 4" xfId="7770"/>
    <cellStyle name="Calculation 6 4 2 5" xfId="7771"/>
    <cellStyle name="Calculation 6 4 2 6" xfId="7772"/>
    <cellStyle name="Calculation 6 4 3" xfId="7773"/>
    <cellStyle name="Calculation 6 4 3 2" xfId="7774"/>
    <cellStyle name="Calculation 6 4 4" xfId="7775"/>
    <cellStyle name="Calculation 6 4 4 2" xfId="7776"/>
    <cellStyle name="Calculation 6 4 5" xfId="7777"/>
    <cellStyle name="Calculation 6 4 6" xfId="7778"/>
    <cellStyle name="Calculation 6 4 7" xfId="7779"/>
    <cellStyle name="Calculation 6 5" xfId="7780"/>
    <cellStyle name="Calculation 6 5 2" xfId="7781"/>
    <cellStyle name="Calculation 6 5 2 2" xfId="7782"/>
    <cellStyle name="Calculation 6 5 3" xfId="7783"/>
    <cellStyle name="Calculation 6 5 3 2" xfId="7784"/>
    <cellStyle name="Calculation 6 5 4" xfId="7785"/>
    <cellStyle name="Calculation 6 5 5" xfId="7786"/>
    <cellStyle name="Calculation 6 5 6" xfId="7787"/>
    <cellStyle name="Calculation 6 6" xfId="7788"/>
    <cellStyle name="Calculation 6 6 2" xfId="7789"/>
    <cellStyle name="Calculation 6 7" xfId="7790"/>
    <cellStyle name="Calculation 6 7 2" xfId="7791"/>
    <cellStyle name="Calculation 6 8" xfId="7792"/>
    <cellStyle name="Calculation 6 9" xfId="7793"/>
    <cellStyle name="Calculation 7" xfId="7794"/>
    <cellStyle name="Calculation 7 2" xfId="7795"/>
    <cellStyle name="Calculation 7 2 2" xfId="7796"/>
    <cellStyle name="Calculation 7 2 2 2" xfId="7797"/>
    <cellStyle name="Calculation 7 2 2 2 2" xfId="7798"/>
    <cellStyle name="Calculation 7 2 2 3" xfId="7799"/>
    <cellStyle name="Calculation 7 2 2 3 2" xfId="7800"/>
    <cellStyle name="Calculation 7 2 2 4" xfId="7801"/>
    <cellStyle name="Calculation 7 2 2 5" xfId="7802"/>
    <cellStyle name="Calculation 7 2 2 6" xfId="7803"/>
    <cellStyle name="Calculation 7 2 3" xfId="7804"/>
    <cellStyle name="Calculation 7 2 3 2" xfId="7805"/>
    <cellStyle name="Calculation 7 2 4" xfId="7806"/>
    <cellStyle name="Calculation 7 2 4 2" xfId="7807"/>
    <cellStyle name="Calculation 7 2 5" xfId="7808"/>
    <cellStyle name="Calculation 7 2 6" xfId="7809"/>
    <cellStyle name="Calculation 7 2 7" xfId="7810"/>
    <cellStyle name="Calculation 7 3" xfId="7811"/>
    <cellStyle name="Calculation 7 3 2" xfId="7812"/>
    <cellStyle name="Calculation 7 3 2 2" xfId="7813"/>
    <cellStyle name="Calculation 7 3 3" xfId="7814"/>
    <cellStyle name="Calculation 7 3 3 2" xfId="7815"/>
    <cellStyle name="Calculation 7 3 4" xfId="7816"/>
    <cellStyle name="Calculation 7 3 5" xfId="7817"/>
    <cellStyle name="Calculation 7 3 6" xfId="7818"/>
    <cellStyle name="Calculation 7 4" xfId="7819"/>
    <cellStyle name="Calculation 7 4 2" xfId="7820"/>
    <cellStyle name="Calculation 7 5" xfId="7821"/>
    <cellStyle name="Calculation 7 5 2" xfId="7822"/>
    <cellStyle name="Calculation 7 6" xfId="7823"/>
    <cellStyle name="Calculation 7 7" xfId="7824"/>
    <cellStyle name="Calculation 7 8" xfId="7825"/>
    <cellStyle name="Calculation 8" xfId="7826"/>
    <cellStyle name="Calculation 8 2" xfId="7827"/>
    <cellStyle name="Calculation 8 2 2" xfId="7828"/>
    <cellStyle name="Calculation 8 2 2 2" xfId="7829"/>
    <cellStyle name="Calculation 8 2 3" xfId="7830"/>
    <cellStyle name="Calculation 8 2 3 2" xfId="7831"/>
    <cellStyle name="Calculation 8 2 4" xfId="7832"/>
    <cellStyle name="Calculation 8 2 5" xfId="7833"/>
    <cellStyle name="Calculation 8 2 6" xfId="7834"/>
    <cellStyle name="Calculation 8 3" xfId="7835"/>
    <cellStyle name="Calculation 8 3 2" xfId="7836"/>
    <cellStyle name="Calculation 8 4" xfId="7837"/>
    <cellStyle name="Calculation 8 4 2" xfId="7838"/>
    <cellStyle name="Calculation 8 5" xfId="7839"/>
    <cellStyle name="Calculation 8 6" xfId="7840"/>
    <cellStyle name="Calculation 8 7" xfId="7841"/>
    <cellStyle name="Calculation 9" xfId="7842"/>
    <cellStyle name="Calculation 9 2" xfId="7843"/>
    <cellStyle name="category" xfId="7844"/>
    <cellStyle name="category 2" xfId="7845"/>
    <cellStyle name="Check Cell" xfId="7846"/>
    <cellStyle name="Check Cell 2" xfId="7847"/>
    <cellStyle name="Comma" xfId="7848"/>
    <cellStyle name="Comma [0]" xfId="7849"/>
    <cellStyle name="Comma [0] 2" xfId="7850"/>
    <cellStyle name="Comma [0] 2 10" xfId="7851"/>
    <cellStyle name="Comma [0] 2 11" xfId="7852"/>
    <cellStyle name="Comma [0] 2 12" xfId="7853"/>
    <cellStyle name="Comma [0] 2 13" xfId="7854"/>
    <cellStyle name="Comma [0] 2 14" xfId="7855"/>
    <cellStyle name="Comma [0] 2 15" xfId="7856"/>
    <cellStyle name="Comma [0] 2 16" xfId="7857"/>
    <cellStyle name="Comma [0] 2 17" xfId="7858"/>
    <cellStyle name="Comma [0] 2 18" xfId="7859"/>
    <cellStyle name="Comma [0] 2 19" xfId="7860"/>
    <cellStyle name="Comma [0] 2 2" xfId="7861"/>
    <cellStyle name="Comma [0] 2 20" xfId="7862"/>
    <cellStyle name="Comma [0] 2 21" xfId="7863"/>
    <cellStyle name="Comma [0] 2 22" xfId="7864"/>
    <cellStyle name="Comma [0] 2 23" xfId="7865"/>
    <cellStyle name="Comma [0] 2 24" xfId="7866"/>
    <cellStyle name="Comma [0] 2 25" xfId="7867"/>
    <cellStyle name="Comma [0] 2 3" xfId="7868"/>
    <cellStyle name="Comma [0] 2 4" xfId="7869"/>
    <cellStyle name="Comma [0] 2 5" xfId="7870"/>
    <cellStyle name="Comma [0] 2 6" xfId="7871"/>
    <cellStyle name="Comma [0] 2 7" xfId="7872"/>
    <cellStyle name="Comma [0] 2 8" xfId="7873"/>
    <cellStyle name="Comma [0] 2 9" xfId="7874"/>
    <cellStyle name="Comma [0] 3" xfId="7875"/>
    <cellStyle name="Comma [0]_ SG&amp;A Bridge " xfId="7876"/>
    <cellStyle name="comma zerodec" xfId="7877"/>
    <cellStyle name="Comma_ " xfId="7878"/>
    <cellStyle name="Comma0" xfId="7879"/>
    <cellStyle name="Comma0 10" xfId="7880"/>
    <cellStyle name="Comma0 11" xfId="7881"/>
    <cellStyle name="Comma0 12" xfId="7882"/>
    <cellStyle name="Comma0 13" xfId="7883"/>
    <cellStyle name="Comma0 14" xfId="7884"/>
    <cellStyle name="Comma0 15" xfId="7885"/>
    <cellStyle name="Comma0 16" xfId="7886"/>
    <cellStyle name="Comma0 2" xfId="7887"/>
    <cellStyle name="Comma0 2 2" xfId="7888"/>
    <cellStyle name="Comma0 2 3" xfId="7889"/>
    <cellStyle name="Comma0 2 4" xfId="7890"/>
    <cellStyle name="Comma0 2 5" xfId="7891"/>
    <cellStyle name="Comma0 3" xfId="7892"/>
    <cellStyle name="Comma0 4" xfId="7893"/>
    <cellStyle name="Comma0 5" xfId="7894"/>
    <cellStyle name="Comma0 6" xfId="7895"/>
    <cellStyle name="Comma0 7" xfId="7896"/>
    <cellStyle name="Comma0 8" xfId="7897"/>
    <cellStyle name="Comma0 9" xfId="7898"/>
    <cellStyle name="Currency" xfId="7899"/>
    <cellStyle name="Currency " xfId="7900"/>
    <cellStyle name="Currency  2" xfId="7901"/>
    <cellStyle name="Currency  2 2" xfId="7902"/>
    <cellStyle name="Currency  3" xfId="7903"/>
    <cellStyle name="Currency [0]" xfId="7904"/>
    <cellStyle name="Currency [0] 2" xfId="7905"/>
    <cellStyle name="Currency [0]_ SG&amp;A Bridge " xfId="7906"/>
    <cellStyle name="Currency 2" xfId="7907"/>
    <cellStyle name="Currency 2 2" xfId="7908"/>
    <cellStyle name="Currency 2 3" xfId="7909"/>
    <cellStyle name="Currency 2 4" xfId="7910"/>
    <cellStyle name="Currency 2 5" xfId="7911"/>
    <cellStyle name="Currency 2 6" xfId="7912"/>
    <cellStyle name="Currency 2 7" xfId="7913"/>
    <cellStyle name="Currency 3" xfId="7914"/>
    <cellStyle name="Currency 3 2" xfId="7915"/>
    <cellStyle name="Currency 3 3" xfId="7916"/>
    <cellStyle name="Currency 3 4" xfId="7917"/>
    <cellStyle name="Currency 4" xfId="7918"/>
    <cellStyle name="Currency 5" xfId="7919"/>
    <cellStyle name="Currency 6" xfId="7920"/>
    <cellStyle name="Currency 7" xfId="7921"/>
    <cellStyle name="Currency_ " xfId="7922"/>
    <cellStyle name="Currency0" xfId="7923"/>
    <cellStyle name="Currency0 10" xfId="7924"/>
    <cellStyle name="Currency0 11" xfId="7925"/>
    <cellStyle name="Currency0 12" xfId="7926"/>
    <cellStyle name="Currency0 13" xfId="7927"/>
    <cellStyle name="Currency0 14" xfId="7928"/>
    <cellStyle name="Currency0 15" xfId="7929"/>
    <cellStyle name="Currency0 16" xfId="7930"/>
    <cellStyle name="Currency0 2" xfId="7931"/>
    <cellStyle name="Currency0 2 2" xfId="7932"/>
    <cellStyle name="Currency0 2 3" xfId="7933"/>
    <cellStyle name="Currency0 2 4" xfId="7934"/>
    <cellStyle name="Currency0 2 5" xfId="7935"/>
    <cellStyle name="Currency0 2 6" xfId="7936"/>
    <cellStyle name="Currency0 3" xfId="7937"/>
    <cellStyle name="Currency0 3 2" xfId="7938"/>
    <cellStyle name="Currency0 3 3" xfId="7939"/>
    <cellStyle name="Currency0 3 4" xfId="7940"/>
    <cellStyle name="Currency0 4" xfId="7941"/>
    <cellStyle name="Currency0 5" xfId="7942"/>
    <cellStyle name="Currency0 6" xfId="7943"/>
    <cellStyle name="Currency0 7" xfId="7944"/>
    <cellStyle name="Currency0 8" xfId="7945"/>
    <cellStyle name="Currency0 9" xfId="7946"/>
    <cellStyle name="Currency1" xfId="7947"/>
    <cellStyle name="Currency1 2" xfId="7948"/>
    <cellStyle name="Date" xfId="7949"/>
    <cellStyle name="Date 2" xfId="7950"/>
    <cellStyle name="Dezimal [0]_20631" xfId="7951"/>
    <cellStyle name="Dezimal_20631" xfId="7952"/>
    <cellStyle name="Dollar (zero dec)" xfId="7953"/>
    <cellStyle name="Dollars" xfId="7954"/>
    <cellStyle name="Dollars(0)" xfId="7955"/>
    <cellStyle name="Dollars_C31-2501-D_EC-1_Reactor" xfId="7956"/>
    <cellStyle name="Euro" xfId="7957"/>
    <cellStyle name="Explanatory Text" xfId="7958"/>
    <cellStyle name="Explanatory Text 2" xfId="7959"/>
    <cellStyle name="F" xfId="7960"/>
    <cellStyle name="F 2" xfId="7961"/>
    <cellStyle name="F2" xfId="7962"/>
    <cellStyle name="F2 2" xfId="7963"/>
    <cellStyle name="F3" xfId="7964"/>
    <cellStyle name="F3 2" xfId="7965"/>
    <cellStyle name="F4" xfId="7966"/>
    <cellStyle name="F4 2" xfId="7967"/>
    <cellStyle name="F5" xfId="7968"/>
    <cellStyle name="F5 2" xfId="7969"/>
    <cellStyle name="F6" xfId="7970"/>
    <cellStyle name="F6 2" xfId="7971"/>
    <cellStyle name="F7" xfId="7972"/>
    <cellStyle name="F7 2" xfId="7973"/>
    <cellStyle name="F8" xfId="7974"/>
    <cellStyle name="F8 2" xfId="7975"/>
    <cellStyle name="Fixed" xfId="7976"/>
    <cellStyle name="Fixed 10" xfId="7977"/>
    <cellStyle name="Fixed 11" xfId="7978"/>
    <cellStyle name="Fixed 12" xfId="7979"/>
    <cellStyle name="Fixed 13" xfId="7980"/>
    <cellStyle name="Fixed 14" xfId="7981"/>
    <cellStyle name="Fixed 15" xfId="7982"/>
    <cellStyle name="Fixed 16" xfId="7983"/>
    <cellStyle name="Fixed 2" xfId="7984"/>
    <cellStyle name="Fixed 2 2" xfId="7985"/>
    <cellStyle name="Fixed 2 3" xfId="7986"/>
    <cellStyle name="Fixed 2 4" xfId="7987"/>
    <cellStyle name="Fixed 2 5" xfId="7988"/>
    <cellStyle name="Fixed 3" xfId="7989"/>
    <cellStyle name="Fixed 4" xfId="7990"/>
    <cellStyle name="Fixed 5" xfId="7991"/>
    <cellStyle name="Fixed 6" xfId="7992"/>
    <cellStyle name="Fixed 7" xfId="7993"/>
    <cellStyle name="Fixed 8" xfId="7994"/>
    <cellStyle name="Fixed 9" xfId="7995"/>
    <cellStyle name="FORM" xfId="7996"/>
    <cellStyle name="Good" xfId="7997"/>
    <cellStyle name="Good 2" xfId="7998"/>
    <cellStyle name="Good 2 10" xfId="7999"/>
    <cellStyle name="Good 2 11" xfId="8000"/>
    <cellStyle name="Good 2 12" xfId="8001"/>
    <cellStyle name="Good 2 13" xfId="8002"/>
    <cellStyle name="Good 2 14" xfId="8003"/>
    <cellStyle name="Good 2 15" xfId="8004"/>
    <cellStyle name="Good 2 16" xfId="8005"/>
    <cellStyle name="Good 2 17" xfId="8006"/>
    <cellStyle name="Good 2 18" xfId="8007"/>
    <cellStyle name="Good 2 19" xfId="8008"/>
    <cellStyle name="Good 2 2" xfId="8009"/>
    <cellStyle name="Good 2 20" xfId="8010"/>
    <cellStyle name="Good 2 21" xfId="8011"/>
    <cellStyle name="Good 2 22" xfId="8012"/>
    <cellStyle name="Good 2 23" xfId="8013"/>
    <cellStyle name="Good 2 24" xfId="8014"/>
    <cellStyle name="Good 2 25" xfId="8015"/>
    <cellStyle name="Good 2 26" xfId="8016"/>
    <cellStyle name="Good 2 3" xfId="8017"/>
    <cellStyle name="Good 2 4" xfId="8018"/>
    <cellStyle name="Good 2 5" xfId="8019"/>
    <cellStyle name="Good 2 6" xfId="8020"/>
    <cellStyle name="Good 2 7" xfId="8021"/>
    <cellStyle name="Good 2 8" xfId="8022"/>
    <cellStyle name="Good 2 9" xfId="8023"/>
    <cellStyle name="Grey" xfId="8024"/>
    <cellStyle name="Grey 2" xfId="8025"/>
    <cellStyle name="Grey 3" xfId="8026"/>
    <cellStyle name="Grey 4" xfId="8027"/>
    <cellStyle name="Grey 5" xfId="8028"/>
    <cellStyle name="Grey 6" xfId="8029"/>
    <cellStyle name="HEADER" xfId="8030"/>
    <cellStyle name="HEADER 2" xfId="8031"/>
    <cellStyle name="Header1" xfId="8032"/>
    <cellStyle name="header1 2" xfId="8033"/>
    <cellStyle name="Header1 2 2" xfId="8034"/>
    <cellStyle name="Header1 2 3" xfId="8035"/>
    <cellStyle name="Header1 2 4" xfId="8036"/>
    <cellStyle name="Header1 2 5" xfId="8037"/>
    <cellStyle name="Header1 2 6" xfId="8038"/>
    <cellStyle name="header1 3" xfId="8039"/>
    <cellStyle name="header1 4" xfId="8040"/>
    <cellStyle name="header1 5" xfId="8041"/>
    <cellStyle name="header1 6" xfId="8042"/>
    <cellStyle name="Header2" xfId="8043"/>
    <cellStyle name="header2 10" xfId="8044"/>
    <cellStyle name="Header2 2" xfId="8045"/>
    <cellStyle name="Header2 2 2" xfId="8046"/>
    <cellStyle name="Header2 2 2 2" xfId="8047"/>
    <cellStyle name="Header2 2 2 2 2" xfId="8048"/>
    <cellStyle name="Header2 2 2 3" xfId="8049"/>
    <cellStyle name="Header2 2 2 3 2" xfId="8050"/>
    <cellStyle name="Header2 2 2 4" xfId="8051"/>
    <cellStyle name="Header2 2 2 4 2" xfId="8052"/>
    <cellStyle name="Header2 2 2 5" xfId="8053"/>
    <cellStyle name="Header2 2 3" xfId="8054"/>
    <cellStyle name="Header2 2 4" xfId="8055"/>
    <cellStyle name="Header2 2 5" xfId="8056"/>
    <cellStyle name="Header2 2 6" xfId="8057"/>
    <cellStyle name="Header2 3" xfId="8058"/>
    <cellStyle name="Header2 3 2" xfId="8059"/>
    <cellStyle name="Header2 4" xfId="8060"/>
    <cellStyle name="Header2 4 2" xfId="8061"/>
    <cellStyle name="header2 5" xfId="8062"/>
    <cellStyle name="Header2 5 2" xfId="8063"/>
    <cellStyle name="header2 6" xfId="8064"/>
    <cellStyle name="header2 7" xfId="8065"/>
    <cellStyle name="header2 8" xfId="8066"/>
    <cellStyle name="Header2 9" xfId="8067"/>
    <cellStyle name="header3" xfId="8068"/>
    <cellStyle name="header3 2" xfId="8069"/>
    <cellStyle name="heading" xfId="8070"/>
    <cellStyle name="Heading 1" xfId="8071"/>
    <cellStyle name="Heading 1 10" xfId="8072"/>
    <cellStyle name="Heading 1 11" xfId="8073"/>
    <cellStyle name="Heading 1 2" xfId="8074"/>
    <cellStyle name="Heading 1 2 10" xfId="8075"/>
    <cellStyle name="Heading 1 2 2" xfId="8076"/>
    <cellStyle name="Heading 1 2 2 2" xfId="8077"/>
    <cellStyle name="Heading 1 2 2 3" xfId="8078"/>
    <cellStyle name="Heading 1 2 2 4" xfId="8079"/>
    <cellStyle name="Heading 1 2 2 5" xfId="8080"/>
    <cellStyle name="Heading 1 2 2 6" xfId="8081"/>
    <cellStyle name="Heading 1 2 3" xfId="8082"/>
    <cellStyle name="Heading 1 2 4" xfId="8083"/>
    <cellStyle name="Heading 1 2 5" xfId="8084"/>
    <cellStyle name="Heading 1 2 6" xfId="8085"/>
    <cellStyle name="Heading 1 2 7" xfId="8086"/>
    <cellStyle name="Heading 1 2 8" xfId="8087"/>
    <cellStyle name="Heading 1 2 9" xfId="8088"/>
    <cellStyle name="Heading 1 3" xfId="8089"/>
    <cellStyle name="Heading 1 3 2" xfId="8090"/>
    <cellStyle name="Heading 1 3 3" xfId="8091"/>
    <cellStyle name="Heading 1 3 4" xfId="8092"/>
    <cellStyle name="Heading 1 4" xfId="8093"/>
    <cellStyle name="Heading 1 5" xfId="8094"/>
    <cellStyle name="Heading 1 6" xfId="8095"/>
    <cellStyle name="Heading 1 7" xfId="8096"/>
    <cellStyle name="Heading 1 8" xfId="8097"/>
    <cellStyle name="Heading 1 9" xfId="8098"/>
    <cellStyle name="Heading 2" xfId="8099"/>
    <cellStyle name="Heading 2 10" xfId="8100"/>
    <cellStyle name="Heading 2 11" xfId="8101"/>
    <cellStyle name="Heading 2 2" xfId="8102"/>
    <cellStyle name="Heading 2 2 10" xfId="8103"/>
    <cellStyle name="Heading 2 2 2" xfId="8104"/>
    <cellStyle name="Heading 2 2 2 2" xfId="8105"/>
    <cellStyle name="Heading 2 2 2 3" xfId="8106"/>
    <cellStyle name="Heading 2 2 2 4" xfId="8107"/>
    <cellStyle name="Heading 2 2 2 5" xfId="8108"/>
    <cellStyle name="Heading 2 2 2 6" xfId="8109"/>
    <cellStyle name="Heading 2 2 3" xfId="8110"/>
    <cellStyle name="Heading 2 2 4" xfId="8111"/>
    <cellStyle name="Heading 2 2 5" xfId="8112"/>
    <cellStyle name="Heading 2 2 6" xfId="8113"/>
    <cellStyle name="Heading 2 2 7" xfId="8114"/>
    <cellStyle name="Heading 2 2 8" xfId="8115"/>
    <cellStyle name="Heading 2 2 9" xfId="8116"/>
    <cellStyle name="Heading 2 3" xfId="8117"/>
    <cellStyle name="Heading 2 3 2" xfId="8118"/>
    <cellStyle name="Heading 2 3 3" xfId="8119"/>
    <cellStyle name="Heading 2 3 4" xfId="8120"/>
    <cellStyle name="Heading 2 4" xfId="8121"/>
    <cellStyle name="Heading 2 5" xfId="8122"/>
    <cellStyle name="Heading 2 6" xfId="8123"/>
    <cellStyle name="Heading 2 7" xfId="8124"/>
    <cellStyle name="Heading 2 8" xfId="8125"/>
    <cellStyle name="Heading 2 9" xfId="8126"/>
    <cellStyle name="Heading 3" xfId="8127"/>
    <cellStyle name="Heading 3 2" xfId="8128"/>
    <cellStyle name="Heading 3 2 2" xfId="8129"/>
    <cellStyle name="Heading 3 2 3" xfId="8130"/>
    <cellStyle name="Heading 3 2 4" xfId="8131"/>
    <cellStyle name="Heading 3 2 5" xfId="8132"/>
    <cellStyle name="Heading 3 3" xfId="8133"/>
    <cellStyle name="Heading 3 4" xfId="8134"/>
    <cellStyle name="Heading 3 5" xfId="8135"/>
    <cellStyle name="Heading 3 6" xfId="8136"/>
    <cellStyle name="Heading 4" xfId="8137"/>
    <cellStyle name="Heading 4 2" xfId="8138"/>
    <cellStyle name="heading 5" xfId="8139"/>
    <cellStyle name="heading 6" xfId="8140"/>
    <cellStyle name="heading 7" xfId="8141"/>
    <cellStyle name="Heading1" xfId="8142"/>
    <cellStyle name="HEADING1 2" xfId="8143"/>
    <cellStyle name="HEADING1 2 2" xfId="8144"/>
    <cellStyle name="HEADING1 2 3" xfId="8145"/>
    <cellStyle name="HEADING1 2 4" xfId="8146"/>
    <cellStyle name="HEADING1 2 5" xfId="8147"/>
    <cellStyle name="HEADING1 2 6" xfId="8148"/>
    <cellStyle name="HEADING1 3" xfId="8149"/>
    <cellStyle name="HEADING1 4" xfId="8150"/>
    <cellStyle name="HEADING1 5" xfId="8151"/>
    <cellStyle name="HEADING1 6" xfId="8152"/>
    <cellStyle name="Heading2" xfId="8153"/>
    <cellStyle name="HEADING2 2" xfId="8154"/>
    <cellStyle name="HEADING2 2 2" xfId="8155"/>
    <cellStyle name="HEADING2 2 3" xfId="8156"/>
    <cellStyle name="HEADING2 2 4" xfId="8157"/>
    <cellStyle name="HEADING2 2 5" xfId="8158"/>
    <cellStyle name="HEADING2 2 6" xfId="8159"/>
    <cellStyle name="HEADING2 3" xfId="8160"/>
    <cellStyle name="HEADING2 4" xfId="8161"/>
    <cellStyle name="HEADING2 5" xfId="8162"/>
    <cellStyle name="HEADING2 6" xfId="8163"/>
    <cellStyle name="Helv8_PFD4.XLS" xfId="8164"/>
    <cellStyle name="Input" xfId="8165"/>
    <cellStyle name="Input [yellow]" xfId="8166"/>
    <cellStyle name="Input [yellow] 2" xfId="8167"/>
    <cellStyle name="Input [yellow] 2 2" xfId="8168"/>
    <cellStyle name="Input [yellow] 2 2 2" xfId="8169"/>
    <cellStyle name="Input [yellow] 2 2 2 2" xfId="8170"/>
    <cellStyle name="Input [yellow] 2 2 2 2 2" xfId="8171"/>
    <cellStyle name="Input [yellow] 2 2 2 3" xfId="8172"/>
    <cellStyle name="Input [yellow] 2 2 3" xfId="8173"/>
    <cellStyle name="Input [yellow] 2 2 3 2" xfId="8174"/>
    <cellStyle name="Input [yellow] 2 2 4" xfId="8175"/>
    <cellStyle name="Input [yellow] 2 3" xfId="8176"/>
    <cellStyle name="Input [yellow] 2 3 2" xfId="8177"/>
    <cellStyle name="Input [yellow] 2 3 2 2" xfId="8178"/>
    <cellStyle name="Input [yellow] 2 3 2 2 2" xfId="8179"/>
    <cellStyle name="Input [yellow] 2 3 2 3" xfId="8180"/>
    <cellStyle name="Input [yellow] 2 3 3" xfId="8181"/>
    <cellStyle name="Input [yellow] 2 3 3 2" xfId="8182"/>
    <cellStyle name="Input [yellow] 2 3 3 2 2" xfId="8183"/>
    <cellStyle name="Input [yellow] 2 3 3 2 2 2" xfId="8184"/>
    <cellStyle name="Input [yellow] 2 3 3 2 2 2 2" xfId="8185"/>
    <cellStyle name="Input [yellow] 2 3 3 2 2 2 2 2" xfId="8186"/>
    <cellStyle name="Input [yellow] 2 3 3 2 2 2 2 2 2" xfId="8187"/>
    <cellStyle name="Input [yellow] 2 3 3 2 2 2 2 3" xfId="8188"/>
    <cellStyle name="Input [yellow] 2 3 3 2 2 2 3" xfId="8189"/>
    <cellStyle name="Input [yellow] 2 3 3 2 2 2 3 2" xfId="8190"/>
    <cellStyle name="Input [yellow] 2 3 3 2 2 2 4" xfId="8191"/>
    <cellStyle name="Input [yellow] 2 3 3 2 2 3" xfId="8192"/>
    <cellStyle name="Input [yellow] 2 3 3 2 2 3 2" xfId="8193"/>
    <cellStyle name="Input [yellow] 2 3 3 2 2 3 2 2" xfId="8194"/>
    <cellStyle name="Input [yellow] 2 3 3 2 2 3 3" xfId="8195"/>
    <cellStyle name="Input [yellow] 2 3 3 2 2 4" xfId="8196"/>
    <cellStyle name="Input [yellow] 2 3 3 2 2 4 2" xfId="8197"/>
    <cellStyle name="Input [yellow] 2 3 3 2 2 5" xfId="8198"/>
    <cellStyle name="Input [yellow] 2 3 3 2 3" xfId="8199"/>
    <cellStyle name="Input [yellow] 2 3 3 2 3 2" xfId="8200"/>
    <cellStyle name="Input [yellow] 2 3 3 2 3 2 2" xfId="8201"/>
    <cellStyle name="Input [yellow] 2 3 3 2 3 2 2 2" xfId="8202"/>
    <cellStyle name="Input [yellow] 2 3 3 2 3 2 3" xfId="8203"/>
    <cellStyle name="Input [yellow] 2 3 3 2 3 3" xfId="8204"/>
    <cellStyle name="Input [yellow] 2 3 3 2 3 3 2" xfId="8205"/>
    <cellStyle name="Input [yellow] 2 3 3 2 3 4" xfId="8206"/>
    <cellStyle name="Input [yellow] 2 3 3 2 4" xfId="8207"/>
    <cellStyle name="Input [yellow] 2 3 3 2 4 2" xfId="8208"/>
    <cellStyle name="Input [yellow] 2 3 3 2 4 2 2" xfId="8209"/>
    <cellStyle name="Input [yellow] 2 3 3 2 4 3" xfId="8210"/>
    <cellStyle name="Input [yellow] 2 3 3 2 5" xfId="8211"/>
    <cellStyle name="Input [yellow] 2 3 3 2 5 2" xfId="8212"/>
    <cellStyle name="Input [yellow] 2 3 3 2 6" xfId="8213"/>
    <cellStyle name="Input [yellow] 2 3 3 3" xfId="8214"/>
    <cellStyle name="Input [yellow] 2 3 3 3 2" xfId="8215"/>
    <cellStyle name="Input [yellow] 2 3 3 3 2 2" xfId="8216"/>
    <cellStyle name="Input [yellow] 2 3 3 3 2 2 2" xfId="8217"/>
    <cellStyle name="Input [yellow] 2 3 3 3 2 2 2 2" xfId="8218"/>
    <cellStyle name="Input [yellow] 2 3 3 3 2 2 3" xfId="8219"/>
    <cellStyle name="Input [yellow] 2 3 3 3 2 3" xfId="8220"/>
    <cellStyle name="Input [yellow] 2 3 3 3 2 3 2" xfId="8221"/>
    <cellStyle name="Input [yellow] 2 3 3 3 2 4" xfId="8222"/>
    <cellStyle name="Input [yellow] 2 3 3 3 3" xfId="8223"/>
    <cellStyle name="Input [yellow] 2 3 3 3 3 2" xfId="8224"/>
    <cellStyle name="Input [yellow] 2 3 3 3 3 2 2" xfId="8225"/>
    <cellStyle name="Input [yellow] 2 3 3 3 3 3" xfId="8226"/>
    <cellStyle name="Input [yellow] 2 3 3 3 4" xfId="8227"/>
    <cellStyle name="Input [yellow] 2 3 3 3 4 2" xfId="8228"/>
    <cellStyle name="Input [yellow] 2 3 3 3 5" xfId="8229"/>
    <cellStyle name="Input [yellow] 2 3 3 4" xfId="8230"/>
    <cellStyle name="Input [yellow] 2 3 3 4 2" xfId="8231"/>
    <cellStyle name="Input [yellow] 2 3 3 4 2 2" xfId="8232"/>
    <cellStyle name="Input [yellow] 2 3 3 4 2 2 2" xfId="8233"/>
    <cellStyle name="Input [yellow] 2 3 3 4 2 3" xfId="8234"/>
    <cellStyle name="Input [yellow] 2 3 3 4 3" xfId="8235"/>
    <cellStyle name="Input [yellow] 2 3 3 4 3 2" xfId="8236"/>
    <cellStyle name="Input [yellow] 2 3 3 4 4" xfId="8237"/>
    <cellStyle name="Input [yellow] 2 3 3 5" xfId="8238"/>
    <cellStyle name="Input [yellow] 2 3 3 5 2" xfId="8239"/>
    <cellStyle name="Input [yellow] 2 3 3 5 2 2" xfId="8240"/>
    <cellStyle name="Input [yellow] 2 3 3 5 3" xfId="8241"/>
    <cellStyle name="Input [yellow] 2 3 3 6" xfId="8242"/>
    <cellStyle name="Input [yellow] 2 3 3 6 2" xfId="8243"/>
    <cellStyle name="Input [yellow] 2 3 3 7" xfId="8244"/>
    <cellStyle name="Input [yellow] 2 3 4" xfId="8245"/>
    <cellStyle name="Input [yellow] 2 3 4 2" xfId="8246"/>
    <cellStyle name="Input [yellow] 2 3 5" xfId="8247"/>
    <cellStyle name="Input [yellow] 2 4" xfId="8248"/>
    <cellStyle name="Input [yellow] 2 4 10" xfId="8249"/>
    <cellStyle name="Input [yellow] 2 4 2" xfId="8250"/>
    <cellStyle name="Input [yellow] 2 4 2 2" xfId="8251"/>
    <cellStyle name="Input [yellow] 2 4 2 2 2" xfId="8252"/>
    <cellStyle name="Input [yellow] 2 4 2 2 2 2" xfId="8253"/>
    <cellStyle name="Input [yellow] 2 4 2 2 2 2 2" xfId="8254"/>
    <cellStyle name="Input [yellow] 2 4 2 2 2 2 2 2" xfId="8255"/>
    <cellStyle name="Input [yellow] 2 4 2 2 2 2 2 2 2" xfId="8256"/>
    <cellStyle name="Input [yellow] 2 4 2 2 2 2 2 3" xfId="8257"/>
    <cellStyle name="Input [yellow] 2 4 2 2 2 2 3" xfId="8258"/>
    <cellStyle name="Input [yellow] 2 4 2 2 2 2 3 2" xfId="8259"/>
    <cellStyle name="Input [yellow] 2 4 2 2 2 2 4" xfId="8260"/>
    <cellStyle name="Input [yellow] 2 4 2 2 2 3" xfId="8261"/>
    <cellStyle name="Input [yellow] 2 4 2 2 2 3 2" xfId="8262"/>
    <cellStyle name="Input [yellow] 2 4 2 2 2 3 2 2" xfId="8263"/>
    <cellStyle name="Input [yellow] 2 4 2 2 2 3 3" xfId="8264"/>
    <cellStyle name="Input [yellow] 2 4 2 2 2 4" xfId="8265"/>
    <cellStyle name="Input [yellow] 2 4 2 2 2 4 2" xfId="8266"/>
    <cellStyle name="Input [yellow] 2 4 2 2 2 5" xfId="8267"/>
    <cellStyle name="Input [yellow] 2 4 2 2 3" xfId="8268"/>
    <cellStyle name="Input [yellow] 2 4 2 2 3 2" xfId="8269"/>
    <cellStyle name="Input [yellow] 2 4 2 2 3 2 2" xfId="8270"/>
    <cellStyle name="Input [yellow] 2 4 2 2 3 2 2 2" xfId="8271"/>
    <cellStyle name="Input [yellow] 2 4 2 2 3 2 3" xfId="8272"/>
    <cellStyle name="Input [yellow] 2 4 2 2 3 3" xfId="8273"/>
    <cellStyle name="Input [yellow] 2 4 2 2 3 3 2" xfId="8274"/>
    <cellStyle name="Input [yellow] 2 4 2 2 3 4" xfId="8275"/>
    <cellStyle name="Input [yellow] 2 4 2 2 4" xfId="8276"/>
    <cellStyle name="Input [yellow] 2 4 2 2 4 2" xfId="8277"/>
    <cellStyle name="Input [yellow] 2 4 2 2 4 2 2" xfId="8278"/>
    <cellStyle name="Input [yellow] 2 4 2 2 4 3" xfId="8279"/>
    <cellStyle name="Input [yellow] 2 4 2 2 5" xfId="8280"/>
    <cellStyle name="Input [yellow] 2 4 2 2 5 2" xfId="8281"/>
    <cellStyle name="Input [yellow] 2 4 2 2 6" xfId="8282"/>
    <cellStyle name="Input [yellow] 2 4 2 3" xfId="8283"/>
    <cellStyle name="Input [yellow] 2 4 2 3 2" xfId="8284"/>
    <cellStyle name="Input [yellow] 2 4 2 3 2 2" xfId="8285"/>
    <cellStyle name="Input [yellow] 2 4 2 3 2 2 2" xfId="8286"/>
    <cellStyle name="Input [yellow] 2 4 2 3 2 2 2 2" xfId="8287"/>
    <cellStyle name="Input [yellow] 2 4 2 3 2 2 3" xfId="8288"/>
    <cellStyle name="Input [yellow] 2 4 2 3 2 3" xfId="8289"/>
    <cellStyle name="Input [yellow] 2 4 2 3 2 3 2" xfId="8290"/>
    <cellStyle name="Input [yellow] 2 4 2 3 2 4" xfId="8291"/>
    <cellStyle name="Input [yellow] 2 4 2 3 3" xfId="8292"/>
    <cellStyle name="Input [yellow] 2 4 2 3 3 2" xfId="8293"/>
    <cellStyle name="Input [yellow] 2 4 2 3 3 2 2" xfId="8294"/>
    <cellStyle name="Input [yellow] 2 4 2 3 3 3" xfId="8295"/>
    <cellStyle name="Input [yellow] 2 4 2 3 4" xfId="8296"/>
    <cellStyle name="Input [yellow] 2 4 2 3 4 2" xfId="8297"/>
    <cellStyle name="Input [yellow] 2 4 2 3 5" xfId="8298"/>
    <cellStyle name="Input [yellow] 2 4 2 4" xfId="8299"/>
    <cellStyle name="Input [yellow] 2 4 2 4 2" xfId="8300"/>
    <cellStyle name="Input [yellow] 2 4 2 4 2 2" xfId="8301"/>
    <cellStyle name="Input [yellow] 2 4 2 4 2 2 2" xfId="8302"/>
    <cellStyle name="Input [yellow] 2 4 2 4 2 3" xfId="8303"/>
    <cellStyle name="Input [yellow] 2 4 2 4 3" xfId="8304"/>
    <cellStyle name="Input [yellow] 2 4 2 4 3 2" xfId="8305"/>
    <cellStyle name="Input [yellow] 2 4 2 4 4" xfId="8306"/>
    <cellStyle name="Input [yellow] 2 4 2 5" xfId="8307"/>
    <cellStyle name="Input [yellow] 2 4 2 5 2" xfId="8308"/>
    <cellStyle name="Input [yellow] 2 4 2 5 2 2" xfId="8309"/>
    <cellStyle name="Input [yellow] 2 4 2 5 3" xfId="8310"/>
    <cellStyle name="Input [yellow] 2 4 2 6" xfId="8311"/>
    <cellStyle name="Input [yellow] 2 4 2 6 2" xfId="8312"/>
    <cellStyle name="Input [yellow] 2 4 2 7" xfId="8313"/>
    <cellStyle name="Input [yellow] 2 4 3" xfId="8314"/>
    <cellStyle name="Input [yellow] 2 4 3 2" xfId="8315"/>
    <cellStyle name="Input [yellow] 2 4 3 2 2" xfId="8316"/>
    <cellStyle name="Input [yellow] 2 4 3 2 2 2" xfId="8317"/>
    <cellStyle name="Input [yellow] 2 4 3 2 2 2 2" xfId="8318"/>
    <cellStyle name="Input [yellow] 2 4 3 2 2 2 2 2" xfId="8319"/>
    <cellStyle name="Input [yellow] 2 4 3 2 2 2 2 2 2" xfId="8320"/>
    <cellStyle name="Input [yellow] 2 4 3 2 2 2 2 3" xfId="8321"/>
    <cellStyle name="Input [yellow] 2 4 3 2 2 2 3" xfId="8322"/>
    <cellStyle name="Input [yellow] 2 4 3 2 2 2 3 2" xfId="8323"/>
    <cellStyle name="Input [yellow] 2 4 3 2 2 2 4" xfId="8324"/>
    <cellStyle name="Input [yellow] 2 4 3 2 2 3" xfId="8325"/>
    <cellStyle name="Input [yellow] 2 4 3 2 2 3 2" xfId="8326"/>
    <cellStyle name="Input [yellow] 2 4 3 2 2 3 2 2" xfId="8327"/>
    <cellStyle name="Input [yellow] 2 4 3 2 2 3 3" xfId="8328"/>
    <cellStyle name="Input [yellow] 2 4 3 2 2 4" xfId="8329"/>
    <cellStyle name="Input [yellow] 2 4 3 2 2 4 2" xfId="8330"/>
    <cellStyle name="Input [yellow] 2 4 3 2 2 5" xfId="8331"/>
    <cellStyle name="Input [yellow] 2 4 3 2 3" xfId="8332"/>
    <cellStyle name="Input [yellow] 2 4 3 2 3 2" xfId="8333"/>
    <cellStyle name="Input [yellow] 2 4 3 2 3 2 2" xfId="8334"/>
    <cellStyle name="Input [yellow] 2 4 3 2 3 2 2 2" xfId="8335"/>
    <cellStyle name="Input [yellow] 2 4 3 2 3 2 3" xfId="8336"/>
    <cellStyle name="Input [yellow] 2 4 3 2 3 3" xfId="8337"/>
    <cellStyle name="Input [yellow] 2 4 3 2 3 3 2" xfId="8338"/>
    <cellStyle name="Input [yellow] 2 4 3 2 3 4" xfId="8339"/>
    <cellStyle name="Input [yellow] 2 4 3 2 4" xfId="8340"/>
    <cellStyle name="Input [yellow] 2 4 3 2 4 2" xfId="8341"/>
    <cellStyle name="Input [yellow] 2 4 3 2 4 2 2" xfId="8342"/>
    <cellStyle name="Input [yellow] 2 4 3 2 4 3" xfId="8343"/>
    <cellStyle name="Input [yellow] 2 4 3 2 5" xfId="8344"/>
    <cellStyle name="Input [yellow] 2 4 3 2 5 2" xfId="8345"/>
    <cellStyle name="Input [yellow] 2 4 3 2 6" xfId="8346"/>
    <cellStyle name="Input [yellow] 2 4 3 3" xfId="8347"/>
    <cellStyle name="Input [yellow] 2 4 3 3 2" xfId="8348"/>
    <cellStyle name="Input [yellow] 2 4 3 3 2 2" xfId="8349"/>
    <cellStyle name="Input [yellow] 2 4 3 3 2 2 2" xfId="8350"/>
    <cellStyle name="Input [yellow] 2 4 3 3 2 2 2 2" xfId="8351"/>
    <cellStyle name="Input [yellow] 2 4 3 3 2 2 3" xfId="8352"/>
    <cellStyle name="Input [yellow] 2 4 3 3 2 3" xfId="8353"/>
    <cellStyle name="Input [yellow] 2 4 3 3 2 3 2" xfId="8354"/>
    <cellStyle name="Input [yellow] 2 4 3 3 2 4" xfId="8355"/>
    <cellStyle name="Input [yellow] 2 4 3 3 3" xfId="8356"/>
    <cellStyle name="Input [yellow] 2 4 3 3 3 2" xfId="8357"/>
    <cellStyle name="Input [yellow] 2 4 3 3 3 2 2" xfId="8358"/>
    <cellStyle name="Input [yellow] 2 4 3 3 3 3" xfId="8359"/>
    <cellStyle name="Input [yellow] 2 4 3 3 4" xfId="8360"/>
    <cellStyle name="Input [yellow] 2 4 3 3 4 2" xfId="8361"/>
    <cellStyle name="Input [yellow] 2 4 3 3 5" xfId="8362"/>
    <cellStyle name="Input [yellow] 2 4 3 4" xfId="8363"/>
    <cellStyle name="Input [yellow] 2 4 3 4 2" xfId="8364"/>
    <cellStyle name="Input [yellow] 2 4 3 4 2 2" xfId="8365"/>
    <cellStyle name="Input [yellow] 2 4 3 4 2 2 2" xfId="8366"/>
    <cellStyle name="Input [yellow] 2 4 3 4 2 3" xfId="8367"/>
    <cellStyle name="Input [yellow] 2 4 3 4 3" xfId="8368"/>
    <cellStyle name="Input [yellow] 2 4 3 4 3 2" xfId="8369"/>
    <cellStyle name="Input [yellow] 2 4 3 4 4" xfId="8370"/>
    <cellStyle name="Input [yellow] 2 4 3 5" xfId="8371"/>
    <cellStyle name="Input [yellow] 2 4 3 5 2" xfId="8372"/>
    <cellStyle name="Input [yellow] 2 4 3 5 2 2" xfId="8373"/>
    <cellStyle name="Input [yellow] 2 4 3 5 3" xfId="8374"/>
    <cellStyle name="Input [yellow] 2 4 3 6" xfId="8375"/>
    <cellStyle name="Input [yellow] 2 4 3 6 2" xfId="8376"/>
    <cellStyle name="Input [yellow] 2 4 3 7" xfId="8377"/>
    <cellStyle name="Input [yellow] 2 4 4" xfId="8378"/>
    <cellStyle name="Input [yellow] 2 4 4 2" xfId="8379"/>
    <cellStyle name="Input [yellow] 2 4 4 2 2" xfId="8380"/>
    <cellStyle name="Input [yellow] 2 4 4 2 2 2" xfId="8381"/>
    <cellStyle name="Input [yellow] 2 4 4 2 2 2 2" xfId="8382"/>
    <cellStyle name="Input [yellow] 2 4 4 2 2 2 2 2" xfId="8383"/>
    <cellStyle name="Input [yellow] 2 4 4 2 2 2 2 2 2" xfId="8384"/>
    <cellStyle name="Input [yellow] 2 4 4 2 2 2 2 3" xfId="8385"/>
    <cellStyle name="Input [yellow] 2 4 4 2 2 2 3" xfId="8386"/>
    <cellStyle name="Input [yellow] 2 4 4 2 2 2 3 2" xfId="8387"/>
    <cellStyle name="Input [yellow] 2 4 4 2 2 2 4" xfId="8388"/>
    <cellStyle name="Input [yellow] 2 4 4 2 2 3" xfId="8389"/>
    <cellStyle name="Input [yellow] 2 4 4 2 2 3 2" xfId="8390"/>
    <cellStyle name="Input [yellow] 2 4 4 2 2 3 2 2" xfId="8391"/>
    <cellStyle name="Input [yellow] 2 4 4 2 2 3 3" xfId="8392"/>
    <cellStyle name="Input [yellow] 2 4 4 2 2 4" xfId="8393"/>
    <cellStyle name="Input [yellow] 2 4 4 2 2 4 2" xfId="8394"/>
    <cellStyle name="Input [yellow] 2 4 4 2 2 5" xfId="8395"/>
    <cellStyle name="Input [yellow] 2 4 4 2 3" xfId="8396"/>
    <cellStyle name="Input [yellow] 2 4 4 2 3 2" xfId="8397"/>
    <cellStyle name="Input [yellow] 2 4 4 2 3 2 2" xfId="8398"/>
    <cellStyle name="Input [yellow] 2 4 4 2 3 2 2 2" xfId="8399"/>
    <cellStyle name="Input [yellow] 2 4 4 2 3 2 3" xfId="8400"/>
    <cellStyle name="Input [yellow] 2 4 4 2 3 3" xfId="8401"/>
    <cellStyle name="Input [yellow] 2 4 4 2 3 3 2" xfId="8402"/>
    <cellStyle name="Input [yellow] 2 4 4 2 3 4" xfId="8403"/>
    <cellStyle name="Input [yellow] 2 4 4 2 4" xfId="8404"/>
    <cellStyle name="Input [yellow] 2 4 4 2 4 2" xfId="8405"/>
    <cellStyle name="Input [yellow] 2 4 4 2 4 2 2" xfId="8406"/>
    <cellStyle name="Input [yellow] 2 4 4 2 4 3" xfId="8407"/>
    <cellStyle name="Input [yellow] 2 4 4 2 5" xfId="8408"/>
    <cellStyle name="Input [yellow] 2 4 4 2 5 2" xfId="8409"/>
    <cellStyle name="Input [yellow] 2 4 4 2 6" xfId="8410"/>
    <cellStyle name="Input [yellow] 2 4 4 3" xfId="8411"/>
    <cellStyle name="Input [yellow] 2 4 4 3 2" xfId="8412"/>
    <cellStyle name="Input [yellow] 2 4 4 3 2 2" xfId="8413"/>
    <cellStyle name="Input [yellow] 2 4 4 3 2 2 2" xfId="8414"/>
    <cellStyle name="Input [yellow] 2 4 4 3 2 2 2 2" xfId="8415"/>
    <cellStyle name="Input [yellow] 2 4 4 3 2 2 3" xfId="8416"/>
    <cellStyle name="Input [yellow] 2 4 4 3 2 3" xfId="8417"/>
    <cellStyle name="Input [yellow] 2 4 4 3 2 3 2" xfId="8418"/>
    <cellStyle name="Input [yellow] 2 4 4 3 2 4" xfId="8419"/>
    <cellStyle name="Input [yellow] 2 4 4 3 3" xfId="8420"/>
    <cellStyle name="Input [yellow] 2 4 4 3 3 2" xfId="8421"/>
    <cellStyle name="Input [yellow] 2 4 4 3 3 2 2" xfId="8422"/>
    <cellStyle name="Input [yellow] 2 4 4 3 3 3" xfId="8423"/>
    <cellStyle name="Input [yellow] 2 4 4 3 4" xfId="8424"/>
    <cellStyle name="Input [yellow] 2 4 4 3 4 2" xfId="8425"/>
    <cellStyle name="Input [yellow] 2 4 4 3 5" xfId="8426"/>
    <cellStyle name="Input [yellow] 2 4 4 4" xfId="8427"/>
    <cellStyle name="Input [yellow] 2 4 4 4 2" xfId="8428"/>
    <cellStyle name="Input [yellow] 2 4 4 4 2 2" xfId="8429"/>
    <cellStyle name="Input [yellow] 2 4 4 4 2 2 2" xfId="8430"/>
    <cellStyle name="Input [yellow] 2 4 4 4 2 3" xfId="8431"/>
    <cellStyle name="Input [yellow] 2 4 4 4 3" xfId="8432"/>
    <cellStyle name="Input [yellow] 2 4 4 4 3 2" xfId="8433"/>
    <cellStyle name="Input [yellow] 2 4 4 4 4" xfId="8434"/>
    <cellStyle name="Input [yellow] 2 4 4 5" xfId="8435"/>
    <cellStyle name="Input [yellow] 2 4 4 5 2" xfId="8436"/>
    <cellStyle name="Input [yellow] 2 4 4 5 2 2" xfId="8437"/>
    <cellStyle name="Input [yellow] 2 4 4 5 3" xfId="8438"/>
    <cellStyle name="Input [yellow] 2 4 4 6" xfId="8439"/>
    <cellStyle name="Input [yellow] 2 4 4 6 2" xfId="8440"/>
    <cellStyle name="Input [yellow] 2 4 4 7" xfId="8441"/>
    <cellStyle name="Input [yellow] 2 4 5" xfId="8442"/>
    <cellStyle name="Input [yellow] 2 4 5 2" xfId="8443"/>
    <cellStyle name="Input [yellow] 2 4 5 2 2" xfId="8444"/>
    <cellStyle name="Input [yellow] 2 4 5 2 2 2" xfId="8445"/>
    <cellStyle name="Input [yellow] 2 4 5 2 2 2 2" xfId="8446"/>
    <cellStyle name="Input [yellow] 2 4 5 2 2 2 2 2" xfId="8447"/>
    <cellStyle name="Input [yellow] 2 4 5 2 2 2 3" xfId="8448"/>
    <cellStyle name="Input [yellow] 2 4 5 2 2 3" xfId="8449"/>
    <cellStyle name="Input [yellow] 2 4 5 2 2 3 2" xfId="8450"/>
    <cellStyle name="Input [yellow] 2 4 5 2 2 4" xfId="8451"/>
    <cellStyle name="Input [yellow] 2 4 5 2 3" xfId="8452"/>
    <cellStyle name="Input [yellow] 2 4 5 2 3 2" xfId="8453"/>
    <cellStyle name="Input [yellow] 2 4 5 2 3 2 2" xfId="8454"/>
    <cellStyle name="Input [yellow] 2 4 5 2 3 3" xfId="8455"/>
    <cellStyle name="Input [yellow] 2 4 5 2 4" xfId="8456"/>
    <cellStyle name="Input [yellow] 2 4 5 2 4 2" xfId="8457"/>
    <cellStyle name="Input [yellow] 2 4 5 2 5" xfId="8458"/>
    <cellStyle name="Input [yellow] 2 4 5 3" xfId="8459"/>
    <cellStyle name="Input [yellow] 2 4 5 3 2" xfId="8460"/>
    <cellStyle name="Input [yellow] 2 4 5 3 2 2" xfId="8461"/>
    <cellStyle name="Input [yellow] 2 4 5 3 2 2 2" xfId="8462"/>
    <cellStyle name="Input [yellow] 2 4 5 3 2 3" xfId="8463"/>
    <cellStyle name="Input [yellow] 2 4 5 3 3" xfId="8464"/>
    <cellStyle name="Input [yellow] 2 4 5 3 3 2" xfId="8465"/>
    <cellStyle name="Input [yellow] 2 4 5 3 4" xfId="8466"/>
    <cellStyle name="Input [yellow] 2 4 5 4" xfId="8467"/>
    <cellStyle name="Input [yellow] 2 4 5 4 2" xfId="8468"/>
    <cellStyle name="Input [yellow] 2 4 5 4 2 2" xfId="8469"/>
    <cellStyle name="Input [yellow] 2 4 5 4 3" xfId="8470"/>
    <cellStyle name="Input [yellow] 2 4 5 5" xfId="8471"/>
    <cellStyle name="Input [yellow] 2 4 5 5 2" xfId="8472"/>
    <cellStyle name="Input [yellow] 2 4 5 6" xfId="8473"/>
    <cellStyle name="Input [yellow] 2 4 6" xfId="8474"/>
    <cellStyle name="Input [yellow] 2 4 6 2" xfId="8475"/>
    <cellStyle name="Input [yellow] 2 4 6 2 2" xfId="8476"/>
    <cellStyle name="Input [yellow] 2 4 6 2 2 2" xfId="8477"/>
    <cellStyle name="Input [yellow] 2 4 6 2 2 2 2" xfId="8478"/>
    <cellStyle name="Input [yellow] 2 4 6 2 2 3" xfId="8479"/>
    <cellStyle name="Input [yellow] 2 4 6 2 3" xfId="8480"/>
    <cellStyle name="Input [yellow] 2 4 6 2 3 2" xfId="8481"/>
    <cellStyle name="Input [yellow] 2 4 6 2 4" xfId="8482"/>
    <cellStyle name="Input [yellow] 2 4 6 3" xfId="8483"/>
    <cellStyle name="Input [yellow] 2 4 6 3 2" xfId="8484"/>
    <cellStyle name="Input [yellow] 2 4 6 3 2 2" xfId="8485"/>
    <cellStyle name="Input [yellow] 2 4 6 3 3" xfId="8486"/>
    <cellStyle name="Input [yellow] 2 4 6 4" xfId="8487"/>
    <cellStyle name="Input [yellow] 2 4 6 4 2" xfId="8488"/>
    <cellStyle name="Input [yellow] 2 4 6 5" xfId="8489"/>
    <cellStyle name="Input [yellow] 2 4 7" xfId="8490"/>
    <cellStyle name="Input [yellow] 2 4 7 2" xfId="8491"/>
    <cellStyle name="Input [yellow] 2 4 7 2 2" xfId="8492"/>
    <cellStyle name="Input [yellow] 2 4 7 2 2 2" xfId="8493"/>
    <cellStyle name="Input [yellow] 2 4 7 2 3" xfId="8494"/>
    <cellStyle name="Input [yellow] 2 4 7 3" xfId="8495"/>
    <cellStyle name="Input [yellow] 2 4 7 3 2" xfId="8496"/>
    <cellStyle name="Input [yellow] 2 4 7 4" xfId="8497"/>
    <cellStyle name="Input [yellow] 2 4 8" xfId="8498"/>
    <cellStyle name="Input [yellow] 2 4 8 2" xfId="8499"/>
    <cellStyle name="Input [yellow] 2 4 8 2 2" xfId="8500"/>
    <cellStyle name="Input [yellow] 2 4 8 3" xfId="8501"/>
    <cellStyle name="Input [yellow] 2 4 9" xfId="8502"/>
    <cellStyle name="Input [yellow] 2 4 9 2" xfId="8503"/>
    <cellStyle name="Input [yellow] 2 5" xfId="8504"/>
    <cellStyle name="Input [yellow] 2 5 2" xfId="8505"/>
    <cellStyle name="Input [yellow] 2 5 2 2" xfId="8506"/>
    <cellStyle name="Input [yellow] 2 5 2 2 2" xfId="8507"/>
    <cellStyle name="Input [yellow] 2 5 2 2 2 2" xfId="8508"/>
    <cellStyle name="Input [yellow] 2 5 2 2 2 2 2" xfId="8509"/>
    <cellStyle name="Input [yellow] 2 5 2 2 2 2 2 2" xfId="8510"/>
    <cellStyle name="Input [yellow] 2 5 2 2 2 2 2 2 2" xfId="8511"/>
    <cellStyle name="Input [yellow] 2 5 2 2 2 2 2 3" xfId="8512"/>
    <cellStyle name="Input [yellow] 2 5 2 2 2 2 3" xfId="8513"/>
    <cellStyle name="Input [yellow] 2 5 2 2 2 2 3 2" xfId="8514"/>
    <cellStyle name="Input [yellow] 2 5 2 2 2 2 4" xfId="8515"/>
    <cellStyle name="Input [yellow] 2 5 2 2 2 3" xfId="8516"/>
    <cellStyle name="Input [yellow] 2 5 2 2 2 3 2" xfId="8517"/>
    <cellStyle name="Input [yellow] 2 5 2 2 2 3 2 2" xfId="8518"/>
    <cellStyle name="Input [yellow] 2 5 2 2 2 3 3" xfId="8519"/>
    <cellStyle name="Input [yellow] 2 5 2 2 2 4" xfId="8520"/>
    <cellStyle name="Input [yellow] 2 5 2 2 2 4 2" xfId="8521"/>
    <cellStyle name="Input [yellow] 2 5 2 2 2 5" xfId="8522"/>
    <cellStyle name="Input [yellow] 2 5 2 2 3" xfId="8523"/>
    <cellStyle name="Input [yellow] 2 5 2 2 3 2" xfId="8524"/>
    <cellStyle name="Input [yellow] 2 5 2 2 3 2 2" xfId="8525"/>
    <cellStyle name="Input [yellow] 2 5 2 2 3 2 2 2" xfId="8526"/>
    <cellStyle name="Input [yellow] 2 5 2 2 3 2 3" xfId="8527"/>
    <cellStyle name="Input [yellow] 2 5 2 2 3 3" xfId="8528"/>
    <cellStyle name="Input [yellow] 2 5 2 2 3 3 2" xfId="8529"/>
    <cellStyle name="Input [yellow] 2 5 2 2 3 4" xfId="8530"/>
    <cellStyle name="Input [yellow] 2 5 2 2 4" xfId="8531"/>
    <cellStyle name="Input [yellow] 2 5 2 2 4 2" xfId="8532"/>
    <cellStyle name="Input [yellow] 2 5 2 2 4 2 2" xfId="8533"/>
    <cellStyle name="Input [yellow] 2 5 2 2 4 3" xfId="8534"/>
    <cellStyle name="Input [yellow] 2 5 2 2 5" xfId="8535"/>
    <cellStyle name="Input [yellow] 2 5 2 2 5 2" xfId="8536"/>
    <cellStyle name="Input [yellow] 2 5 2 2 6" xfId="8537"/>
    <cellStyle name="Input [yellow] 2 5 2 3" xfId="8538"/>
    <cellStyle name="Input [yellow] 2 5 2 3 2" xfId="8539"/>
    <cellStyle name="Input [yellow] 2 5 2 3 2 2" xfId="8540"/>
    <cellStyle name="Input [yellow] 2 5 2 3 2 2 2" xfId="8541"/>
    <cellStyle name="Input [yellow] 2 5 2 3 2 2 2 2" xfId="8542"/>
    <cellStyle name="Input [yellow] 2 5 2 3 2 2 3" xfId="8543"/>
    <cellStyle name="Input [yellow] 2 5 2 3 2 3" xfId="8544"/>
    <cellStyle name="Input [yellow] 2 5 2 3 2 3 2" xfId="8545"/>
    <cellStyle name="Input [yellow] 2 5 2 3 2 4" xfId="8546"/>
    <cellStyle name="Input [yellow] 2 5 2 3 3" xfId="8547"/>
    <cellStyle name="Input [yellow] 2 5 2 3 3 2" xfId="8548"/>
    <cellStyle name="Input [yellow] 2 5 2 3 3 2 2" xfId="8549"/>
    <cellStyle name="Input [yellow] 2 5 2 3 3 3" xfId="8550"/>
    <cellStyle name="Input [yellow] 2 5 2 3 4" xfId="8551"/>
    <cellStyle name="Input [yellow] 2 5 2 3 4 2" xfId="8552"/>
    <cellStyle name="Input [yellow] 2 5 2 3 5" xfId="8553"/>
    <cellStyle name="Input [yellow] 2 5 2 4" xfId="8554"/>
    <cellStyle name="Input [yellow] 2 5 2 4 2" xfId="8555"/>
    <cellStyle name="Input [yellow] 2 5 2 4 2 2" xfId="8556"/>
    <cellStyle name="Input [yellow] 2 5 2 4 2 2 2" xfId="8557"/>
    <cellStyle name="Input [yellow] 2 5 2 4 2 3" xfId="8558"/>
    <cellStyle name="Input [yellow] 2 5 2 4 3" xfId="8559"/>
    <cellStyle name="Input [yellow] 2 5 2 4 3 2" xfId="8560"/>
    <cellStyle name="Input [yellow] 2 5 2 4 4" xfId="8561"/>
    <cellStyle name="Input [yellow] 2 5 2 5" xfId="8562"/>
    <cellStyle name="Input [yellow] 2 5 2 5 2" xfId="8563"/>
    <cellStyle name="Input [yellow] 2 5 2 5 2 2" xfId="8564"/>
    <cellStyle name="Input [yellow] 2 5 2 5 3" xfId="8565"/>
    <cellStyle name="Input [yellow] 2 5 2 6" xfId="8566"/>
    <cellStyle name="Input [yellow] 2 5 2 6 2" xfId="8567"/>
    <cellStyle name="Input [yellow] 2 5 2 7" xfId="8568"/>
    <cellStyle name="Input [yellow] 2 5 3" xfId="8569"/>
    <cellStyle name="Input [yellow] 2 5 3 2" xfId="8570"/>
    <cellStyle name="Input [yellow] 2 5 3 2 2" xfId="8571"/>
    <cellStyle name="Input [yellow] 2 5 3 2 2 2" xfId="8572"/>
    <cellStyle name="Input [yellow] 2 5 3 2 2 2 2" xfId="8573"/>
    <cellStyle name="Input [yellow] 2 5 3 2 2 2 2 2" xfId="8574"/>
    <cellStyle name="Input [yellow] 2 5 3 2 2 2 2 2 2" xfId="8575"/>
    <cellStyle name="Input [yellow] 2 5 3 2 2 2 2 3" xfId="8576"/>
    <cellStyle name="Input [yellow] 2 5 3 2 2 2 3" xfId="8577"/>
    <cellStyle name="Input [yellow] 2 5 3 2 2 2 3 2" xfId="8578"/>
    <cellStyle name="Input [yellow] 2 5 3 2 2 2 4" xfId="8579"/>
    <cellStyle name="Input [yellow] 2 5 3 2 2 3" xfId="8580"/>
    <cellStyle name="Input [yellow] 2 5 3 2 2 3 2" xfId="8581"/>
    <cellStyle name="Input [yellow] 2 5 3 2 2 3 2 2" xfId="8582"/>
    <cellStyle name="Input [yellow] 2 5 3 2 2 3 3" xfId="8583"/>
    <cellStyle name="Input [yellow] 2 5 3 2 2 4" xfId="8584"/>
    <cellStyle name="Input [yellow] 2 5 3 2 2 4 2" xfId="8585"/>
    <cellStyle name="Input [yellow] 2 5 3 2 2 5" xfId="8586"/>
    <cellStyle name="Input [yellow] 2 5 3 2 3" xfId="8587"/>
    <cellStyle name="Input [yellow] 2 5 3 2 3 2" xfId="8588"/>
    <cellStyle name="Input [yellow] 2 5 3 2 3 2 2" xfId="8589"/>
    <cellStyle name="Input [yellow] 2 5 3 2 3 2 2 2" xfId="8590"/>
    <cellStyle name="Input [yellow] 2 5 3 2 3 2 3" xfId="8591"/>
    <cellStyle name="Input [yellow] 2 5 3 2 3 3" xfId="8592"/>
    <cellStyle name="Input [yellow] 2 5 3 2 3 3 2" xfId="8593"/>
    <cellStyle name="Input [yellow] 2 5 3 2 3 4" xfId="8594"/>
    <cellStyle name="Input [yellow] 2 5 3 2 4" xfId="8595"/>
    <cellStyle name="Input [yellow] 2 5 3 2 4 2" xfId="8596"/>
    <cellStyle name="Input [yellow] 2 5 3 2 4 2 2" xfId="8597"/>
    <cellStyle name="Input [yellow] 2 5 3 2 4 3" xfId="8598"/>
    <cellStyle name="Input [yellow] 2 5 3 2 5" xfId="8599"/>
    <cellStyle name="Input [yellow] 2 5 3 2 5 2" xfId="8600"/>
    <cellStyle name="Input [yellow] 2 5 3 2 6" xfId="8601"/>
    <cellStyle name="Input [yellow] 2 5 3 3" xfId="8602"/>
    <cellStyle name="Input [yellow] 2 5 3 3 2" xfId="8603"/>
    <cellStyle name="Input [yellow] 2 5 3 3 2 2" xfId="8604"/>
    <cellStyle name="Input [yellow] 2 5 3 3 2 2 2" xfId="8605"/>
    <cellStyle name="Input [yellow] 2 5 3 3 2 2 2 2" xfId="8606"/>
    <cellStyle name="Input [yellow] 2 5 3 3 2 2 3" xfId="8607"/>
    <cellStyle name="Input [yellow] 2 5 3 3 2 3" xfId="8608"/>
    <cellStyle name="Input [yellow] 2 5 3 3 2 3 2" xfId="8609"/>
    <cellStyle name="Input [yellow] 2 5 3 3 2 4" xfId="8610"/>
    <cellStyle name="Input [yellow] 2 5 3 3 3" xfId="8611"/>
    <cellStyle name="Input [yellow] 2 5 3 3 3 2" xfId="8612"/>
    <cellStyle name="Input [yellow] 2 5 3 3 3 2 2" xfId="8613"/>
    <cellStyle name="Input [yellow] 2 5 3 3 3 3" xfId="8614"/>
    <cellStyle name="Input [yellow] 2 5 3 3 4" xfId="8615"/>
    <cellStyle name="Input [yellow] 2 5 3 3 4 2" xfId="8616"/>
    <cellStyle name="Input [yellow] 2 5 3 3 5" xfId="8617"/>
    <cellStyle name="Input [yellow] 2 5 3 4" xfId="8618"/>
    <cellStyle name="Input [yellow] 2 5 3 4 2" xfId="8619"/>
    <cellStyle name="Input [yellow] 2 5 3 4 2 2" xfId="8620"/>
    <cellStyle name="Input [yellow] 2 5 3 4 2 2 2" xfId="8621"/>
    <cellStyle name="Input [yellow] 2 5 3 4 2 3" xfId="8622"/>
    <cellStyle name="Input [yellow] 2 5 3 4 3" xfId="8623"/>
    <cellStyle name="Input [yellow] 2 5 3 4 3 2" xfId="8624"/>
    <cellStyle name="Input [yellow] 2 5 3 4 4" xfId="8625"/>
    <cellStyle name="Input [yellow] 2 5 3 5" xfId="8626"/>
    <cellStyle name="Input [yellow] 2 5 3 5 2" xfId="8627"/>
    <cellStyle name="Input [yellow] 2 5 3 5 2 2" xfId="8628"/>
    <cellStyle name="Input [yellow] 2 5 3 5 3" xfId="8629"/>
    <cellStyle name="Input [yellow] 2 5 3 6" xfId="8630"/>
    <cellStyle name="Input [yellow] 2 5 3 6 2" xfId="8631"/>
    <cellStyle name="Input [yellow] 2 5 3 7" xfId="8632"/>
    <cellStyle name="Input [yellow] 2 5 4" xfId="8633"/>
    <cellStyle name="Input [yellow] 2 5 4 2" xfId="8634"/>
    <cellStyle name="Input [yellow] 2 5 4 2 2" xfId="8635"/>
    <cellStyle name="Input [yellow] 2 5 4 2 2 2" xfId="8636"/>
    <cellStyle name="Input [yellow] 2 5 4 2 2 2 2" xfId="8637"/>
    <cellStyle name="Input [yellow] 2 5 4 2 2 2 2 2" xfId="8638"/>
    <cellStyle name="Input [yellow] 2 5 4 2 2 2 3" xfId="8639"/>
    <cellStyle name="Input [yellow] 2 5 4 2 2 3" xfId="8640"/>
    <cellStyle name="Input [yellow] 2 5 4 2 2 3 2" xfId="8641"/>
    <cellStyle name="Input [yellow] 2 5 4 2 2 4" xfId="8642"/>
    <cellStyle name="Input [yellow] 2 5 4 2 3" xfId="8643"/>
    <cellStyle name="Input [yellow] 2 5 4 2 3 2" xfId="8644"/>
    <cellStyle name="Input [yellow] 2 5 4 2 3 2 2" xfId="8645"/>
    <cellStyle name="Input [yellow] 2 5 4 2 3 3" xfId="8646"/>
    <cellStyle name="Input [yellow] 2 5 4 2 4" xfId="8647"/>
    <cellStyle name="Input [yellow] 2 5 4 2 4 2" xfId="8648"/>
    <cellStyle name="Input [yellow] 2 5 4 2 5" xfId="8649"/>
    <cellStyle name="Input [yellow] 2 5 4 3" xfId="8650"/>
    <cellStyle name="Input [yellow] 2 5 4 3 2" xfId="8651"/>
    <cellStyle name="Input [yellow] 2 5 4 3 2 2" xfId="8652"/>
    <cellStyle name="Input [yellow] 2 5 4 3 2 2 2" xfId="8653"/>
    <cellStyle name="Input [yellow] 2 5 4 3 2 3" xfId="8654"/>
    <cellStyle name="Input [yellow] 2 5 4 3 3" xfId="8655"/>
    <cellStyle name="Input [yellow] 2 5 4 3 3 2" xfId="8656"/>
    <cellStyle name="Input [yellow] 2 5 4 3 4" xfId="8657"/>
    <cellStyle name="Input [yellow] 2 5 4 4" xfId="8658"/>
    <cellStyle name="Input [yellow] 2 5 4 4 2" xfId="8659"/>
    <cellStyle name="Input [yellow] 2 5 4 4 2 2" xfId="8660"/>
    <cellStyle name="Input [yellow] 2 5 4 4 3" xfId="8661"/>
    <cellStyle name="Input [yellow] 2 5 4 5" xfId="8662"/>
    <cellStyle name="Input [yellow] 2 5 4 5 2" xfId="8663"/>
    <cellStyle name="Input [yellow] 2 5 4 6" xfId="8664"/>
    <cellStyle name="Input [yellow] 2 5 5" xfId="8665"/>
    <cellStyle name="Input [yellow] 2 5 5 2" xfId="8666"/>
    <cellStyle name="Input [yellow] 2 5 5 2 2" xfId="8667"/>
    <cellStyle name="Input [yellow] 2 5 5 2 2 2" xfId="8668"/>
    <cellStyle name="Input [yellow] 2 5 5 2 2 2 2" xfId="8669"/>
    <cellStyle name="Input [yellow] 2 5 5 2 2 3" xfId="8670"/>
    <cellStyle name="Input [yellow] 2 5 5 2 3" xfId="8671"/>
    <cellStyle name="Input [yellow] 2 5 5 2 3 2" xfId="8672"/>
    <cellStyle name="Input [yellow] 2 5 5 2 4" xfId="8673"/>
    <cellStyle name="Input [yellow] 2 5 5 3" xfId="8674"/>
    <cellStyle name="Input [yellow] 2 5 5 3 2" xfId="8675"/>
    <cellStyle name="Input [yellow] 2 5 5 3 2 2" xfId="8676"/>
    <cellStyle name="Input [yellow] 2 5 5 3 3" xfId="8677"/>
    <cellStyle name="Input [yellow] 2 5 5 4" xfId="8678"/>
    <cellStyle name="Input [yellow] 2 5 5 4 2" xfId="8679"/>
    <cellStyle name="Input [yellow] 2 5 5 5" xfId="8680"/>
    <cellStyle name="Input [yellow] 2 5 6" xfId="8681"/>
    <cellStyle name="Input [yellow] 2 5 6 2" xfId="8682"/>
    <cellStyle name="Input [yellow] 2 5 6 2 2" xfId="8683"/>
    <cellStyle name="Input [yellow] 2 5 6 2 2 2" xfId="8684"/>
    <cellStyle name="Input [yellow] 2 5 6 2 3" xfId="8685"/>
    <cellStyle name="Input [yellow] 2 5 6 3" xfId="8686"/>
    <cellStyle name="Input [yellow] 2 5 6 3 2" xfId="8687"/>
    <cellStyle name="Input [yellow] 2 5 6 4" xfId="8688"/>
    <cellStyle name="Input [yellow] 2 5 7" xfId="8689"/>
    <cellStyle name="Input [yellow] 2 5 7 2" xfId="8690"/>
    <cellStyle name="Input [yellow] 2 5 7 2 2" xfId="8691"/>
    <cellStyle name="Input [yellow] 2 5 7 3" xfId="8692"/>
    <cellStyle name="Input [yellow] 2 5 8" xfId="8693"/>
    <cellStyle name="Input [yellow] 2 5 8 2" xfId="8694"/>
    <cellStyle name="Input [yellow] 2 5 9" xfId="8695"/>
    <cellStyle name="Input [yellow] 2 6" xfId="8696"/>
    <cellStyle name="Input [yellow] 2 6 2" xfId="8697"/>
    <cellStyle name="Input [yellow] 2 6 2 2" xfId="8698"/>
    <cellStyle name="Input [yellow] 2 6 2 2 2" xfId="8699"/>
    <cellStyle name="Input [yellow] 2 6 2 2 2 2" xfId="8700"/>
    <cellStyle name="Input [yellow] 2 6 2 2 2 2 2" xfId="8701"/>
    <cellStyle name="Input [yellow] 2 6 2 2 2 2 2 2" xfId="8702"/>
    <cellStyle name="Input [yellow] 2 6 2 2 2 2 3" xfId="8703"/>
    <cellStyle name="Input [yellow] 2 6 2 2 2 3" xfId="8704"/>
    <cellStyle name="Input [yellow] 2 6 2 2 2 3 2" xfId="8705"/>
    <cellStyle name="Input [yellow] 2 6 2 2 2 4" xfId="8706"/>
    <cellStyle name="Input [yellow] 2 6 2 2 3" xfId="8707"/>
    <cellStyle name="Input [yellow] 2 6 2 2 3 2" xfId="8708"/>
    <cellStyle name="Input [yellow] 2 6 2 2 3 2 2" xfId="8709"/>
    <cellStyle name="Input [yellow] 2 6 2 2 3 3" xfId="8710"/>
    <cellStyle name="Input [yellow] 2 6 2 2 4" xfId="8711"/>
    <cellStyle name="Input [yellow] 2 6 2 2 4 2" xfId="8712"/>
    <cellStyle name="Input [yellow] 2 6 2 2 5" xfId="8713"/>
    <cellStyle name="Input [yellow] 2 6 2 3" xfId="8714"/>
    <cellStyle name="Input [yellow] 2 6 2 3 2" xfId="8715"/>
    <cellStyle name="Input [yellow] 2 6 2 3 2 2" xfId="8716"/>
    <cellStyle name="Input [yellow] 2 6 2 3 2 2 2" xfId="8717"/>
    <cellStyle name="Input [yellow] 2 6 2 3 2 3" xfId="8718"/>
    <cellStyle name="Input [yellow] 2 6 2 3 3" xfId="8719"/>
    <cellStyle name="Input [yellow] 2 6 2 3 3 2" xfId="8720"/>
    <cellStyle name="Input [yellow] 2 6 2 3 4" xfId="8721"/>
    <cellStyle name="Input [yellow] 2 6 2 4" xfId="8722"/>
    <cellStyle name="Input [yellow] 2 6 2 4 2" xfId="8723"/>
    <cellStyle name="Input [yellow] 2 6 2 4 2 2" xfId="8724"/>
    <cellStyle name="Input [yellow] 2 6 2 4 3" xfId="8725"/>
    <cellStyle name="Input [yellow] 2 6 2 5" xfId="8726"/>
    <cellStyle name="Input [yellow] 2 6 2 5 2" xfId="8727"/>
    <cellStyle name="Input [yellow] 2 6 2 6" xfId="8728"/>
    <cellStyle name="Input [yellow] 2 6 3" xfId="8729"/>
    <cellStyle name="Input [yellow] 2 6 3 2" xfId="8730"/>
    <cellStyle name="Input [yellow] 2 6 3 2 2" xfId="8731"/>
    <cellStyle name="Input [yellow] 2 6 3 2 2 2" xfId="8732"/>
    <cellStyle name="Input [yellow] 2 6 3 2 2 2 2" xfId="8733"/>
    <cellStyle name="Input [yellow] 2 6 3 2 2 3" xfId="8734"/>
    <cellStyle name="Input [yellow] 2 6 3 2 3" xfId="8735"/>
    <cellStyle name="Input [yellow] 2 6 3 2 3 2" xfId="8736"/>
    <cellStyle name="Input [yellow] 2 6 3 2 4" xfId="8737"/>
    <cellStyle name="Input [yellow] 2 6 3 3" xfId="8738"/>
    <cellStyle name="Input [yellow] 2 6 3 3 2" xfId="8739"/>
    <cellStyle name="Input [yellow] 2 6 3 3 2 2" xfId="8740"/>
    <cellStyle name="Input [yellow] 2 6 3 3 3" xfId="8741"/>
    <cellStyle name="Input [yellow] 2 6 3 4" xfId="8742"/>
    <cellStyle name="Input [yellow] 2 6 3 4 2" xfId="8743"/>
    <cellStyle name="Input [yellow] 2 6 3 5" xfId="8744"/>
    <cellStyle name="Input [yellow] 2 6 4" xfId="8745"/>
    <cellStyle name="Input [yellow] 2 6 4 2" xfId="8746"/>
    <cellStyle name="Input [yellow] 2 6 4 2 2" xfId="8747"/>
    <cellStyle name="Input [yellow] 2 6 4 2 2 2" xfId="8748"/>
    <cellStyle name="Input [yellow] 2 6 4 2 3" xfId="8749"/>
    <cellStyle name="Input [yellow] 2 6 4 3" xfId="8750"/>
    <cellStyle name="Input [yellow] 2 6 4 3 2" xfId="8751"/>
    <cellStyle name="Input [yellow] 2 6 4 4" xfId="8752"/>
    <cellStyle name="Input [yellow] 2 6 5" xfId="8753"/>
    <cellStyle name="Input [yellow] 2 6 5 2" xfId="8754"/>
    <cellStyle name="Input [yellow] 2 6 5 2 2" xfId="8755"/>
    <cellStyle name="Input [yellow] 2 6 5 3" xfId="8756"/>
    <cellStyle name="Input [yellow] 2 6 6" xfId="8757"/>
    <cellStyle name="Input [yellow] 2 6 6 2" xfId="8758"/>
    <cellStyle name="Input [yellow] 2 6 7" xfId="8759"/>
    <cellStyle name="Input [yellow] 2 7" xfId="8760"/>
    <cellStyle name="Input [yellow] 2 7 2" xfId="8761"/>
    <cellStyle name="Input [yellow] 2 7 2 2" xfId="8762"/>
    <cellStyle name="Input [yellow] 2 7 2 2 2" xfId="8763"/>
    <cellStyle name="Input [yellow] 2 7 2 2 2 2" xfId="8764"/>
    <cellStyle name="Input [yellow] 2 7 2 2 2 2 2" xfId="8765"/>
    <cellStyle name="Input [yellow] 2 7 2 2 2 3" xfId="8766"/>
    <cellStyle name="Input [yellow] 2 7 2 2 3" xfId="8767"/>
    <cellStyle name="Input [yellow] 2 7 2 2 3 2" xfId="8768"/>
    <cellStyle name="Input [yellow] 2 7 2 2 4" xfId="8769"/>
    <cellStyle name="Input [yellow] 2 7 2 3" xfId="8770"/>
    <cellStyle name="Input [yellow] 2 7 2 3 2" xfId="8771"/>
    <cellStyle name="Input [yellow] 2 7 2 3 2 2" xfId="8772"/>
    <cellStyle name="Input [yellow] 2 7 2 3 3" xfId="8773"/>
    <cellStyle name="Input [yellow] 2 7 2 4" xfId="8774"/>
    <cellStyle name="Input [yellow] 2 7 2 4 2" xfId="8775"/>
    <cellStyle name="Input [yellow] 2 7 2 5" xfId="8776"/>
    <cellStyle name="Input [yellow] 2 7 3" xfId="8777"/>
    <cellStyle name="Input [yellow] 2 7 3 2" xfId="8778"/>
    <cellStyle name="Input [yellow] 2 7 3 2 2" xfId="8779"/>
    <cellStyle name="Input [yellow] 2 7 3 2 2 2" xfId="8780"/>
    <cellStyle name="Input [yellow] 2 7 3 2 3" xfId="8781"/>
    <cellStyle name="Input [yellow] 2 7 3 3" xfId="8782"/>
    <cellStyle name="Input [yellow] 2 7 3 3 2" xfId="8783"/>
    <cellStyle name="Input [yellow] 2 7 3 4" xfId="8784"/>
    <cellStyle name="Input [yellow] 2 7 4" xfId="8785"/>
    <cellStyle name="Input [yellow] 2 7 4 2" xfId="8786"/>
    <cellStyle name="Input [yellow] 2 7 4 2 2" xfId="8787"/>
    <cellStyle name="Input [yellow] 2 7 4 3" xfId="8788"/>
    <cellStyle name="Input [yellow] 2 7 5" xfId="8789"/>
    <cellStyle name="Input [yellow] 2 7 5 2" xfId="8790"/>
    <cellStyle name="Input [yellow] 2 7 6" xfId="8791"/>
    <cellStyle name="Input [yellow] 2 8" xfId="8792"/>
    <cellStyle name="Input [yellow] 2 8 2" xfId="8793"/>
    <cellStyle name="Input [yellow] 2 9" xfId="8794"/>
    <cellStyle name="Input [yellow] 3" xfId="8795"/>
    <cellStyle name="Input [yellow] 3 2" xfId="8796"/>
    <cellStyle name="Input [yellow] 3 2 2" xfId="8797"/>
    <cellStyle name="Input [yellow] 3 2 2 2" xfId="8798"/>
    <cellStyle name="Input [yellow] 3 2 3" xfId="8799"/>
    <cellStyle name="Input [yellow] 3 3" xfId="8800"/>
    <cellStyle name="Input [yellow] 3 3 2" xfId="8801"/>
    <cellStyle name="Input [yellow] 3 4" xfId="8802"/>
    <cellStyle name="Input [yellow] 4" xfId="8803"/>
    <cellStyle name="Input [yellow] 4 2" xfId="8804"/>
    <cellStyle name="Input [yellow] 4 2 2" xfId="8805"/>
    <cellStyle name="Input [yellow] 4 3" xfId="8806"/>
    <cellStyle name="Input [yellow] 5" xfId="8807"/>
    <cellStyle name="Input [yellow] 5 2" xfId="8808"/>
    <cellStyle name="Input [yellow] 6" xfId="8809"/>
    <cellStyle name="Input [yellow] 7" xfId="8810"/>
    <cellStyle name="Input [yellow] 8" xfId="8811"/>
    <cellStyle name="Input 10" xfId="8812"/>
    <cellStyle name="Input 10 10" xfId="8813"/>
    <cellStyle name="Input 10 11" xfId="8814"/>
    <cellStyle name="Input 10 12" xfId="8815"/>
    <cellStyle name="Input 10 2" xfId="8816"/>
    <cellStyle name="Input 10 2 10" xfId="8817"/>
    <cellStyle name="Input 10 2 11" xfId="8818"/>
    <cellStyle name="Input 10 2 12" xfId="8819"/>
    <cellStyle name="Input 10 2 2" xfId="8820"/>
    <cellStyle name="Input 10 2 2 10" xfId="8821"/>
    <cellStyle name="Input 10 2 2 11" xfId="8822"/>
    <cellStyle name="Input 10 2 2 2" xfId="8823"/>
    <cellStyle name="Input 10 2 2 2 10" xfId="8824"/>
    <cellStyle name="Input 10 2 2 2 2" xfId="8825"/>
    <cellStyle name="Input 10 2 2 2 2 2" xfId="8826"/>
    <cellStyle name="Input 10 2 2 2 2 2 2" xfId="8827"/>
    <cellStyle name="Input 10 2 2 2 2 2 2 2" xfId="8828"/>
    <cellStyle name="Input 10 2 2 2 2 2 2 2 2" xfId="8829"/>
    <cellStyle name="Input 10 2 2 2 2 2 2 3" xfId="8830"/>
    <cellStyle name="Input 10 2 2 2 2 2 2 3 2" xfId="8831"/>
    <cellStyle name="Input 10 2 2 2 2 2 2 4" xfId="8832"/>
    <cellStyle name="Input 10 2 2 2 2 2 2 5" xfId="8833"/>
    <cellStyle name="Input 10 2 2 2 2 2 2 6" xfId="8834"/>
    <cellStyle name="Input 10 2 2 2 2 2 3" xfId="8835"/>
    <cellStyle name="Input 10 2 2 2 2 2 3 2" xfId="8836"/>
    <cellStyle name="Input 10 2 2 2 2 2 4" xfId="8837"/>
    <cellStyle name="Input 10 2 2 2 2 2 4 2" xfId="8838"/>
    <cellStyle name="Input 10 2 2 2 2 2 5" xfId="8839"/>
    <cellStyle name="Input 10 2 2 2 2 2 6" xfId="8840"/>
    <cellStyle name="Input 10 2 2 2 2 2 7" xfId="8841"/>
    <cellStyle name="Input 10 2 2 2 2 3" xfId="8842"/>
    <cellStyle name="Input 10 2 2 2 2 3 2" xfId="8843"/>
    <cellStyle name="Input 10 2 2 2 2 3 2 2" xfId="8844"/>
    <cellStyle name="Input 10 2 2 2 2 3 3" xfId="8845"/>
    <cellStyle name="Input 10 2 2 2 2 3 3 2" xfId="8846"/>
    <cellStyle name="Input 10 2 2 2 2 3 4" xfId="8847"/>
    <cellStyle name="Input 10 2 2 2 2 3 5" xfId="8848"/>
    <cellStyle name="Input 10 2 2 2 2 3 6" xfId="8849"/>
    <cellStyle name="Input 10 2 2 2 2 4" xfId="8850"/>
    <cellStyle name="Input 10 2 2 2 2 4 2" xfId="8851"/>
    <cellStyle name="Input 10 2 2 2 2 5" xfId="8852"/>
    <cellStyle name="Input 10 2 2 2 2 5 2" xfId="8853"/>
    <cellStyle name="Input 10 2 2 2 2 6" xfId="8854"/>
    <cellStyle name="Input 10 2 2 2 2 7" xfId="8855"/>
    <cellStyle name="Input 10 2 2 2 2 8" xfId="8856"/>
    <cellStyle name="Input 10 2 2 2 3" xfId="8857"/>
    <cellStyle name="Input 10 2 2 2 3 2" xfId="8858"/>
    <cellStyle name="Input 10 2 2 2 3 2 2" xfId="8859"/>
    <cellStyle name="Input 10 2 2 2 3 2 2 2" xfId="8860"/>
    <cellStyle name="Input 10 2 2 2 3 2 2 2 2" xfId="8861"/>
    <cellStyle name="Input 10 2 2 2 3 2 2 3" xfId="8862"/>
    <cellStyle name="Input 10 2 2 2 3 2 2 3 2" xfId="8863"/>
    <cellStyle name="Input 10 2 2 2 3 2 2 4" xfId="8864"/>
    <cellStyle name="Input 10 2 2 2 3 2 2 5" xfId="8865"/>
    <cellStyle name="Input 10 2 2 2 3 2 2 6" xfId="8866"/>
    <cellStyle name="Input 10 2 2 2 3 2 3" xfId="8867"/>
    <cellStyle name="Input 10 2 2 2 3 2 3 2" xfId="8868"/>
    <cellStyle name="Input 10 2 2 2 3 2 4" xfId="8869"/>
    <cellStyle name="Input 10 2 2 2 3 2 4 2" xfId="8870"/>
    <cellStyle name="Input 10 2 2 2 3 2 5" xfId="8871"/>
    <cellStyle name="Input 10 2 2 2 3 2 6" xfId="8872"/>
    <cellStyle name="Input 10 2 2 2 3 2 7" xfId="8873"/>
    <cellStyle name="Input 10 2 2 2 3 3" xfId="8874"/>
    <cellStyle name="Input 10 2 2 2 3 3 2" xfId="8875"/>
    <cellStyle name="Input 10 2 2 2 3 3 2 2" xfId="8876"/>
    <cellStyle name="Input 10 2 2 2 3 3 3" xfId="8877"/>
    <cellStyle name="Input 10 2 2 2 3 3 3 2" xfId="8878"/>
    <cellStyle name="Input 10 2 2 2 3 3 4" xfId="8879"/>
    <cellStyle name="Input 10 2 2 2 3 3 5" xfId="8880"/>
    <cellStyle name="Input 10 2 2 2 3 3 6" xfId="8881"/>
    <cellStyle name="Input 10 2 2 2 3 4" xfId="8882"/>
    <cellStyle name="Input 10 2 2 2 3 4 2" xfId="8883"/>
    <cellStyle name="Input 10 2 2 2 3 5" xfId="8884"/>
    <cellStyle name="Input 10 2 2 2 3 5 2" xfId="8885"/>
    <cellStyle name="Input 10 2 2 2 3 6" xfId="8886"/>
    <cellStyle name="Input 10 2 2 2 3 7" xfId="8887"/>
    <cellStyle name="Input 10 2 2 2 3 8" xfId="8888"/>
    <cellStyle name="Input 10 2 2 2 4" xfId="8889"/>
    <cellStyle name="Input 10 2 2 2 4 2" xfId="8890"/>
    <cellStyle name="Input 10 2 2 2 4 2 2" xfId="8891"/>
    <cellStyle name="Input 10 2 2 2 4 2 2 2" xfId="8892"/>
    <cellStyle name="Input 10 2 2 2 4 2 3" xfId="8893"/>
    <cellStyle name="Input 10 2 2 2 4 2 3 2" xfId="8894"/>
    <cellStyle name="Input 10 2 2 2 4 2 4" xfId="8895"/>
    <cellStyle name="Input 10 2 2 2 4 2 5" xfId="8896"/>
    <cellStyle name="Input 10 2 2 2 4 2 6" xfId="8897"/>
    <cellStyle name="Input 10 2 2 2 4 3" xfId="8898"/>
    <cellStyle name="Input 10 2 2 2 4 3 2" xfId="8899"/>
    <cellStyle name="Input 10 2 2 2 4 4" xfId="8900"/>
    <cellStyle name="Input 10 2 2 2 4 4 2" xfId="8901"/>
    <cellStyle name="Input 10 2 2 2 4 5" xfId="8902"/>
    <cellStyle name="Input 10 2 2 2 4 6" xfId="8903"/>
    <cellStyle name="Input 10 2 2 2 4 7" xfId="8904"/>
    <cellStyle name="Input 10 2 2 2 5" xfId="8905"/>
    <cellStyle name="Input 10 2 2 2 5 2" xfId="8906"/>
    <cellStyle name="Input 10 2 2 2 5 2 2" xfId="8907"/>
    <cellStyle name="Input 10 2 2 2 5 3" xfId="8908"/>
    <cellStyle name="Input 10 2 2 2 5 3 2" xfId="8909"/>
    <cellStyle name="Input 10 2 2 2 5 4" xfId="8910"/>
    <cellStyle name="Input 10 2 2 2 5 5" xfId="8911"/>
    <cellStyle name="Input 10 2 2 2 5 6" xfId="8912"/>
    <cellStyle name="Input 10 2 2 2 6" xfId="8913"/>
    <cellStyle name="Input 10 2 2 2 6 2" xfId="8914"/>
    <cellStyle name="Input 10 2 2 2 7" xfId="8915"/>
    <cellStyle name="Input 10 2 2 2 7 2" xfId="8916"/>
    <cellStyle name="Input 10 2 2 2 8" xfId="8917"/>
    <cellStyle name="Input 10 2 2 2 9" xfId="8918"/>
    <cellStyle name="Input 10 2 2 3" xfId="8919"/>
    <cellStyle name="Input 10 2 2 3 2" xfId="8920"/>
    <cellStyle name="Input 10 2 2 3 2 2" xfId="8921"/>
    <cellStyle name="Input 10 2 2 3 2 2 2" xfId="8922"/>
    <cellStyle name="Input 10 2 2 3 2 2 2 2" xfId="8923"/>
    <cellStyle name="Input 10 2 2 3 2 2 3" xfId="8924"/>
    <cellStyle name="Input 10 2 2 3 2 2 3 2" xfId="8925"/>
    <cellStyle name="Input 10 2 2 3 2 2 4" xfId="8926"/>
    <cellStyle name="Input 10 2 2 3 2 2 5" xfId="8927"/>
    <cellStyle name="Input 10 2 2 3 2 2 6" xfId="8928"/>
    <cellStyle name="Input 10 2 2 3 2 3" xfId="8929"/>
    <cellStyle name="Input 10 2 2 3 2 3 2" xfId="8930"/>
    <cellStyle name="Input 10 2 2 3 2 4" xfId="8931"/>
    <cellStyle name="Input 10 2 2 3 2 4 2" xfId="8932"/>
    <cellStyle name="Input 10 2 2 3 2 5" xfId="8933"/>
    <cellStyle name="Input 10 2 2 3 2 6" xfId="8934"/>
    <cellStyle name="Input 10 2 2 3 2 7" xfId="8935"/>
    <cellStyle name="Input 10 2 2 3 3" xfId="8936"/>
    <cellStyle name="Input 10 2 2 3 3 2" xfId="8937"/>
    <cellStyle name="Input 10 2 2 3 3 2 2" xfId="8938"/>
    <cellStyle name="Input 10 2 2 3 3 3" xfId="8939"/>
    <cellStyle name="Input 10 2 2 3 3 3 2" xfId="8940"/>
    <cellStyle name="Input 10 2 2 3 3 4" xfId="8941"/>
    <cellStyle name="Input 10 2 2 3 3 5" xfId="8942"/>
    <cellStyle name="Input 10 2 2 3 3 6" xfId="8943"/>
    <cellStyle name="Input 10 2 2 3 4" xfId="8944"/>
    <cellStyle name="Input 10 2 2 3 4 2" xfId="8945"/>
    <cellStyle name="Input 10 2 2 3 5" xfId="8946"/>
    <cellStyle name="Input 10 2 2 3 5 2" xfId="8947"/>
    <cellStyle name="Input 10 2 2 3 6" xfId="8948"/>
    <cellStyle name="Input 10 2 2 3 7" xfId="8949"/>
    <cellStyle name="Input 10 2 2 3 8" xfId="8950"/>
    <cellStyle name="Input 10 2 2 4" xfId="8951"/>
    <cellStyle name="Input 10 2 2 4 2" xfId="8952"/>
    <cellStyle name="Input 10 2 2 4 2 2" xfId="8953"/>
    <cellStyle name="Input 10 2 2 4 2 2 2" xfId="8954"/>
    <cellStyle name="Input 10 2 2 4 2 2 2 2" xfId="8955"/>
    <cellStyle name="Input 10 2 2 4 2 2 3" xfId="8956"/>
    <cellStyle name="Input 10 2 2 4 2 2 3 2" xfId="8957"/>
    <cellStyle name="Input 10 2 2 4 2 2 4" xfId="8958"/>
    <cellStyle name="Input 10 2 2 4 2 2 5" xfId="8959"/>
    <cellStyle name="Input 10 2 2 4 2 2 6" xfId="8960"/>
    <cellStyle name="Input 10 2 2 4 2 3" xfId="8961"/>
    <cellStyle name="Input 10 2 2 4 2 3 2" xfId="8962"/>
    <cellStyle name="Input 10 2 2 4 2 4" xfId="8963"/>
    <cellStyle name="Input 10 2 2 4 2 4 2" xfId="8964"/>
    <cellStyle name="Input 10 2 2 4 2 5" xfId="8965"/>
    <cellStyle name="Input 10 2 2 4 2 6" xfId="8966"/>
    <cellStyle name="Input 10 2 2 4 2 7" xfId="8967"/>
    <cellStyle name="Input 10 2 2 4 3" xfId="8968"/>
    <cellStyle name="Input 10 2 2 4 3 2" xfId="8969"/>
    <cellStyle name="Input 10 2 2 4 3 2 2" xfId="8970"/>
    <cellStyle name="Input 10 2 2 4 3 3" xfId="8971"/>
    <cellStyle name="Input 10 2 2 4 3 3 2" xfId="8972"/>
    <cellStyle name="Input 10 2 2 4 3 4" xfId="8973"/>
    <cellStyle name="Input 10 2 2 4 3 5" xfId="8974"/>
    <cellStyle name="Input 10 2 2 4 3 6" xfId="8975"/>
    <cellStyle name="Input 10 2 2 4 4" xfId="8976"/>
    <cellStyle name="Input 10 2 2 4 4 2" xfId="8977"/>
    <cellStyle name="Input 10 2 2 4 5" xfId="8978"/>
    <cellStyle name="Input 10 2 2 4 5 2" xfId="8979"/>
    <cellStyle name="Input 10 2 2 4 6" xfId="8980"/>
    <cellStyle name="Input 10 2 2 4 7" xfId="8981"/>
    <cellStyle name="Input 10 2 2 4 8" xfId="8982"/>
    <cellStyle name="Input 10 2 2 5" xfId="8983"/>
    <cellStyle name="Input 10 2 2 5 2" xfId="8984"/>
    <cellStyle name="Input 10 2 2 5 2 2" xfId="8985"/>
    <cellStyle name="Input 10 2 2 5 2 2 2" xfId="8986"/>
    <cellStyle name="Input 10 2 2 5 2 3" xfId="8987"/>
    <cellStyle name="Input 10 2 2 5 2 3 2" xfId="8988"/>
    <cellStyle name="Input 10 2 2 5 2 4" xfId="8989"/>
    <cellStyle name="Input 10 2 2 5 2 5" xfId="8990"/>
    <cellStyle name="Input 10 2 2 5 2 6" xfId="8991"/>
    <cellStyle name="Input 10 2 2 5 3" xfId="8992"/>
    <cellStyle name="Input 10 2 2 5 3 2" xfId="8993"/>
    <cellStyle name="Input 10 2 2 5 4" xfId="8994"/>
    <cellStyle name="Input 10 2 2 5 4 2" xfId="8995"/>
    <cellStyle name="Input 10 2 2 5 5" xfId="8996"/>
    <cellStyle name="Input 10 2 2 5 6" xfId="8997"/>
    <cellStyle name="Input 10 2 2 5 7" xfId="8998"/>
    <cellStyle name="Input 10 2 2 6" xfId="8999"/>
    <cellStyle name="Input 10 2 2 6 2" xfId="9000"/>
    <cellStyle name="Input 10 2 2 6 2 2" xfId="9001"/>
    <cellStyle name="Input 10 2 2 6 3" xfId="9002"/>
    <cellStyle name="Input 10 2 2 6 3 2" xfId="9003"/>
    <cellStyle name="Input 10 2 2 6 4" xfId="9004"/>
    <cellStyle name="Input 10 2 2 6 5" xfId="9005"/>
    <cellStyle name="Input 10 2 2 6 6" xfId="9006"/>
    <cellStyle name="Input 10 2 2 7" xfId="9007"/>
    <cellStyle name="Input 10 2 2 7 2" xfId="9008"/>
    <cellStyle name="Input 10 2 2 8" xfId="9009"/>
    <cellStyle name="Input 10 2 2 8 2" xfId="9010"/>
    <cellStyle name="Input 10 2 2 9" xfId="9011"/>
    <cellStyle name="Input 10 2 3" xfId="9012"/>
    <cellStyle name="Input 10 2 3 10" xfId="9013"/>
    <cellStyle name="Input 10 2 3 2" xfId="9014"/>
    <cellStyle name="Input 10 2 3 2 10" xfId="9015"/>
    <cellStyle name="Input 10 2 3 2 2" xfId="9016"/>
    <cellStyle name="Input 10 2 3 2 2 2" xfId="9017"/>
    <cellStyle name="Input 10 2 3 2 2 2 2" xfId="9018"/>
    <cellStyle name="Input 10 2 3 2 2 2 2 2" xfId="9019"/>
    <cellStyle name="Input 10 2 3 2 2 2 2 2 2" xfId="9020"/>
    <cellStyle name="Input 10 2 3 2 2 2 2 3" xfId="9021"/>
    <cellStyle name="Input 10 2 3 2 2 2 2 3 2" xfId="9022"/>
    <cellStyle name="Input 10 2 3 2 2 2 2 4" xfId="9023"/>
    <cellStyle name="Input 10 2 3 2 2 2 2 5" xfId="9024"/>
    <cellStyle name="Input 10 2 3 2 2 2 2 6" xfId="9025"/>
    <cellStyle name="Input 10 2 3 2 2 2 3" xfId="9026"/>
    <cellStyle name="Input 10 2 3 2 2 2 3 2" xfId="9027"/>
    <cellStyle name="Input 10 2 3 2 2 2 4" xfId="9028"/>
    <cellStyle name="Input 10 2 3 2 2 2 4 2" xfId="9029"/>
    <cellStyle name="Input 10 2 3 2 2 2 5" xfId="9030"/>
    <cellStyle name="Input 10 2 3 2 2 2 6" xfId="9031"/>
    <cellStyle name="Input 10 2 3 2 2 2 7" xfId="9032"/>
    <cellStyle name="Input 10 2 3 2 2 3" xfId="9033"/>
    <cellStyle name="Input 10 2 3 2 2 3 2" xfId="9034"/>
    <cellStyle name="Input 10 2 3 2 2 3 2 2" xfId="9035"/>
    <cellStyle name="Input 10 2 3 2 2 3 3" xfId="9036"/>
    <cellStyle name="Input 10 2 3 2 2 3 3 2" xfId="9037"/>
    <cellStyle name="Input 10 2 3 2 2 3 4" xfId="9038"/>
    <cellStyle name="Input 10 2 3 2 2 3 5" xfId="9039"/>
    <cellStyle name="Input 10 2 3 2 2 3 6" xfId="9040"/>
    <cellStyle name="Input 10 2 3 2 2 4" xfId="9041"/>
    <cellStyle name="Input 10 2 3 2 2 4 2" xfId="9042"/>
    <cellStyle name="Input 10 2 3 2 2 5" xfId="9043"/>
    <cellStyle name="Input 10 2 3 2 2 5 2" xfId="9044"/>
    <cellStyle name="Input 10 2 3 2 2 6" xfId="9045"/>
    <cellStyle name="Input 10 2 3 2 2 7" xfId="9046"/>
    <cellStyle name="Input 10 2 3 2 2 8" xfId="9047"/>
    <cellStyle name="Input 10 2 3 2 3" xfId="9048"/>
    <cellStyle name="Input 10 2 3 2 3 2" xfId="9049"/>
    <cellStyle name="Input 10 2 3 2 3 2 2" xfId="9050"/>
    <cellStyle name="Input 10 2 3 2 3 2 2 2" xfId="9051"/>
    <cellStyle name="Input 10 2 3 2 3 2 2 2 2" xfId="9052"/>
    <cellStyle name="Input 10 2 3 2 3 2 2 3" xfId="9053"/>
    <cellStyle name="Input 10 2 3 2 3 2 2 3 2" xfId="9054"/>
    <cellStyle name="Input 10 2 3 2 3 2 2 4" xfId="9055"/>
    <cellStyle name="Input 10 2 3 2 3 2 2 5" xfId="9056"/>
    <cellStyle name="Input 10 2 3 2 3 2 2 6" xfId="9057"/>
    <cellStyle name="Input 10 2 3 2 3 2 3" xfId="9058"/>
    <cellStyle name="Input 10 2 3 2 3 2 3 2" xfId="9059"/>
    <cellStyle name="Input 10 2 3 2 3 2 4" xfId="9060"/>
    <cellStyle name="Input 10 2 3 2 3 2 4 2" xfId="9061"/>
    <cellStyle name="Input 10 2 3 2 3 2 5" xfId="9062"/>
    <cellStyle name="Input 10 2 3 2 3 2 6" xfId="9063"/>
    <cellStyle name="Input 10 2 3 2 3 2 7" xfId="9064"/>
    <cellStyle name="Input 10 2 3 2 3 3" xfId="9065"/>
    <cellStyle name="Input 10 2 3 2 3 3 2" xfId="9066"/>
    <cellStyle name="Input 10 2 3 2 3 3 2 2" xfId="9067"/>
    <cellStyle name="Input 10 2 3 2 3 3 3" xfId="9068"/>
    <cellStyle name="Input 10 2 3 2 3 3 3 2" xfId="9069"/>
    <cellStyle name="Input 10 2 3 2 3 3 4" xfId="9070"/>
    <cellStyle name="Input 10 2 3 2 3 3 5" xfId="9071"/>
    <cellStyle name="Input 10 2 3 2 3 3 6" xfId="9072"/>
    <cellStyle name="Input 10 2 3 2 3 4" xfId="9073"/>
    <cellStyle name="Input 10 2 3 2 3 4 2" xfId="9074"/>
    <cellStyle name="Input 10 2 3 2 3 5" xfId="9075"/>
    <cellStyle name="Input 10 2 3 2 3 5 2" xfId="9076"/>
    <cellStyle name="Input 10 2 3 2 3 6" xfId="9077"/>
    <cellStyle name="Input 10 2 3 2 3 7" xfId="9078"/>
    <cellStyle name="Input 10 2 3 2 3 8" xfId="9079"/>
    <cellStyle name="Input 10 2 3 2 4" xfId="9080"/>
    <cellStyle name="Input 10 2 3 2 4 2" xfId="9081"/>
    <cellStyle name="Input 10 2 3 2 4 2 2" xfId="9082"/>
    <cellStyle name="Input 10 2 3 2 4 2 2 2" xfId="9083"/>
    <cellStyle name="Input 10 2 3 2 4 2 3" xfId="9084"/>
    <cellStyle name="Input 10 2 3 2 4 2 3 2" xfId="9085"/>
    <cellStyle name="Input 10 2 3 2 4 2 4" xfId="9086"/>
    <cellStyle name="Input 10 2 3 2 4 2 5" xfId="9087"/>
    <cellStyle name="Input 10 2 3 2 4 2 6" xfId="9088"/>
    <cellStyle name="Input 10 2 3 2 4 3" xfId="9089"/>
    <cellStyle name="Input 10 2 3 2 4 3 2" xfId="9090"/>
    <cellStyle name="Input 10 2 3 2 4 4" xfId="9091"/>
    <cellStyle name="Input 10 2 3 2 4 4 2" xfId="9092"/>
    <cellStyle name="Input 10 2 3 2 4 5" xfId="9093"/>
    <cellStyle name="Input 10 2 3 2 4 6" xfId="9094"/>
    <cellStyle name="Input 10 2 3 2 4 7" xfId="9095"/>
    <cellStyle name="Input 10 2 3 2 5" xfId="9096"/>
    <cellStyle name="Input 10 2 3 2 5 2" xfId="9097"/>
    <cellStyle name="Input 10 2 3 2 5 2 2" xfId="9098"/>
    <cellStyle name="Input 10 2 3 2 5 3" xfId="9099"/>
    <cellStyle name="Input 10 2 3 2 5 3 2" xfId="9100"/>
    <cellStyle name="Input 10 2 3 2 5 4" xfId="9101"/>
    <cellStyle name="Input 10 2 3 2 5 5" xfId="9102"/>
    <cellStyle name="Input 10 2 3 2 5 6" xfId="9103"/>
    <cellStyle name="Input 10 2 3 2 6" xfId="9104"/>
    <cellStyle name="Input 10 2 3 2 6 2" xfId="9105"/>
    <cellStyle name="Input 10 2 3 2 7" xfId="9106"/>
    <cellStyle name="Input 10 2 3 2 7 2" xfId="9107"/>
    <cellStyle name="Input 10 2 3 2 8" xfId="9108"/>
    <cellStyle name="Input 10 2 3 2 9" xfId="9109"/>
    <cellStyle name="Input 10 2 3 3" xfId="9110"/>
    <cellStyle name="Input 10 2 3 3 2" xfId="9111"/>
    <cellStyle name="Input 10 2 3 3 2 2" xfId="9112"/>
    <cellStyle name="Input 10 2 3 3 2 2 2" xfId="9113"/>
    <cellStyle name="Input 10 2 3 3 2 2 2 2" xfId="9114"/>
    <cellStyle name="Input 10 2 3 3 2 2 3" xfId="9115"/>
    <cellStyle name="Input 10 2 3 3 2 2 3 2" xfId="9116"/>
    <cellStyle name="Input 10 2 3 3 2 2 4" xfId="9117"/>
    <cellStyle name="Input 10 2 3 3 2 2 5" xfId="9118"/>
    <cellStyle name="Input 10 2 3 3 2 2 6" xfId="9119"/>
    <cellStyle name="Input 10 2 3 3 2 3" xfId="9120"/>
    <cellStyle name="Input 10 2 3 3 2 3 2" xfId="9121"/>
    <cellStyle name="Input 10 2 3 3 2 4" xfId="9122"/>
    <cellStyle name="Input 10 2 3 3 2 4 2" xfId="9123"/>
    <cellStyle name="Input 10 2 3 3 2 5" xfId="9124"/>
    <cellStyle name="Input 10 2 3 3 2 6" xfId="9125"/>
    <cellStyle name="Input 10 2 3 3 2 7" xfId="9126"/>
    <cellStyle name="Input 10 2 3 3 3" xfId="9127"/>
    <cellStyle name="Input 10 2 3 3 3 2" xfId="9128"/>
    <cellStyle name="Input 10 2 3 3 3 2 2" xfId="9129"/>
    <cellStyle name="Input 10 2 3 3 3 3" xfId="9130"/>
    <cellStyle name="Input 10 2 3 3 3 3 2" xfId="9131"/>
    <cellStyle name="Input 10 2 3 3 3 4" xfId="9132"/>
    <cellStyle name="Input 10 2 3 3 3 5" xfId="9133"/>
    <cellStyle name="Input 10 2 3 3 3 6" xfId="9134"/>
    <cellStyle name="Input 10 2 3 3 4" xfId="9135"/>
    <cellStyle name="Input 10 2 3 3 4 2" xfId="9136"/>
    <cellStyle name="Input 10 2 3 3 5" xfId="9137"/>
    <cellStyle name="Input 10 2 3 3 5 2" xfId="9138"/>
    <cellStyle name="Input 10 2 3 3 6" xfId="9139"/>
    <cellStyle name="Input 10 2 3 3 7" xfId="9140"/>
    <cellStyle name="Input 10 2 3 3 8" xfId="9141"/>
    <cellStyle name="Input 10 2 3 4" xfId="9142"/>
    <cellStyle name="Input 10 2 3 4 2" xfId="9143"/>
    <cellStyle name="Input 10 2 3 4 2 2" xfId="9144"/>
    <cellStyle name="Input 10 2 3 4 2 2 2" xfId="9145"/>
    <cellStyle name="Input 10 2 3 4 2 3" xfId="9146"/>
    <cellStyle name="Input 10 2 3 4 2 3 2" xfId="9147"/>
    <cellStyle name="Input 10 2 3 4 2 4" xfId="9148"/>
    <cellStyle name="Input 10 2 3 4 2 5" xfId="9149"/>
    <cellStyle name="Input 10 2 3 4 2 6" xfId="9150"/>
    <cellStyle name="Input 10 2 3 4 3" xfId="9151"/>
    <cellStyle name="Input 10 2 3 4 3 2" xfId="9152"/>
    <cellStyle name="Input 10 2 3 4 4" xfId="9153"/>
    <cellStyle name="Input 10 2 3 4 4 2" xfId="9154"/>
    <cellStyle name="Input 10 2 3 4 5" xfId="9155"/>
    <cellStyle name="Input 10 2 3 4 6" xfId="9156"/>
    <cellStyle name="Input 10 2 3 4 7" xfId="9157"/>
    <cellStyle name="Input 10 2 3 5" xfId="9158"/>
    <cellStyle name="Input 10 2 3 5 2" xfId="9159"/>
    <cellStyle name="Input 10 2 3 5 2 2" xfId="9160"/>
    <cellStyle name="Input 10 2 3 5 3" xfId="9161"/>
    <cellStyle name="Input 10 2 3 5 3 2" xfId="9162"/>
    <cellStyle name="Input 10 2 3 5 4" xfId="9163"/>
    <cellStyle name="Input 10 2 3 5 5" xfId="9164"/>
    <cellStyle name="Input 10 2 3 5 6" xfId="9165"/>
    <cellStyle name="Input 10 2 3 6" xfId="9166"/>
    <cellStyle name="Input 10 2 3 6 2" xfId="9167"/>
    <cellStyle name="Input 10 2 3 7" xfId="9168"/>
    <cellStyle name="Input 10 2 3 7 2" xfId="9169"/>
    <cellStyle name="Input 10 2 3 8" xfId="9170"/>
    <cellStyle name="Input 10 2 3 9" xfId="9171"/>
    <cellStyle name="Input 10 2 4" xfId="9172"/>
    <cellStyle name="Input 10 2 4 10" xfId="9173"/>
    <cellStyle name="Input 10 2 4 2" xfId="9174"/>
    <cellStyle name="Input 10 2 4 2 2" xfId="9175"/>
    <cellStyle name="Input 10 2 4 2 2 2" xfId="9176"/>
    <cellStyle name="Input 10 2 4 2 2 2 2" xfId="9177"/>
    <cellStyle name="Input 10 2 4 2 2 2 2 2" xfId="9178"/>
    <cellStyle name="Input 10 2 4 2 2 2 3" xfId="9179"/>
    <cellStyle name="Input 10 2 4 2 2 2 3 2" xfId="9180"/>
    <cellStyle name="Input 10 2 4 2 2 2 4" xfId="9181"/>
    <cellStyle name="Input 10 2 4 2 2 2 5" xfId="9182"/>
    <cellStyle name="Input 10 2 4 2 2 2 6" xfId="9183"/>
    <cellStyle name="Input 10 2 4 2 2 3" xfId="9184"/>
    <cellStyle name="Input 10 2 4 2 2 3 2" xfId="9185"/>
    <cellStyle name="Input 10 2 4 2 2 4" xfId="9186"/>
    <cellStyle name="Input 10 2 4 2 2 4 2" xfId="9187"/>
    <cellStyle name="Input 10 2 4 2 2 5" xfId="9188"/>
    <cellStyle name="Input 10 2 4 2 2 6" xfId="9189"/>
    <cellStyle name="Input 10 2 4 2 2 7" xfId="9190"/>
    <cellStyle name="Input 10 2 4 2 3" xfId="9191"/>
    <cellStyle name="Input 10 2 4 2 3 2" xfId="9192"/>
    <cellStyle name="Input 10 2 4 2 3 2 2" xfId="9193"/>
    <cellStyle name="Input 10 2 4 2 3 3" xfId="9194"/>
    <cellStyle name="Input 10 2 4 2 3 3 2" xfId="9195"/>
    <cellStyle name="Input 10 2 4 2 3 4" xfId="9196"/>
    <cellStyle name="Input 10 2 4 2 3 5" xfId="9197"/>
    <cellStyle name="Input 10 2 4 2 3 6" xfId="9198"/>
    <cellStyle name="Input 10 2 4 2 4" xfId="9199"/>
    <cellStyle name="Input 10 2 4 2 4 2" xfId="9200"/>
    <cellStyle name="Input 10 2 4 2 5" xfId="9201"/>
    <cellStyle name="Input 10 2 4 2 5 2" xfId="9202"/>
    <cellStyle name="Input 10 2 4 2 6" xfId="9203"/>
    <cellStyle name="Input 10 2 4 2 7" xfId="9204"/>
    <cellStyle name="Input 10 2 4 2 8" xfId="9205"/>
    <cellStyle name="Input 10 2 4 3" xfId="9206"/>
    <cellStyle name="Input 10 2 4 3 2" xfId="9207"/>
    <cellStyle name="Input 10 2 4 3 2 2" xfId="9208"/>
    <cellStyle name="Input 10 2 4 3 2 2 2" xfId="9209"/>
    <cellStyle name="Input 10 2 4 3 2 2 2 2" xfId="9210"/>
    <cellStyle name="Input 10 2 4 3 2 2 3" xfId="9211"/>
    <cellStyle name="Input 10 2 4 3 2 2 3 2" xfId="9212"/>
    <cellStyle name="Input 10 2 4 3 2 2 4" xfId="9213"/>
    <cellStyle name="Input 10 2 4 3 2 2 5" xfId="9214"/>
    <cellStyle name="Input 10 2 4 3 2 2 6" xfId="9215"/>
    <cellStyle name="Input 10 2 4 3 2 3" xfId="9216"/>
    <cellStyle name="Input 10 2 4 3 2 3 2" xfId="9217"/>
    <cellStyle name="Input 10 2 4 3 2 4" xfId="9218"/>
    <cellStyle name="Input 10 2 4 3 2 4 2" xfId="9219"/>
    <cellStyle name="Input 10 2 4 3 2 5" xfId="9220"/>
    <cellStyle name="Input 10 2 4 3 2 6" xfId="9221"/>
    <cellStyle name="Input 10 2 4 3 2 7" xfId="9222"/>
    <cellStyle name="Input 10 2 4 3 3" xfId="9223"/>
    <cellStyle name="Input 10 2 4 3 3 2" xfId="9224"/>
    <cellStyle name="Input 10 2 4 3 3 2 2" xfId="9225"/>
    <cellStyle name="Input 10 2 4 3 3 3" xfId="9226"/>
    <cellStyle name="Input 10 2 4 3 3 3 2" xfId="9227"/>
    <cellStyle name="Input 10 2 4 3 3 4" xfId="9228"/>
    <cellStyle name="Input 10 2 4 3 3 5" xfId="9229"/>
    <cellStyle name="Input 10 2 4 3 3 6" xfId="9230"/>
    <cellStyle name="Input 10 2 4 3 4" xfId="9231"/>
    <cellStyle name="Input 10 2 4 3 4 2" xfId="9232"/>
    <cellStyle name="Input 10 2 4 3 5" xfId="9233"/>
    <cellStyle name="Input 10 2 4 3 5 2" xfId="9234"/>
    <cellStyle name="Input 10 2 4 3 6" xfId="9235"/>
    <cellStyle name="Input 10 2 4 3 7" xfId="9236"/>
    <cellStyle name="Input 10 2 4 3 8" xfId="9237"/>
    <cellStyle name="Input 10 2 4 4" xfId="9238"/>
    <cellStyle name="Input 10 2 4 4 2" xfId="9239"/>
    <cellStyle name="Input 10 2 4 4 2 2" xfId="9240"/>
    <cellStyle name="Input 10 2 4 4 2 2 2" xfId="9241"/>
    <cellStyle name="Input 10 2 4 4 2 3" xfId="9242"/>
    <cellStyle name="Input 10 2 4 4 2 3 2" xfId="9243"/>
    <cellStyle name="Input 10 2 4 4 2 4" xfId="9244"/>
    <cellStyle name="Input 10 2 4 4 2 5" xfId="9245"/>
    <cellStyle name="Input 10 2 4 4 2 6" xfId="9246"/>
    <cellStyle name="Input 10 2 4 4 3" xfId="9247"/>
    <cellStyle name="Input 10 2 4 4 3 2" xfId="9248"/>
    <cellStyle name="Input 10 2 4 4 4" xfId="9249"/>
    <cellStyle name="Input 10 2 4 4 4 2" xfId="9250"/>
    <cellStyle name="Input 10 2 4 4 5" xfId="9251"/>
    <cellStyle name="Input 10 2 4 4 6" xfId="9252"/>
    <cellStyle name="Input 10 2 4 4 7" xfId="9253"/>
    <cellStyle name="Input 10 2 4 5" xfId="9254"/>
    <cellStyle name="Input 10 2 4 5 2" xfId="9255"/>
    <cellStyle name="Input 10 2 4 5 2 2" xfId="9256"/>
    <cellStyle name="Input 10 2 4 5 3" xfId="9257"/>
    <cellStyle name="Input 10 2 4 5 3 2" xfId="9258"/>
    <cellStyle name="Input 10 2 4 5 4" xfId="9259"/>
    <cellStyle name="Input 10 2 4 5 5" xfId="9260"/>
    <cellStyle name="Input 10 2 4 5 6" xfId="9261"/>
    <cellStyle name="Input 10 2 4 6" xfId="9262"/>
    <cellStyle name="Input 10 2 4 6 2" xfId="9263"/>
    <cellStyle name="Input 10 2 4 7" xfId="9264"/>
    <cellStyle name="Input 10 2 4 7 2" xfId="9265"/>
    <cellStyle name="Input 10 2 4 8" xfId="9266"/>
    <cellStyle name="Input 10 2 4 9" xfId="9267"/>
    <cellStyle name="Input 10 2 5" xfId="9268"/>
    <cellStyle name="Input 10 2 5 2" xfId="9269"/>
    <cellStyle name="Input 10 2 5 2 2" xfId="9270"/>
    <cellStyle name="Input 10 2 5 2 2 2" xfId="9271"/>
    <cellStyle name="Input 10 2 5 2 2 2 2" xfId="9272"/>
    <cellStyle name="Input 10 2 5 2 2 3" xfId="9273"/>
    <cellStyle name="Input 10 2 5 2 2 3 2" xfId="9274"/>
    <cellStyle name="Input 10 2 5 2 2 4" xfId="9275"/>
    <cellStyle name="Input 10 2 5 2 2 5" xfId="9276"/>
    <cellStyle name="Input 10 2 5 2 2 6" xfId="9277"/>
    <cellStyle name="Input 10 2 5 2 3" xfId="9278"/>
    <cellStyle name="Input 10 2 5 2 3 2" xfId="9279"/>
    <cellStyle name="Input 10 2 5 2 4" xfId="9280"/>
    <cellStyle name="Input 10 2 5 2 4 2" xfId="9281"/>
    <cellStyle name="Input 10 2 5 2 5" xfId="9282"/>
    <cellStyle name="Input 10 2 5 2 6" xfId="9283"/>
    <cellStyle name="Input 10 2 5 2 7" xfId="9284"/>
    <cellStyle name="Input 10 2 5 3" xfId="9285"/>
    <cellStyle name="Input 10 2 5 3 2" xfId="9286"/>
    <cellStyle name="Input 10 2 5 3 2 2" xfId="9287"/>
    <cellStyle name="Input 10 2 5 3 3" xfId="9288"/>
    <cellStyle name="Input 10 2 5 3 3 2" xfId="9289"/>
    <cellStyle name="Input 10 2 5 3 4" xfId="9290"/>
    <cellStyle name="Input 10 2 5 3 5" xfId="9291"/>
    <cellStyle name="Input 10 2 5 3 6" xfId="9292"/>
    <cellStyle name="Input 10 2 5 4" xfId="9293"/>
    <cellStyle name="Input 10 2 5 4 2" xfId="9294"/>
    <cellStyle name="Input 10 2 5 5" xfId="9295"/>
    <cellStyle name="Input 10 2 5 5 2" xfId="9296"/>
    <cellStyle name="Input 10 2 5 6" xfId="9297"/>
    <cellStyle name="Input 10 2 5 7" xfId="9298"/>
    <cellStyle name="Input 10 2 5 8" xfId="9299"/>
    <cellStyle name="Input 10 2 6" xfId="9300"/>
    <cellStyle name="Input 10 2 6 2" xfId="9301"/>
    <cellStyle name="Input 10 2 6 2 2" xfId="9302"/>
    <cellStyle name="Input 10 2 6 2 2 2" xfId="9303"/>
    <cellStyle name="Input 10 2 6 2 3" xfId="9304"/>
    <cellStyle name="Input 10 2 6 2 3 2" xfId="9305"/>
    <cellStyle name="Input 10 2 6 2 4" xfId="9306"/>
    <cellStyle name="Input 10 2 6 2 5" xfId="9307"/>
    <cellStyle name="Input 10 2 6 2 6" xfId="9308"/>
    <cellStyle name="Input 10 2 6 3" xfId="9309"/>
    <cellStyle name="Input 10 2 6 3 2" xfId="9310"/>
    <cellStyle name="Input 10 2 6 4" xfId="9311"/>
    <cellStyle name="Input 10 2 6 4 2" xfId="9312"/>
    <cellStyle name="Input 10 2 6 5" xfId="9313"/>
    <cellStyle name="Input 10 2 6 6" xfId="9314"/>
    <cellStyle name="Input 10 2 6 7" xfId="9315"/>
    <cellStyle name="Input 10 2 7" xfId="9316"/>
    <cellStyle name="Input 10 2 7 2" xfId="9317"/>
    <cellStyle name="Input 10 2 7 2 2" xfId="9318"/>
    <cellStyle name="Input 10 2 7 3" xfId="9319"/>
    <cellStyle name="Input 10 2 7 3 2" xfId="9320"/>
    <cellStyle name="Input 10 2 7 4" xfId="9321"/>
    <cellStyle name="Input 10 2 7 5" xfId="9322"/>
    <cellStyle name="Input 10 2 7 6" xfId="9323"/>
    <cellStyle name="Input 10 2 8" xfId="9324"/>
    <cellStyle name="Input 10 2 8 2" xfId="9325"/>
    <cellStyle name="Input 10 2 9" xfId="9326"/>
    <cellStyle name="Input 10 2 9 2" xfId="9327"/>
    <cellStyle name="Input 10 3" xfId="9328"/>
    <cellStyle name="Input 10 3 10" xfId="9329"/>
    <cellStyle name="Input 10 3 11" xfId="9330"/>
    <cellStyle name="Input 10 3 2" xfId="9331"/>
    <cellStyle name="Input 10 3 2 10" xfId="9332"/>
    <cellStyle name="Input 10 3 2 2" xfId="9333"/>
    <cellStyle name="Input 10 3 2 2 10" xfId="9334"/>
    <cellStyle name="Input 10 3 2 2 2" xfId="9335"/>
    <cellStyle name="Input 10 3 2 2 2 2" xfId="9336"/>
    <cellStyle name="Input 10 3 2 2 2 2 2" xfId="9337"/>
    <cellStyle name="Input 10 3 2 2 2 2 2 2" xfId="9338"/>
    <cellStyle name="Input 10 3 2 2 2 2 2 2 2" xfId="9339"/>
    <cellStyle name="Input 10 3 2 2 2 2 2 3" xfId="9340"/>
    <cellStyle name="Input 10 3 2 2 2 2 2 3 2" xfId="9341"/>
    <cellStyle name="Input 10 3 2 2 2 2 2 4" xfId="9342"/>
    <cellStyle name="Input 10 3 2 2 2 2 2 5" xfId="9343"/>
    <cellStyle name="Input 10 3 2 2 2 2 2 6" xfId="9344"/>
    <cellStyle name="Input 10 3 2 2 2 2 3" xfId="9345"/>
    <cellStyle name="Input 10 3 2 2 2 2 3 2" xfId="9346"/>
    <cellStyle name="Input 10 3 2 2 2 2 4" xfId="9347"/>
    <cellStyle name="Input 10 3 2 2 2 2 4 2" xfId="9348"/>
    <cellStyle name="Input 10 3 2 2 2 2 5" xfId="9349"/>
    <cellStyle name="Input 10 3 2 2 2 2 6" xfId="9350"/>
    <cellStyle name="Input 10 3 2 2 2 2 7" xfId="9351"/>
    <cellStyle name="Input 10 3 2 2 2 3" xfId="9352"/>
    <cellStyle name="Input 10 3 2 2 2 3 2" xfId="9353"/>
    <cellStyle name="Input 10 3 2 2 2 3 2 2" xfId="9354"/>
    <cellStyle name="Input 10 3 2 2 2 3 3" xfId="9355"/>
    <cellStyle name="Input 10 3 2 2 2 3 3 2" xfId="9356"/>
    <cellStyle name="Input 10 3 2 2 2 3 4" xfId="9357"/>
    <cellStyle name="Input 10 3 2 2 2 3 5" xfId="9358"/>
    <cellStyle name="Input 10 3 2 2 2 3 6" xfId="9359"/>
    <cellStyle name="Input 10 3 2 2 2 4" xfId="9360"/>
    <cellStyle name="Input 10 3 2 2 2 4 2" xfId="9361"/>
    <cellStyle name="Input 10 3 2 2 2 5" xfId="9362"/>
    <cellStyle name="Input 10 3 2 2 2 5 2" xfId="9363"/>
    <cellStyle name="Input 10 3 2 2 2 6" xfId="9364"/>
    <cellStyle name="Input 10 3 2 2 2 7" xfId="9365"/>
    <cellStyle name="Input 10 3 2 2 2 8" xfId="9366"/>
    <cellStyle name="Input 10 3 2 2 3" xfId="9367"/>
    <cellStyle name="Input 10 3 2 2 3 2" xfId="9368"/>
    <cellStyle name="Input 10 3 2 2 3 2 2" xfId="9369"/>
    <cellStyle name="Input 10 3 2 2 3 2 2 2" xfId="9370"/>
    <cellStyle name="Input 10 3 2 2 3 2 2 2 2" xfId="9371"/>
    <cellStyle name="Input 10 3 2 2 3 2 2 3" xfId="9372"/>
    <cellStyle name="Input 10 3 2 2 3 2 2 3 2" xfId="9373"/>
    <cellStyle name="Input 10 3 2 2 3 2 2 4" xfId="9374"/>
    <cellStyle name="Input 10 3 2 2 3 2 2 5" xfId="9375"/>
    <cellStyle name="Input 10 3 2 2 3 2 2 6" xfId="9376"/>
    <cellStyle name="Input 10 3 2 2 3 2 3" xfId="9377"/>
    <cellStyle name="Input 10 3 2 2 3 2 3 2" xfId="9378"/>
    <cellStyle name="Input 10 3 2 2 3 2 4" xfId="9379"/>
    <cellStyle name="Input 10 3 2 2 3 2 4 2" xfId="9380"/>
    <cellStyle name="Input 10 3 2 2 3 2 5" xfId="9381"/>
    <cellStyle name="Input 10 3 2 2 3 2 6" xfId="9382"/>
    <cellStyle name="Input 10 3 2 2 3 2 7" xfId="9383"/>
    <cellStyle name="Input 10 3 2 2 3 3" xfId="9384"/>
    <cellStyle name="Input 10 3 2 2 3 3 2" xfId="9385"/>
    <cellStyle name="Input 10 3 2 2 3 3 2 2" xfId="9386"/>
    <cellStyle name="Input 10 3 2 2 3 3 3" xfId="9387"/>
    <cellStyle name="Input 10 3 2 2 3 3 3 2" xfId="9388"/>
    <cellStyle name="Input 10 3 2 2 3 3 4" xfId="9389"/>
    <cellStyle name="Input 10 3 2 2 3 3 5" xfId="9390"/>
    <cellStyle name="Input 10 3 2 2 3 3 6" xfId="9391"/>
    <cellStyle name="Input 10 3 2 2 3 4" xfId="9392"/>
    <cellStyle name="Input 10 3 2 2 3 4 2" xfId="9393"/>
    <cellStyle name="Input 10 3 2 2 3 5" xfId="9394"/>
    <cellStyle name="Input 10 3 2 2 3 5 2" xfId="9395"/>
    <cellStyle name="Input 10 3 2 2 3 6" xfId="9396"/>
    <cellStyle name="Input 10 3 2 2 3 7" xfId="9397"/>
    <cellStyle name="Input 10 3 2 2 3 8" xfId="9398"/>
    <cellStyle name="Input 10 3 2 2 4" xfId="9399"/>
    <cellStyle name="Input 10 3 2 2 4 2" xfId="9400"/>
    <cellStyle name="Input 10 3 2 2 4 2 2" xfId="9401"/>
    <cellStyle name="Input 10 3 2 2 4 2 2 2" xfId="9402"/>
    <cellStyle name="Input 10 3 2 2 4 2 3" xfId="9403"/>
    <cellStyle name="Input 10 3 2 2 4 2 3 2" xfId="9404"/>
    <cellStyle name="Input 10 3 2 2 4 2 4" xfId="9405"/>
    <cellStyle name="Input 10 3 2 2 4 2 5" xfId="9406"/>
    <cellStyle name="Input 10 3 2 2 4 2 6" xfId="9407"/>
    <cellStyle name="Input 10 3 2 2 4 3" xfId="9408"/>
    <cellStyle name="Input 10 3 2 2 4 3 2" xfId="9409"/>
    <cellStyle name="Input 10 3 2 2 4 4" xfId="9410"/>
    <cellStyle name="Input 10 3 2 2 4 4 2" xfId="9411"/>
    <cellStyle name="Input 10 3 2 2 4 5" xfId="9412"/>
    <cellStyle name="Input 10 3 2 2 4 6" xfId="9413"/>
    <cellStyle name="Input 10 3 2 2 4 7" xfId="9414"/>
    <cellStyle name="Input 10 3 2 2 5" xfId="9415"/>
    <cellStyle name="Input 10 3 2 2 5 2" xfId="9416"/>
    <cellStyle name="Input 10 3 2 2 5 2 2" xfId="9417"/>
    <cellStyle name="Input 10 3 2 2 5 3" xfId="9418"/>
    <cellStyle name="Input 10 3 2 2 5 3 2" xfId="9419"/>
    <cellStyle name="Input 10 3 2 2 5 4" xfId="9420"/>
    <cellStyle name="Input 10 3 2 2 5 5" xfId="9421"/>
    <cellStyle name="Input 10 3 2 2 5 6" xfId="9422"/>
    <cellStyle name="Input 10 3 2 2 6" xfId="9423"/>
    <cellStyle name="Input 10 3 2 2 6 2" xfId="9424"/>
    <cellStyle name="Input 10 3 2 2 7" xfId="9425"/>
    <cellStyle name="Input 10 3 2 2 7 2" xfId="9426"/>
    <cellStyle name="Input 10 3 2 2 8" xfId="9427"/>
    <cellStyle name="Input 10 3 2 2 9" xfId="9428"/>
    <cellStyle name="Input 10 3 2 3" xfId="9429"/>
    <cellStyle name="Input 10 3 2 3 2" xfId="9430"/>
    <cellStyle name="Input 10 3 2 3 2 2" xfId="9431"/>
    <cellStyle name="Input 10 3 2 3 2 2 2" xfId="9432"/>
    <cellStyle name="Input 10 3 2 3 2 2 2 2" xfId="9433"/>
    <cellStyle name="Input 10 3 2 3 2 2 3" xfId="9434"/>
    <cellStyle name="Input 10 3 2 3 2 2 3 2" xfId="9435"/>
    <cellStyle name="Input 10 3 2 3 2 2 4" xfId="9436"/>
    <cellStyle name="Input 10 3 2 3 2 2 5" xfId="9437"/>
    <cellStyle name="Input 10 3 2 3 2 2 6" xfId="9438"/>
    <cellStyle name="Input 10 3 2 3 2 3" xfId="9439"/>
    <cellStyle name="Input 10 3 2 3 2 3 2" xfId="9440"/>
    <cellStyle name="Input 10 3 2 3 2 4" xfId="9441"/>
    <cellStyle name="Input 10 3 2 3 2 4 2" xfId="9442"/>
    <cellStyle name="Input 10 3 2 3 2 5" xfId="9443"/>
    <cellStyle name="Input 10 3 2 3 2 6" xfId="9444"/>
    <cellStyle name="Input 10 3 2 3 2 7" xfId="9445"/>
    <cellStyle name="Input 10 3 2 3 3" xfId="9446"/>
    <cellStyle name="Input 10 3 2 3 3 2" xfId="9447"/>
    <cellStyle name="Input 10 3 2 3 3 2 2" xfId="9448"/>
    <cellStyle name="Input 10 3 2 3 3 3" xfId="9449"/>
    <cellStyle name="Input 10 3 2 3 3 3 2" xfId="9450"/>
    <cellStyle name="Input 10 3 2 3 3 4" xfId="9451"/>
    <cellStyle name="Input 10 3 2 3 3 5" xfId="9452"/>
    <cellStyle name="Input 10 3 2 3 3 6" xfId="9453"/>
    <cellStyle name="Input 10 3 2 3 4" xfId="9454"/>
    <cellStyle name="Input 10 3 2 3 4 2" xfId="9455"/>
    <cellStyle name="Input 10 3 2 3 5" xfId="9456"/>
    <cellStyle name="Input 10 3 2 3 5 2" xfId="9457"/>
    <cellStyle name="Input 10 3 2 3 6" xfId="9458"/>
    <cellStyle name="Input 10 3 2 3 7" xfId="9459"/>
    <cellStyle name="Input 10 3 2 3 8" xfId="9460"/>
    <cellStyle name="Input 10 3 2 4" xfId="9461"/>
    <cellStyle name="Input 10 3 2 4 2" xfId="9462"/>
    <cellStyle name="Input 10 3 2 4 2 2" xfId="9463"/>
    <cellStyle name="Input 10 3 2 4 2 2 2" xfId="9464"/>
    <cellStyle name="Input 10 3 2 4 2 3" xfId="9465"/>
    <cellStyle name="Input 10 3 2 4 2 3 2" xfId="9466"/>
    <cellStyle name="Input 10 3 2 4 2 4" xfId="9467"/>
    <cellStyle name="Input 10 3 2 4 2 5" xfId="9468"/>
    <cellStyle name="Input 10 3 2 4 2 6" xfId="9469"/>
    <cellStyle name="Input 10 3 2 4 3" xfId="9470"/>
    <cellStyle name="Input 10 3 2 4 3 2" xfId="9471"/>
    <cellStyle name="Input 10 3 2 4 4" xfId="9472"/>
    <cellStyle name="Input 10 3 2 4 4 2" xfId="9473"/>
    <cellStyle name="Input 10 3 2 4 5" xfId="9474"/>
    <cellStyle name="Input 10 3 2 4 6" xfId="9475"/>
    <cellStyle name="Input 10 3 2 4 7" xfId="9476"/>
    <cellStyle name="Input 10 3 2 5" xfId="9477"/>
    <cellStyle name="Input 10 3 2 5 2" xfId="9478"/>
    <cellStyle name="Input 10 3 2 5 2 2" xfId="9479"/>
    <cellStyle name="Input 10 3 2 5 3" xfId="9480"/>
    <cellStyle name="Input 10 3 2 5 3 2" xfId="9481"/>
    <cellStyle name="Input 10 3 2 5 4" xfId="9482"/>
    <cellStyle name="Input 10 3 2 5 5" xfId="9483"/>
    <cellStyle name="Input 10 3 2 5 6" xfId="9484"/>
    <cellStyle name="Input 10 3 2 6" xfId="9485"/>
    <cellStyle name="Input 10 3 2 6 2" xfId="9486"/>
    <cellStyle name="Input 10 3 2 7" xfId="9487"/>
    <cellStyle name="Input 10 3 2 7 2" xfId="9488"/>
    <cellStyle name="Input 10 3 2 8" xfId="9489"/>
    <cellStyle name="Input 10 3 2 9" xfId="9490"/>
    <cellStyle name="Input 10 3 3" xfId="9491"/>
    <cellStyle name="Input 10 3 3 10" xfId="9492"/>
    <cellStyle name="Input 10 3 3 2" xfId="9493"/>
    <cellStyle name="Input 10 3 3 2 2" xfId="9494"/>
    <cellStyle name="Input 10 3 3 2 2 2" xfId="9495"/>
    <cellStyle name="Input 10 3 3 2 2 2 2" xfId="9496"/>
    <cellStyle name="Input 10 3 3 2 2 2 2 2" xfId="9497"/>
    <cellStyle name="Input 10 3 3 2 2 2 3" xfId="9498"/>
    <cellStyle name="Input 10 3 3 2 2 2 3 2" xfId="9499"/>
    <cellStyle name="Input 10 3 3 2 2 2 4" xfId="9500"/>
    <cellStyle name="Input 10 3 3 2 2 2 5" xfId="9501"/>
    <cellStyle name="Input 10 3 3 2 2 2 6" xfId="9502"/>
    <cellStyle name="Input 10 3 3 2 2 3" xfId="9503"/>
    <cellStyle name="Input 10 3 3 2 2 3 2" xfId="9504"/>
    <cellStyle name="Input 10 3 3 2 2 4" xfId="9505"/>
    <cellStyle name="Input 10 3 3 2 2 4 2" xfId="9506"/>
    <cellStyle name="Input 10 3 3 2 2 5" xfId="9507"/>
    <cellStyle name="Input 10 3 3 2 2 6" xfId="9508"/>
    <cellStyle name="Input 10 3 3 2 2 7" xfId="9509"/>
    <cellStyle name="Input 10 3 3 2 3" xfId="9510"/>
    <cellStyle name="Input 10 3 3 2 3 2" xfId="9511"/>
    <cellStyle name="Input 10 3 3 2 3 2 2" xfId="9512"/>
    <cellStyle name="Input 10 3 3 2 3 3" xfId="9513"/>
    <cellStyle name="Input 10 3 3 2 3 3 2" xfId="9514"/>
    <cellStyle name="Input 10 3 3 2 3 4" xfId="9515"/>
    <cellStyle name="Input 10 3 3 2 3 5" xfId="9516"/>
    <cellStyle name="Input 10 3 3 2 3 6" xfId="9517"/>
    <cellStyle name="Input 10 3 3 2 4" xfId="9518"/>
    <cellStyle name="Input 10 3 3 2 4 2" xfId="9519"/>
    <cellStyle name="Input 10 3 3 2 5" xfId="9520"/>
    <cellStyle name="Input 10 3 3 2 5 2" xfId="9521"/>
    <cellStyle name="Input 10 3 3 2 6" xfId="9522"/>
    <cellStyle name="Input 10 3 3 2 7" xfId="9523"/>
    <cellStyle name="Input 10 3 3 2 8" xfId="9524"/>
    <cellStyle name="Input 10 3 3 3" xfId="9525"/>
    <cellStyle name="Input 10 3 3 3 2" xfId="9526"/>
    <cellStyle name="Input 10 3 3 3 2 2" xfId="9527"/>
    <cellStyle name="Input 10 3 3 3 2 2 2" xfId="9528"/>
    <cellStyle name="Input 10 3 3 3 2 2 2 2" xfId="9529"/>
    <cellStyle name="Input 10 3 3 3 2 2 3" xfId="9530"/>
    <cellStyle name="Input 10 3 3 3 2 2 3 2" xfId="9531"/>
    <cellStyle name="Input 10 3 3 3 2 2 4" xfId="9532"/>
    <cellStyle name="Input 10 3 3 3 2 2 5" xfId="9533"/>
    <cellStyle name="Input 10 3 3 3 2 2 6" xfId="9534"/>
    <cellStyle name="Input 10 3 3 3 2 3" xfId="9535"/>
    <cellStyle name="Input 10 3 3 3 2 3 2" xfId="9536"/>
    <cellStyle name="Input 10 3 3 3 2 4" xfId="9537"/>
    <cellStyle name="Input 10 3 3 3 2 4 2" xfId="9538"/>
    <cellStyle name="Input 10 3 3 3 2 5" xfId="9539"/>
    <cellStyle name="Input 10 3 3 3 2 6" xfId="9540"/>
    <cellStyle name="Input 10 3 3 3 2 7" xfId="9541"/>
    <cellStyle name="Input 10 3 3 3 3" xfId="9542"/>
    <cellStyle name="Input 10 3 3 3 3 2" xfId="9543"/>
    <cellStyle name="Input 10 3 3 3 3 2 2" xfId="9544"/>
    <cellStyle name="Input 10 3 3 3 3 3" xfId="9545"/>
    <cellStyle name="Input 10 3 3 3 3 3 2" xfId="9546"/>
    <cellStyle name="Input 10 3 3 3 3 4" xfId="9547"/>
    <cellStyle name="Input 10 3 3 3 3 5" xfId="9548"/>
    <cellStyle name="Input 10 3 3 3 3 6" xfId="9549"/>
    <cellStyle name="Input 10 3 3 3 4" xfId="9550"/>
    <cellStyle name="Input 10 3 3 3 4 2" xfId="9551"/>
    <cellStyle name="Input 10 3 3 3 5" xfId="9552"/>
    <cellStyle name="Input 10 3 3 3 5 2" xfId="9553"/>
    <cellStyle name="Input 10 3 3 3 6" xfId="9554"/>
    <cellStyle name="Input 10 3 3 3 7" xfId="9555"/>
    <cellStyle name="Input 10 3 3 3 8" xfId="9556"/>
    <cellStyle name="Input 10 3 3 4" xfId="9557"/>
    <cellStyle name="Input 10 3 3 4 2" xfId="9558"/>
    <cellStyle name="Input 10 3 3 4 2 2" xfId="9559"/>
    <cellStyle name="Input 10 3 3 4 2 2 2" xfId="9560"/>
    <cellStyle name="Input 10 3 3 4 2 3" xfId="9561"/>
    <cellStyle name="Input 10 3 3 4 2 3 2" xfId="9562"/>
    <cellStyle name="Input 10 3 3 4 2 4" xfId="9563"/>
    <cellStyle name="Input 10 3 3 4 2 5" xfId="9564"/>
    <cellStyle name="Input 10 3 3 4 2 6" xfId="9565"/>
    <cellStyle name="Input 10 3 3 4 3" xfId="9566"/>
    <cellStyle name="Input 10 3 3 4 3 2" xfId="9567"/>
    <cellStyle name="Input 10 3 3 4 4" xfId="9568"/>
    <cellStyle name="Input 10 3 3 4 4 2" xfId="9569"/>
    <cellStyle name="Input 10 3 3 4 5" xfId="9570"/>
    <cellStyle name="Input 10 3 3 4 6" xfId="9571"/>
    <cellStyle name="Input 10 3 3 4 7" xfId="9572"/>
    <cellStyle name="Input 10 3 3 5" xfId="9573"/>
    <cellStyle name="Input 10 3 3 5 2" xfId="9574"/>
    <cellStyle name="Input 10 3 3 5 2 2" xfId="9575"/>
    <cellStyle name="Input 10 3 3 5 3" xfId="9576"/>
    <cellStyle name="Input 10 3 3 5 3 2" xfId="9577"/>
    <cellStyle name="Input 10 3 3 5 4" xfId="9578"/>
    <cellStyle name="Input 10 3 3 5 5" xfId="9579"/>
    <cellStyle name="Input 10 3 3 5 6" xfId="9580"/>
    <cellStyle name="Input 10 3 3 6" xfId="9581"/>
    <cellStyle name="Input 10 3 3 6 2" xfId="9582"/>
    <cellStyle name="Input 10 3 3 7" xfId="9583"/>
    <cellStyle name="Input 10 3 3 7 2" xfId="9584"/>
    <cellStyle name="Input 10 3 3 8" xfId="9585"/>
    <cellStyle name="Input 10 3 3 9" xfId="9586"/>
    <cellStyle name="Input 10 3 4" xfId="9587"/>
    <cellStyle name="Input 10 3 4 2" xfId="9588"/>
    <cellStyle name="Input 10 3 4 2 2" xfId="9589"/>
    <cellStyle name="Input 10 3 4 2 2 2" xfId="9590"/>
    <cellStyle name="Input 10 3 4 2 2 2 2" xfId="9591"/>
    <cellStyle name="Input 10 3 4 2 2 3" xfId="9592"/>
    <cellStyle name="Input 10 3 4 2 2 3 2" xfId="9593"/>
    <cellStyle name="Input 10 3 4 2 2 4" xfId="9594"/>
    <cellStyle name="Input 10 3 4 2 2 5" xfId="9595"/>
    <cellStyle name="Input 10 3 4 2 2 6" xfId="9596"/>
    <cellStyle name="Input 10 3 4 2 3" xfId="9597"/>
    <cellStyle name="Input 10 3 4 2 3 2" xfId="9598"/>
    <cellStyle name="Input 10 3 4 2 4" xfId="9599"/>
    <cellStyle name="Input 10 3 4 2 4 2" xfId="9600"/>
    <cellStyle name="Input 10 3 4 2 5" xfId="9601"/>
    <cellStyle name="Input 10 3 4 2 6" xfId="9602"/>
    <cellStyle name="Input 10 3 4 2 7" xfId="9603"/>
    <cellStyle name="Input 10 3 4 3" xfId="9604"/>
    <cellStyle name="Input 10 3 4 3 2" xfId="9605"/>
    <cellStyle name="Input 10 3 4 3 2 2" xfId="9606"/>
    <cellStyle name="Input 10 3 4 3 3" xfId="9607"/>
    <cellStyle name="Input 10 3 4 3 3 2" xfId="9608"/>
    <cellStyle name="Input 10 3 4 3 4" xfId="9609"/>
    <cellStyle name="Input 10 3 4 3 5" xfId="9610"/>
    <cellStyle name="Input 10 3 4 3 6" xfId="9611"/>
    <cellStyle name="Input 10 3 4 4" xfId="9612"/>
    <cellStyle name="Input 10 3 4 4 2" xfId="9613"/>
    <cellStyle name="Input 10 3 4 5" xfId="9614"/>
    <cellStyle name="Input 10 3 4 5 2" xfId="9615"/>
    <cellStyle name="Input 10 3 4 6" xfId="9616"/>
    <cellStyle name="Input 10 3 4 7" xfId="9617"/>
    <cellStyle name="Input 10 3 4 8" xfId="9618"/>
    <cellStyle name="Input 10 3 5" xfId="9619"/>
    <cellStyle name="Input 10 3 5 2" xfId="9620"/>
    <cellStyle name="Input 10 3 5 2 2" xfId="9621"/>
    <cellStyle name="Input 10 3 5 2 2 2" xfId="9622"/>
    <cellStyle name="Input 10 3 5 2 3" xfId="9623"/>
    <cellStyle name="Input 10 3 5 2 3 2" xfId="9624"/>
    <cellStyle name="Input 10 3 5 2 4" xfId="9625"/>
    <cellStyle name="Input 10 3 5 2 5" xfId="9626"/>
    <cellStyle name="Input 10 3 5 2 6" xfId="9627"/>
    <cellStyle name="Input 10 3 5 3" xfId="9628"/>
    <cellStyle name="Input 10 3 5 3 2" xfId="9629"/>
    <cellStyle name="Input 10 3 5 4" xfId="9630"/>
    <cellStyle name="Input 10 3 5 4 2" xfId="9631"/>
    <cellStyle name="Input 10 3 5 5" xfId="9632"/>
    <cellStyle name="Input 10 3 5 6" xfId="9633"/>
    <cellStyle name="Input 10 3 5 7" xfId="9634"/>
    <cellStyle name="Input 10 3 6" xfId="9635"/>
    <cellStyle name="Input 10 3 6 2" xfId="9636"/>
    <cellStyle name="Input 10 3 6 2 2" xfId="9637"/>
    <cellStyle name="Input 10 3 6 3" xfId="9638"/>
    <cellStyle name="Input 10 3 6 3 2" xfId="9639"/>
    <cellStyle name="Input 10 3 6 4" xfId="9640"/>
    <cellStyle name="Input 10 3 6 5" xfId="9641"/>
    <cellStyle name="Input 10 3 6 6" xfId="9642"/>
    <cellStyle name="Input 10 3 7" xfId="9643"/>
    <cellStyle name="Input 10 3 7 2" xfId="9644"/>
    <cellStyle name="Input 10 3 8" xfId="9645"/>
    <cellStyle name="Input 10 3 8 2" xfId="9646"/>
    <cellStyle name="Input 10 3 9" xfId="9647"/>
    <cellStyle name="Input 10 4" xfId="9648"/>
    <cellStyle name="Input 10 4 10" xfId="9649"/>
    <cellStyle name="Input 10 4 11" xfId="9650"/>
    <cellStyle name="Input 10 4 2" xfId="9651"/>
    <cellStyle name="Input 10 4 2 10" xfId="9652"/>
    <cellStyle name="Input 10 4 2 2" xfId="9653"/>
    <cellStyle name="Input 10 4 2 2 2" xfId="9654"/>
    <cellStyle name="Input 10 4 2 2 2 2" xfId="9655"/>
    <cellStyle name="Input 10 4 2 2 2 2 2" xfId="9656"/>
    <cellStyle name="Input 10 4 2 2 2 2 2 2" xfId="9657"/>
    <cellStyle name="Input 10 4 2 2 2 2 3" xfId="9658"/>
    <cellStyle name="Input 10 4 2 2 2 2 3 2" xfId="9659"/>
    <cellStyle name="Input 10 4 2 2 2 2 4" xfId="9660"/>
    <cellStyle name="Input 10 4 2 2 2 2 5" xfId="9661"/>
    <cellStyle name="Input 10 4 2 2 2 2 6" xfId="9662"/>
    <cellStyle name="Input 10 4 2 2 2 3" xfId="9663"/>
    <cellStyle name="Input 10 4 2 2 2 3 2" xfId="9664"/>
    <cellStyle name="Input 10 4 2 2 2 4" xfId="9665"/>
    <cellStyle name="Input 10 4 2 2 2 4 2" xfId="9666"/>
    <cellStyle name="Input 10 4 2 2 2 5" xfId="9667"/>
    <cellStyle name="Input 10 4 2 2 2 6" xfId="9668"/>
    <cellStyle name="Input 10 4 2 2 2 7" xfId="9669"/>
    <cellStyle name="Input 10 4 2 2 3" xfId="9670"/>
    <cellStyle name="Input 10 4 2 2 3 2" xfId="9671"/>
    <cellStyle name="Input 10 4 2 2 3 2 2" xfId="9672"/>
    <cellStyle name="Input 10 4 2 2 3 3" xfId="9673"/>
    <cellStyle name="Input 10 4 2 2 3 3 2" xfId="9674"/>
    <cellStyle name="Input 10 4 2 2 3 4" xfId="9675"/>
    <cellStyle name="Input 10 4 2 2 3 5" xfId="9676"/>
    <cellStyle name="Input 10 4 2 2 3 6" xfId="9677"/>
    <cellStyle name="Input 10 4 2 2 4" xfId="9678"/>
    <cellStyle name="Input 10 4 2 2 4 2" xfId="9679"/>
    <cellStyle name="Input 10 4 2 2 5" xfId="9680"/>
    <cellStyle name="Input 10 4 2 2 5 2" xfId="9681"/>
    <cellStyle name="Input 10 4 2 2 6" xfId="9682"/>
    <cellStyle name="Input 10 4 2 2 7" xfId="9683"/>
    <cellStyle name="Input 10 4 2 2 8" xfId="9684"/>
    <cellStyle name="Input 10 4 2 3" xfId="9685"/>
    <cellStyle name="Input 10 4 2 3 2" xfId="9686"/>
    <cellStyle name="Input 10 4 2 3 2 2" xfId="9687"/>
    <cellStyle name="Input 10 4 2 3 2 2 2" xfId="9688"/>
    <cellStyle name="Input 10 4 2 3 2 2 2 2" xfId="9689"/>
    <cellStyle name="Input 10 4 2 3 2 2 3" xfId="9690"/>
    <cellStyle name="Input 10 4 2 3 2 2 3 2" xfId="9691"/>
    <cellStyle name="Input 10 4 2 3 2 2 4" xfId="9692"/>
    <cellStyle name="Input 10 4 2 3 2 2 5" xfId="9693"/>
    <cellStyle name="Input 10 4 2 3 2 2 6" xfId="9694"/>
    <cellStyle name="Input 10 4 2 3 2 3" xfId="9695"/>
    <cellStyle name="Input 10 4 2 3 2 3 2" xfId="9696"/>
    <cellStyle name="Input 10 4 2 3 2 4" xfId="9697"/>
    <cellStyle name="Input 10 4 2 3 2 4 2" xfId="9698"/>
    <cellStyle name="Input 10 4 2 3 2 5" xfId="9699"/>
    <cellStyle name="Input 10 4 2 3 2 6" xfId="9700"/>
    <cellStyle name="Input 10 4 2 3 2 7" xfId="9701"/>
    <cellStyle name="Input 10 4 2 3 3" xfId="9702"/>
    <cellStyle name="Input 10 4 2 3 3 2" xfId="9703"/>
    <cellStyle name="Input 10 4 2 3 3 2 2" xfId="9704"/>
    <cellStyle name="Input 10 4 2 3 3 3" xfId="9705"/>
    <cellStyle name="Input 10 4 2 3 3 3 2" xfId="9706"/>
    <cellStyle name="Input 10 4 2 3 3 4" xfId="9707"/>
    <cellStyle name="Input 10 4 2 3 3 5" xfId="9708"/>
    <cellStyle name="Input 10 4 2 3 3 6" xfId="9709"/>
    <cellStyle name="Input 10 4 2 3 4" xfId="9710"/>
    <cellStyle name="Input 10 4 2 3 4 2" xfId="9711"/>
    <cellStyle name="Input 10 4 2 3 5" xfId="9712"/>
    <cellStyle name="Input 10 4 2 3 5 2" xfId="9713"/>
    <cellStyle name="Input 10 4 2 3 6" xfId="9714"/>
    <cellStyle name="Input 10 4 2 3 7" xfId="9715"/>
    <cellStyle name="Input 10 4 2 3 8" xfId="9716"/>
    <cellStyle name="Input 10 4 2 4" xfId="9717"/>
    <cellStyle name="Input 10 4 2 4 2" xfId="9718"/>
    <cellStyle name="Input 10 4 2 4 2 2" xfId="9719"/>
    <cellStyle name="Input 10 4 2 4 2 2 2" xfId="9720"/>
    <cellStyle name="Input 10 4 2 4 2 3" xfId="9721"/>
    <cellStyle name="Input 10 4 2 4 2 3 2" xfId="9722"/>
    <cellStyle name="Input 10 4 2 4 2 4" xfId="9723"/>
    <cellStyle name="Input 10 4 2 4 2 5" xfId="9724"/>
    <cellStyle name="Input 10 4 2 4 2 6" xfId="9725"/>
    <cellStyle name="Input 10 4 2 4 3" xfId="9726"/>
    <cellStyle name="Input 10 4 2 4 3 2" xfId="9727"/>
    <cellStyle name="Input 10 4 2 4 4" xfId="9728"/>
    <cellStyle name="Input 10 4 2 4 4 2" xfId="9729"/>
    <cellStyle name="Input 10 4 2 4 5" xfId="9730"/>
    <cellStyle name="Input 10 4 2 4 6" xfId="9731"/>
    <cellStyle name="Input 10 4 2 4 7" xfId="9732"/>
    <cellStyle name="Input 10 4 2 5" xfId="9733"/>
    <cellStyle name="Input 10 4 2 5 2" xfId="9734"/>
    <cellStyle name="Input 10 4 2 5 2 2" xfId="9735"/>
    <cellStyle name="Input 10 4 2 5 3" xfId="9736"/>
    <cellStyle name="Input 10 4 2 5 3 2" xfId="9737"/>
    <cellStyle name="Input 10 4 2 5 4" xfId="9738"/>
    <cellStyle name="Input 10 4 2 5 5" xfId="9739"/>
    <cellStyle name="Input 10 4 2 5 6" xfId="9740"/>
    <cellStyle name="Input 10 4 2 6" xfId="9741"/>
    <cellStyle name="Input 10 4 2 6 2" xfId="9742"/>
    <cellStyle name="Input 10 4 2 7" xfId="9743"/>
    <cellStyle name="Input 10 4 2 7 2" xfId="9744"/>
    <cellStyle name="Input 10 4 2 8" xfId="9745"/>
    <cellStyle name="Input 10 4 2 9" xfId="9746"/>
    <cellStyle name="Input 10 4 3" xfId="9747"/>
    <cellStyle name="Input 10 4 3 2" xfId="9748"/>
    <cellStyle name="Input 10 4 3 2 2" xfId="9749"/>
    <cellStyle name="Input 10 4 3 2 2 2" xfId="9750"/>
    <cellStyle name="Input 10 4 3 2 2 2 2" xfId="9751"/>
    <cellStyle name="Input 10 4 3 2 2 3" xfId="9752"/>
    <cellStyle name="Input 10 4 3 2 2 3 2" xfId="9753"/>
    <cellStyle name="Input 10 4 3 2 2 4" xfId="9754"/>
    <cellStyle name="Input 10 4 3 2 2 5" xfId="9755"/>
    <cellStyle name="Input 10 4 3 2 2 6" xfId="9756"/>
    <cellStyle name="Input 10 4 3 2 3" xfId="9757"/>
    <cellStyle name="Input 10 4 3 2 3 2" xfId="9758"/>
    <cellStyle name="Input 10 4 3 2 4" xfId="9759"/>
    <cellStyle name="Input 10 4 3 2 4 2" xfId="9760"/>
    <cellStyle name="Input 10 4 3 2 5" xfId="9761"/>
    <cellStyle name="Input 10 4 3 2 6" xfId="9762"/>
    <cellStyle name="Input 10 4 3 2 7" xfId="9763"/>
    <cellStyle name="Input 10 4 3 3" xfId="9764"/>
    <cellStyle name="Input 10 4 3 3 2" xfId="9765"/>
    <cellStyle name="Input 10 4 3 3 2 2" xfId="9766"/>
    <cellStyle name="Input 10 4 3 3 3" xfId="9767"/>
    <cellStyle name="Input 10 4 3 3 3 2" xfId="9768"/>
    <cellStyle name="Input 10 4 3 3 4" xfId="9769"/>
    <cellStyle name="Input 10 4 3 3 5" xfId="9770"/>
    <cellStyle name="Input 10 4 3 3 6" xfId="9771"/>
    <cellStyle name="Input 10 4 3 4" xfId="9772"/>
    <cellStyle name="Input 10 4 3 4 2" xfId="9773"/>
    <cellStyle name="Input 10 4 3 5" xfId="9774"/>
    <cellStyle name="Input 10 4 3 5 2" xfId="9775"/>
    <cellStyle name="Input 10 4 3 6" xfId="9776"/>
    <cellStyle name="Input 10 4 3 7" xfId="9777"/>
    <cellStyle name="Input 10 4 3 8" xfId="9778"/>
    <cellStyle name="Input 10 4 4" xfId="9779"/>
    <cellStyle name="Input 10 4 4 2" xfId="9780"/>
    <cellStyle name="Input 10 4 4 2 2" xfId="9781"/>
    <cellStyle name="Input 10 4 4 2 2 2" xfId="9782"/>
    <cellStyle name="Input 10 4 4 2 2 2 2" xfId="9783"/>
    <cellStyle name="Input 10 4 4 2 2 3" xfId="9784"/>
    <cellStyle name="Input 10 4 4 2 2 3 2" xfId="9785"/>
    <cellStyle name="Input 10 4 4 2 2 4" xfId="9786"/>
    <cellStyle name="Input 10 4 4 2 2 5" xfId="9787"/>
    <cellStyle name="Input 10 4 4 2 2 6" xfId="9788"/>
    <cellStyle name="Input 10 4 4 2 3" xfId="9789"/>
    <cellStyle name="Input 10 4 4 2 3 2" xfId="9790"/>
    <cellStyle name="Input 10 4 4 2 4" xfId="9791"/>
    <cellStyle name="Input 10 4 4 2 4 2" xfId="9792"/>
    <cellStyle name="Input 10 4 4 2 5" xfId="9793"/>
    <cellStyle name="Input 10 4 4 2 6" xfId="9794"/>
    <cellStyle name="Input 10 4 4 2 7" xfId="9795"/>
    <cellStyle name="Input 10 4 4 3" xfId="9796"/>
    <cellStyle name="Input 10 4 4 3 2" xfId="9797"/>
    <cellStyle name="Input 10 4 4 3 2 2" xfId="9798"/>
    <cellStyle name="Input 10 4 4 3 3" xfId="9799"/>
    <cellStyle name="Input 10 4 4 3 3 2" xfId="9800"/>
    <cellStyle name="Input 10 4 4 3 4" xfId="9801"/>
    <cellStyle name="Input 10 4 4 3 5" xfId="9802"/>
    <cellStyle name="Input 10 4 4 3 6" xfId="9803"/>
    <cellStyle name="Input 10 4 4 4" xfId="9804"/>
    <cellStyle name="Input 10 4 4 4 2" xfId="9805"/>
    <cellStyle name="Input 10 4 4 5" xfId="9806"/>
    <cellStyle name="Input 10 4 4 5 2" xfId="9807"/>
    <cellStyle name="Input 10 4 4 6" xfId="9808"/>
    <cellStyle name="Input 10 4 4 7" xfId="9809"/>
    <cellStyle name="Input 10 4 4 8" xfId="9810"/>
    <cellStyle name="Input 10 4 5" xfId="9811"/>
    <cellStyle name="Input 10 4 5 2" xfId="9812"/>
    <cellStyle name="Input 10 4 5 2 2" xfId="9813"/>
    <cellStyle name="Input 10 4 5 2 2 2" xfId="9814"/>
    <cellStyle name="Input 10 4 5 2 3" xfId="9815"/>
    <cellStyle name="Input 10 4 5 2 3 2" xfId="9816"/>
    <cellStyle name="Input 10 4 5 2 4" xfId="9817"/>
    <cellStyle name="Input 10 4 5 2 5" xfId="9818"/>
    <cellStyle name="Input 10 4 5 2 6" xfId="9819"/>
    <cellStyle name="Input 10 4 5 3" xfId="9820"/>
    <cellStyle name="Input 10 4 5 3 2" xfId="9821"/>
    <cellStyle name="Input 10 4 5 4" xfId="9822"/>
    <cellStyle name="Input 10 4 5 4 2" xfId="9823"/>
    <cellStyle name="Input 10 4 5 5" xfId="9824"/>
    <cellStyle name="Input 10 4 5 6" xfId="9825"/>
    <cellStyle name="Input 10 4 5 7" xfId="9826"/>
    <cellStyle name="Input 10 4 6" xfId="9827"/>
    <cellStyle name="Input 10 4 6 2" xfId="9828"/>
    <cellStyle name="Input 10 4 6 2 2" xfId="9829"/>
    <cellStyle name="Input 10 4 6 3" xfId="9830"/>
    <cellStyle name="Input 10 4 6 3 2" xfId="9831"/>
    <cellStyle name="Input 10 4 6 4" xfId="9832"/>
    <cellStyle name="Input 10 4 6 5" xfId="9833"/>
    <cellStyle name="Input 10 4 6 6" xfId="9834"/>
    <cellStyle name="Input 10 4 7" xfId="9835"/>
    <cellStyle name="Input 10 4 7 2" xfId="9836"/>
    <cellStyle name="Input 10 4 8" xfId="9837"/>
    <cellStyle name="Input 10 4 8 2" xfId="9838"/>
    <cellStyle name="Input 10 4 9" xfId="9839"/>
    <cellStyle name="Input 10 5" xfId="9840"/>
    <cellStyle name="Input 10 5 10" xfId="9841"/>
    <cellStyle name="Input 10 5 2" xfId="9842"/>
    <cellStyle name="Input 10 5 2 2" xfId="9843"/>
    <cellStyle name="Input 10 5 2 2 2" xfId="9844"/>
    <cellStyle name="Input 10 5 2 2 2 2" xfId="9845"/>
    <cellStyle name="Input 10 5 2 2 2 2 2" xfId="9846"/>
    <cellStyle name="Input 10 5 2 2 2 3" xfId="9847"/>
    <cellStyle name="Input 10 5 2 2 2 3 2" xfId="9848"/>
    <cellStyle name="Input 10 5 2 2 2 4" xfId="9849"/>
    <cellStyle name="Input 10 5 2 2 2 5" xfId="9850"/>
    <cellStyle name="Input 10 5 2 2 2 6" xfId="9851"/>
    <cellStyle name="Input 10 5 2 2 3" xfId="9852"/>
    <cellStyle name="Input 10 5 2 2 3 2" xfId="9853"/>
    <cellStyle name="Input 10 5 2 2 4" xfId="9854"/>
    <cellStyle name="Input 10 5 2 2 4 2" xfId="9855"/>
    <cellStyle name="Input 10 5 2 2 5" xfId="9856"/>
    <cellStyle name="Input 10 5 2 2 6" xfId="9857"/>
    <cellStyle name="Input 10 5 2 2 7" xfId="9858"/>
    <cellStyle name="Input 10 5 2 3" xfId="9859"/>
    <cellStyle name="Input 10 5 2 3 2" xfId="9860"/>
    <cellStyle name="Input 10 5 2 3 2 2" xfId="9861"/>
    <cellStyle name="Input 10 5 2 3 3" xfId="9862"/>
    <cellStyle name="Input 10 5 2 3 3 2" xfId="9863"/>
    <cellStyle name="Input 10 5 2 3 4" xfId="9864"/>
    <cellStyle name="Input 10 5 2 3 5" xfId="9865"/>
    <cellStyle name="Input 10 5 2 3 6" xfId="9866"/>
    <cellStyle name="Input 10 5 2 4" xfId="9867"/>
    <cellStyle name="Input 10 5 2 4 2" xfId="9868"/>
    <cellStyle name="Input 10 5 2 5" xfId="9869"/>
    <cellStyle name="Input 10 5 2 5 2" xfId="9870"/>
    <cellStyle name="Input 10 5 2 6" xfId="9871"/>
    <cellStyle name="Input 10 5 2 7" xfId="9872"/>
    <cellStyle name="Input 10 5 2 8" xfId="9873"/>
    <cellStyle name="Input 10 5 3" xfId="9874"/>
    <cellStyle name="Input 10 5 3 2" xfId="9875"/>
    <cellStyle name="Input 10 5 3 2 2" xfId="9876"/>
    <cellStyle name="Input 10 5 3 2 2 2" xfId="9877"/>
    <cellStyle name="Input 10 5 3 2 2 2 2" xfId="9878"/>
    <cellStyle name="Input 10 5 3 2 2 3" xfId="9879"/>
    <cellStyle name="Input 10 5 3 2 2 3 2" xfId="9880"/>
    <cellStyle name="Input 10 5 3 2 2 4" xfId="9881"/>
    <cellStyle name="Input 10 5 3 2 2 5" xfId="9882"/>
    <cellStyle name="Input 10 5 3 2 2 6" xfId="9883"/>
    <cellStyle name="Input 10 5 3 2 3" xfId="9884"/>
    <cellStyle name="Input 10 5 3 2 3 2" xfId="9885"/>
    <cellStyle name="Input 10 5 3 2 4" xfId="9886"/>
    <cellStyle name="Input 10 5 3 2 4 2" xfId="9887"/>
    <cellStyle name="Input 10 5 3 2 5" xfId="9888"/>
    <cellStyle name="Input 10 5 3 2 6" xfId="9889"/>
    <cellStyle name="Input 10 5 3 2 7" xfId="9890"/>
    <cellStyle name="Input 10 5 3 3" xfId="9891"/>
    <cellStyle name="Input 10 5 3 3 2" xfId="9892"/>
    <cellStyle name="Input 10 5 3 3 2 2" xfId="9893"/>
    <cellStyle name="Input 10 5 3 3 3" xfId="9894"/>
    <cellStyle name="Input 10 5 3 3 3 2" xfId="9895"/>
    <cellStyle name="Input 10 5 3 3 4" xfId="9896"/>
    <cellStyle name="Input 10 5 3 3 5" xfId="9897"/>
    <cellStyle name="Input 10 5 3 3 6" xfId="9898"/>
    <cellStyle name="Input 10 5 3 4" xfId="9899"/>
    <cellStyle name="Input 10 5 3 4 2" xfId="9900"/>
    <cellStyle name="Input 10 5 3 5" xfId="9901"/>
    <cellStyle name="Input 10 5 3 5 2" xfId="9902"/>
    <cellStyle name="Input 10 5 3 6" xfId="9903"/>
    <cellStyle name="Input 10 5 3 7" xfId="9904"/>
    <cellStyle name="Input 10 5 3 8" xfId="9905"/>
    <cellStyle name="Input 10 5 4" xfId="9906"/>
    <cellStyle name="Input 10 5 4 2" xfId="9907"/>
    <cellStyle name="Input 10 5 4 2 2" xfId="9908"/>
    <cellStyle name="Input 10 5 4 2 2 2" xfId="9909"/>
    <cellStyle name="Input 10 5 4 2 3" xfId="9910"/>
    <cellStyle name="Input 10 5 4 2 3 2" xfId="9911"/>
    <cellStyle name="Input 10 5 4 2 4" xfId="9912"/>
    <cellStyle name="Input 10 5 4 2 5" xfId="9913"/>
    <cellStyle name="Input 10 5 4 2 6" xfId="9914"/>
    <cellStyle name="Input 10 5 4 3" xfId="9915"/>
    <cellStyle name="Input 10 5 4 3 2" xfId="9916"/>
    <cellStyle name="Input 10 5 4 4" xfId="9917"/>
    <cellStyle name="Input 10 5 4 4 2" xfId="9918"/>
    <cellStyle name="Input 10 5 4 5" xfId="9919"/>
    <cellStyle name="Input 10 5 4 6" xfId="9920"/>
    <cellStyle name="Input 10 5 4 7" xfId="9921"/>
    <cellStyle name="Input 10 5 5" xfId="9922"/>
    <cellStyle name="Input 10 5 5 2" xfId="9923"/>
    <cellStyle name="Input 10 5 5 2 2" xfId="9924"/>
    <cellStyle name="Input 10 5 5 3" xfId="9925"/>
    <cellStyle name="Input 10 5 5 3 2" xfId="9926"/>
    <cellStyle name="Input 10 5 5 4" xfId="9927"/>
    <cellStyle name="Input 10 5 5 5" xfId="9928"/>
    <cellStyle name="Input 10 5 5 6" xfId="9929"/>
    <cellStyle name="Input 10 5 6" xfId="9930"/>
    <cellStyle name="Input 10 5 6 2" xfId="9931"/>
    <cellStyle name="Input 10 5 7" xfId="9932"/>
    <cellStyle name="Input 10 5 7 2" xfId="9933"/>
    <cellStyle name="Input 10 5 8" xfId="9934"/>
    <cellStyle name="Input 10 5 9" xfId="9935"/>
    <cellStyle name="Input 10 6" xfId="9936"/>
    <cellStyle name="Input 10 6 2" xfId="9937"/>
    <cellStyle name="Input 10 6 2 2" xfId="9938"/>
    <cellStyle name="Input 10 6 2 2 2" xfId="9939"/>
    <cellStyle name="Input 10 6 2 2 2 2" xfId="9940"/>
    <cellStyle name="Input 10 6 2 2 3" xfId="9941"/>
    <cellStyle name="Input 10 6 2 2 3 2" xfId="9942"/>
    <cellStyle name="Input 10 6 2 2 4" xfId="9943"/>
    <cellStyle name="Input 10 6 2 2 5" xfId="9944"/>
    <cellStyle name="Input 10 6 2 2 6" xfId="9945"/>
    <cellStyle name="Input 10 6 2 3" xfId="9946"/>
    <cellStyle name="Input 10 6 2 3 2" xfId="9947"/>
    <cellStyle name="Input 10 6 2 4" xfId="9948"/>
    <cellStyle name="Input 10 6 2 4 2" xfId="9949"/>
    <cellStyle name="Input 10 6 2 5" xfId="9950"/>
    <cellStyle name="Input 10 6 2 6" xfId="9951"/>
    <cellStyle name="Input 10 6 2 7" xfId="9952"/>
    <cellStyle name="Input 10 6 3" xfId="9953"/>
    <cellStyle name="Input 10 6 3 2" xfId="9954"/>
    <cellStyle name="Input 10 6 3 2 2" xfId="9955"/>
    <cellStyle name="Input 10 6 3 3" xfId="9956"/>
    <cellStyle name="Input 10 6 3 3 2" xfId="9957"/>
    <cellStyle name="Input 10 6 3 4" xfId="9958"/>
    <cellStyle name="Input 10 6 3 5" xfId="9959"/>
    <cellStyle name="Input 10 6 3 6" xfId="9960"/>
    <cellStyle name="Input 10 6 4" xfId="9961"/>
    <cellStyle name="Input 10 6 4 2" xfId="9962"/>
    <cellStyle name="Input 10 6 5" xfId="9963"/>
    <cellStyle name="Input 10 6 5 2" xfId="9964"/>
    <cellStyle name="Input 10 6 6" xfId="9965"/>
    <cellStyle name="Input 10 6 7" xfId="9966"/>
    <cellStyle name="Input 10 6 8" xfId="9967"/>
    <cellStyle name="Input 10 7" xfId="9968"/>
    <cellStyle name="Input 10 7 2" xfId="9969"/>
    <cellStyle name="Input 10 7 2 2" xfId="9970"/>
    <cellStyle name="Input 10 7 2 2 2" xfId="9971"/>
    <cellStyle name="Input 10 7 2 3" xfId="9972"/>
    <cellStyle name="Input 10 7 2 3 2" xfId="9973"/>
    <cellStyle name="Input 10 7 2 4" xfId="9974"/>
    <cellStyle name="Input 10 7 2 5" xfId="9975"/>
    <cellStyle name="Input 10 7 2 6" xfId="9976"/>
    <cellStyle name="Input 10 7 3" xfId="9977"/>
    <cellStyle name="Input 10 7 3 2" xfId="9978"/>
    <cellStyle name="Input 10 7 4" xfId="9979"/>
    <cellStyle name="Input 10 7 4 2" xfId="9980"/>
    <cellStyle name="Input 10 7 5" xfId="9981"/>
    <cellStyle name="Input 10 7 6" xfId="9982"/>
    <cellStyle name="Input 10 7 7" xfId="9983"/>
    <cellStyle name="Input 10 8" xfId="9984"/>
    <cellStyle name="Input 10 8 2" xfId="9985"/>
    <cellStyle name="Input 10 9" xfId="9986"/>
    <cellStyle name="Input 10 9 2" xfId="9987"/>
    <cellStyle name="Input 11" xfId="9988"/>
    <cellStyle name="Input 11 10" xfId="9989"/>
    <cellStyle name="Input 11 11" xfId="9990"/>
    <cellStyle name="Input 11 12" xfId="9991"/>
    <cellStyle name="Input 11 2" xfId="9992"/>
    <cellStyle name="Input 11 2 10" xfId="9993"/>
    <cellStyle name="Input 11 2 11" xfId="9994"/>
    <cellStyle name="Input 11 2 12" xfId="9995"/>
    <cellStyle name="Input 11 2 2" xfId="9996"/>
    <cellStyle name="Input 11 2 2 10" xfId="9997"/>
    <cellStyle name="Input 11 2 2 11" xfId="9998"/>
    <cellStyle name="Input 11 2 2 2" xfId="9999"/>
    <cellStyle name="Input 11 2 2 2 10" xfId="10000"/>
    <cellStyle name="Input 11 2 2 2 2" xfId="10001"/>
    <cellStyle name="Input 11 2 2 2 2 2" xfId="10002"/>
    <cellStyle name="Input 11 2 2 2 2 2 2" xfId="10003"/>
    <cellStyle name="Input 11 2 2 2 2 2 2 2" xfId="10004"/>
    <cellStyle name="Input 11 2 2 2 2 2 2 2 2" xfId="10005"/>
    <cellStyle name="Input 11 2 2 2 2 2 2 3" xfId="10006"/>
    <cellStyle name="Input 11 2 2 2 2 2 2 3 2" xfId="10007"/>
    <cellStyle name="Input 11 2 2 2 2 2 2 4" xfId="10008"/>
    <cellStyle name="Input 11 2 2 2 2 2 2 5" xfId="10009"/>
    <cellStyle name="Input 11 2 2 2 2 2 2 6" xfId="10010"/>
    <cellStyle name="Input 11 2 2 2 2 2 3" xfId="10011"/>
    <cellStyle name="Input 11 2 2 2 2 2 3 2" xfId="10012"/>
    <cellStyle name="Input 11 2 2 2 2 2 4" xfId="10013"/>
    <cellStyle name="Input 11 2 2 2 2 2 4 2" xfId="10014"/>
    <cellStyle name="Input 11 2 2 2 2 2 5" xfId="10015"/>
    <cellStyle name="Input 11 2 2 2 2 2 6" xfId="10016"/>
    <cellStyle name="Input 11 2 2 2 2 2 7" xfId="10017"/>
    <cellStyle name="Input 11 2 2 2 2 3" xfId="10018"/>
    <cellStyle name="Input 11 2 2 2 2 3 2" xfId="10019"/>
    <cellStyle name="Input 11 2 2 2 2 3 2 2" xfId="10020"/>
    <cellStyle name="Input 11 2 2 2 2 3 3" xfId="10021"/>
    <cellStyle name="Input 11 2 2 2 2 3 3 2" xfId="10022"/>
    <cellStyle name="Input 11 2 2 2 2 3 4" xfId="10023"/>
    <cellStyle name="Input 11 2 2 2 2 3 5" xfId="10024"/>
    <cellStyle name="Input 11 2 2 2 2 3 6" xfId="10025"/>
    <cellStyle name="Input 11 2 2 2 2 4" xfId="10026"/>
    <cellStyle name="Input 11 2 2 2 2 4 2" xfId="10027"/>
    <cellStyle name="Input 11 2 2 2 2 5" xfId="10028"/>
    <cellStyle name="Input 11 2 2 2 2 5 2" xfId="10029"/>
    <cellStyle name="Input 11 2 2 2 2 6" xfId="10030"/>
    <cellStyle name="Input 11 2 2 2 2 7" xfId="10031"/>
    <cellStyle name="Input 11 2 2 2 2 8" xfId="10032"/>
    <cellStyle name="Input 11 2 2 2 3" xfId="10033"/>
    <cellStyle name="Input 11 2 2 2 3 2" xfId="10034"/>
    <cellStyle name="Input 11 2 2 2 3 2 2" xfId="10035"/>
    <cellStyle name="Input 11 2 2 2 3 2 2 2" xfId="10036"/>
    <cellStyle name="Input 11 2 2 2 3 2 2 2 2" xfId="10037"/>
    <cellStyle name="Input 11 2 2 2 3 2 2 3" xfId="10038"/>
    <cellStyle name="Input 11 2 2 2 3 2 2 3 2" xfId="10039"/>
    <cellStyle name="Input 11 2 2 2 3 2 2 4" xfId="10040"/>
    <cellStyle name="Input 11 2 2 2 3 2 2 5" xfId="10041"/>
    <cellStyle name="Input 11 2 2 2 3 2 2 6" xfId="10042"/>
    <cellStyle name="Input 11 2 2 2 3 2 3" xfId="10043"/>
    <cellStyle name="Input 11 2 2 2 3 2 3 2" xfId="10044"/>
    <cellStyle name="Input 11 2 2 2 3 2 4" xfId="10045"/>
    <cellStyle name="Input 11 2 2 2 3 2 4 2" xfId="10046"/>
    <cellStyle name="Input 11 2 2 2 3 2 5" xfId="10047"/>
    <cellStyle name="Input 11 2 2 2 3 2 6" xfId="10048"/>
    <cellStyle name="Input 11 2 2 2 3 2 7" xfId="10049"/>
    <cellStyle name="Input 11 2 2 2 3 3" xfId="10050"/>
    <cellStyle name="Input 11 2 2 2 3 3 2" xfId="10051"/>
    <cellStyle name="Input 11 2 2 2 3 3 2 2" xfId="10052"/>
    <cellStyle name="Input 11 2 2 2 3 3 3" xfId="10053"/>
    <cellStyle name="Input 11 2 2 2 3 3 3 2" xfId="10054"/>
    <cellStyle name="Input 11 2 2 2 3 3 4" xfId="10055"/>
    <cellStyle name="Input 11 2 2 2 3 3 5" xfId="10056"/>
    <cellStyle name="Input 11 2 2 2 3 3 6" xfId="10057"/>
    <cellStyle name="Input 11 2 2 2 3 4" xfId="10058"/>
    <cellStyle name="Input 11 2 2 2 3 4 2" xfId="10059"/>
    <cellStyle name="Input 11 2 2 2 3 5" xfId="10060"/>
    <cellStyle name="Input 11 2 2 2 3 5 2" xfId="10061"/>
    <cellStyle name="Input 11 2 2 2 3 6" xfId="10062"/>
    <cellStyle name="Input 11 2 2 2 3 7" xfId="10063"/>
    <cellStyle name="Input 11 2 2 2 3 8" xfId="10064"/>
    <cellStyle name="Input 11 2 2 2 4" xfId="10065"/>
    <cellStyle name="Input 11 2 2 2 4 2" xfId="10066"/>
    <cellStyle name="Input 11 2 2 2 4 2 2" xfId="10067"/>
    <cellStyle name="Input 11 2 2 2 4 2 2 2" xfId="10068"/>
    <cellStyle name="Input 11 2 2 2 4 2 3" xfId="10069"/>
    <cellStyle name="Input 11 2 2 2 4 2 3 2" xfId="10070"/>
    <cellStyle name="Input 11 2 2 2 4 2 4" xfId="10071"/>
    <cellStyle name="Input 11 2 2 2 4 2 5" xfId="10072"/>
    <cellStyle name="Input 11 2 2 2 4 2 6" xfId="10073"/>
    <cellStyle name="Input 11 2 2 2 4 3" xfId="10074"/>
    <cellStyle name="Input 11 2 2 2 4 3 2" xfId="10075"/>
    <cellStyle name="Input 11 2 2 2 4 4" xfId="10076"/>
    <cellStyle name="Input 11 2 2 2 4 4 2" xfId="10077"/>
    <cellStyle name="Input 11 2 2 2 4 5" xfId="10078"/>
    <cellStyle name="Input 11 2 2 2 4 6" xfId="10079"/>
    <cellStyle name="Input 11 2 2 2 4 7" xfId="10080"/>
    <cellStyle name="Input 11 2 2 2 5" xfId="10081"/>
    <cellStyle name="Input 11 2 2 2 5 2" xfId="10082"/>
    <cellStyle name="Input 11 2 2 2 5 2 2" xfId="10083"/>
    <cellStyle name="Input 11 2 2 2 5 3" xfId="10084"/>
    <cellStyle name="Input 11 2 2 2 5 3 2" xfId="10085"/>
    <cellStyle name="Input 11 2 2 2 5 4" xfId="10086"/>
    <cellStyle name="Input 11 2 2 2 5 5" xfId="10087"/>
    <cellStyle name="Input 11 2 2 2 5 6" xfId="10088"/>
    <cellStyle name="Input 11 2 2 2 6" xfId="10089"/>
    <cellStyle name="Input 11 2 2 2 6 2" xfId="10090"/>
    <cellStyle name="Input 11 2 2 2 7" xfId="10091"/>
    <cellStyle name="Input 11 2 2 2 7 2" xfId="10092"/>
    <cellStyle name="Input 11 2 2 2 8" xfId="10093"/>
    <cellStyle name="Input 11 2 2 2 9" xfId="10094"/>
    <cellStyle name="Input 11 2 2 3" xfId="10095"/>
    <cellStyle name="Input 11 2 2 3 2" xfId="10096"/>
    <cellStyle name="Input 11 2 2 3 2 2" xfId="10097"/>
    <cellStyle name="Input 11 2 2 3 2 2 2" xfId="10098"/>
    <cellStyle name="Input 11 2 2 3 2 2 2 2" xfId="10099"/>
    <cellStyle name="Input 11 2 2 3 2 2 3" xfId="10100"/>
    <cellStyle name="Input 11 2 2 3 2 2 3 2" xfId="10101"/>
    <cellStyle name="Input 11 2 2 3 2 2 4" xfId="10102"/>
    <cellStyle name="Input 11 2 2 3 2 2 5" xfId="10103"/>
    <cellStyle name="Input 11 2 2 3 2 2 6" xfId="10104"/>
    <cellStyle name="Input 11 2 2 3 2 3" xfId="10105"/>
    <cellStyle name="Input 11 2 2 3 2 3 2" xfId="10106"/>
    <cellStyle name="Input 11 2 2 3 2 4" xfId="10107"/>
    <cellStyle name="Input 11 2 2 3 2 4 2" xfId="10108"/>
    <cellStyle name="Input 11 2 2 3 2 5" xfId="10109"/>
    <cellStyle name="Input 11 2 2 3 2 6" xfId="10110"/>
    <cellStyle name="Input 11 2 2 3 2 7" xfId="10111"/>
    <cellStyle name="Input 11 2 2 3 3" xfId="10112"/>
    <cellStyle name="Input 11 2 2 3 3 2" xfId="10113"/>
    <cellStyle name="Input 11 2 2 3 3 2 2" xfId="10114"/>
    <cellStyle name="Input 11 2 2 3 3 3" xfId="10115"/>
    <cellStyle name="Input 11 2 2 3 3 3 2" xfId="10116"/>
    <cellStyle name="Input 11 2 2 3 3 4" xfId="10117"/>
    <cellStyle name="Input 11 2 2 3 3 5" xfId="10118"/>
    <cellStyle name="Input 11 2 2 3 3 6" xfId="10119"/>
    <cellStyle name="Input 11 2 2 3 4" xfId="10120"/>
    <cellStyle name="Input 11 2 2 3 4 2" xfId="10121"/>
    <cellStyle name="Input 11 2 2 3 5" xfId="10122"/>
    <cellStyle name="Input 11 2 2 3 5 2" xfId="10123"/>
    <cellStyle name="Input 11 2 2 3 6" xfId="10124"/>
    <cellStyle name="Input 11 2 2 3 7" xfId="10125"/>
    <cellStyle name="Input 11 2 2 3 8" xfId="10126"/>
    <cellStyle name="Input 11 2 2 4" xfId="10127"/>
    <cellStyle name="Input 11 2 2 4 2" xfId="10128"/>
    <cellStyle name="Input 11 2 2 4 2 2" xfId="10129"/>
    <cellStyle name="Input 11 2 2 4 2 2 2" xfId="10130"/>
    <cellStyle name="Input 11 2 2 4 2 2 2 2" xfId="10131"/>
    <cellStyle name="Input 11 2 2 4 2 2 3" xfId="10132"/>
    <cellStyle name="Input 11 2 2 4 2 2 3 2" xfId="10133"/>
    <cellStyle name="Input 11 2 2 4 2 2 4" xfId="10134"/>
    <cellStyle name="Input 11 2 2 4 2 2 5" xfId="10135"/>
    <cellStyle name="Input 11 2 2 4 2 2 6" xfId="10136"/>
    <cellStyle name="Input 11 2 2 4 2 3" xfId="10137"/>
    <cellStyle name="Input 11 2 2 4 2 3 2" xfId="10138"/>
    <cellStyle name="Input 11 2 2 4 2 4" xfId="10139"/>
    <cellStyle name="Input 11 2 2 4 2 4 2" xfId="10140"/>
    <cellStyle name="Input 11 2 2 4 2 5" xfId="10141"/>
    <cellStyle name="Input 11 2 2 4 2 6" xfId="10142"/>
    <cellStyle name="Input 11 2 2 4 2 7" xfId="10143"/>
    <cellStyle name="Input 11 2 2 4 3" xfId="10144"/>
    <cellStyle name="Input 11 2 2 4 3 2" xfId="10145"/>
    <cellStyle name="Input 11 2 2 4 3 2 2" xfId="10146"/>
    <cellStyle name="Input 11 2 2 4 3 3" xfId="10147"/>
    <cellStyle name="Input 11 2 2 4 3 3 2" xfId="10148"/>
    <cellStyle name="Input 11 2 2 4 3 4" xfId="10149"/>
    <cellStyle name="Input 11 2 2 4 3 5" xfId="10150"/>
    <cellStyle name="Input 11 2 2 4 3 6" xfId="10151"/>
    <cellStyle name="Input 11 2 2 4 4" xfId="10152"/>
    <cellStyle name="Input 11 2 2 4 4 2" xfId="10153"/>
    <cellStyle name="Input 11 2 2 4 5" xfId="10154"/>
    <cellStyle name="Input 11 2 2 4 5 2" xfId="10155"/>
    <cellStyle name="Input 11 2 2 4 6" xfId="10156"/>
    <cellStyle name="Input 11 2 2 4 7" xfId="10157"/>
    <cellStyle name="Input 11 2 2 4 8" xfId="10158"/>
    <cellStyle name="Input 11 2 2 5" xfId="10159"/>
    <cellStyle name="Input 11 2 2 5 2" xfId="10160"/>
    <cellStyle name="Input 11 2 2 5 2 2" xfId="10161"/>
    <cellStyle name="Input 11 2 2 5 2 2 2" xfId="10162"/>
    <cellStyle name="Input 11 2 2 5 2 3" xfId="10163"/>
    <cellStyle name="Input 11 2 2 5 2 3 2" xfId="10164"/>
    <cellStyle name="Input 11 2 2 5 2 4" xfId="10165"/>
    <cellStyle name="Input 11 2 2 5 2 5" xfId="10166"/>
    <cellStyle name="Input 11 2 2 5 2 6" xfId="10167"/>
    <cellStyle name="Input 11 2 2 5 3" xfId="10168"/>
    <cellStyle name="Input 11 2 2 5 3 2" xfId="10169"/>
    <cellStyle name="Input 11 2 2 5 4" xfId="10170"/>
    <cellStyle name="Input 11 2 2 5 4 2" xfId="10171"/>
    <cellStyle name="Input 11 2 2 5 5" xfId="10172"/>
    <cellStyle name="Input 11 2 2 5 6" xfId="10173"/>
    <cellStyle name="Input 11 2 2 5 7" xfId="10174"/>
    <cellStyle name="Input 11 2 2 6" xfId="10175"/>
    <cellStyle name="Input 11 2 2 6 2" xfId="10176"/>
    <cellStyle name="Input 11 2 2 6 2 2" xfId="10177"/>
    <cellStyle name="Input 11 2 2 6 3" xfId="10178"/>
    <cellStyle name="Input 11 2 2 6 3 2" xfId="10179"/>
    <cellStyle name="Input 11 2 2 6 4" xfId="10180"/>
    <cellStyle name="Input 11 2 2 6 5" xfId="10181"/>
    <cellStyle name="Input 11 2 2 6 6" xfId="10182"/>
    <cellStyle name="Input 11 2 2 7" xfId="10183"/>
    <cellStyle name="Input 11 2 2 7 2" xfId="10184"/>
    <cellStyle name="Input 11 2 2 8" xfId="10185"/>
    <cellStyle name="Input 11 2 2 8 2" xfId="10186"/>
    <cellStyle name="Input 11 2 2 9" xfId="10187"/>
    <cellStyle name="Input 11 2 3" xfId="10188"/>
    <cellStyle name="Input 11 2 3 10" xfId="10189"/>
    <cellStyle name="Input 11 2 3 2" xfId="10190"/>
    <cellStyle name="Input 11 2 3 2 10" xfId="10191"/>
    <cellStyle name="Input 11 2 3 2 2" xfId="10192"/>
    <cellStyle name="Input 11 2 3 2 2 2" xfId="10193"/>
    <cellStyle name="Input 11 2 3 2 2 2 2" xfId="10194"/>
    <cellStyle name="Input 11 2 3 2 2 2 2 2" xfId="10195"/>
    <cellStyle name="Input 11 2 3 2 2 2 2 2 2" xfId="10196"/>
    <cellStyle name="Input 11 2 3 2 2 2 2 3" xfId="10197"/>
    <cellStyle name="Input 11 2 3 2 2 2 2 3 2" xfId="10198"/>
    <cellStyle name="Input 11 2 3 2 2 2 2 4" xfId="10199"/>
    <cellStyle name="Input 11 2 3 2 2 2 2 5" xfId="10200"/>
    <cellStyle name="Input 11 2 3 2 2 2 2 6" xfId="10201"/>
    <cellStyle name="Input 11 2 3 2 2 2 3" xfId="10202"/>
    <cellStyle name="Input 11 2 3 2 2 2 3 2" xfId="10203"/>
    <cellStyle name="Input 11 2 3 2 2 2 4" xfId="10204"/>
    <cellStyle name="Input 11 2 3 2 2 2 4 2" xfId="10205"/>
    <cellStyle name="Input 11 2 3 2 2 2 5" xfId="10206"/>
    <cellStyle name="Input 11 2 3 2 2 2 6" xfId="10207"/>
    <cellStyle name="Input 11 2 3 2 2 2 7" xfId="10208"/>
    <cellStyle name="Input 11 2 3 2 2 3" xfId="10209"/>
    <cellStyle name="Input 11 2 3 2 2 3 2" xfId="10210"/>
    <cellStyle name="Input 11 2 3 2 2 3 2 2" xfId="10211"/>
    <cellStyle name="Input 11 2 3 2 2 3 3" xfId="10212"/>
    <cellStyle name="Input 11 2 3 2 2 3 3 2" xfId="10213"/>
    <cellStyle name="Input 11 2 3 2 2 3 4" xfId="10214"/>
    <cellStyle name="Input 11 2 3 2 2 3 5" xfId="10215"/>
    <cellStyle name="Input 11 2 3 2 2 3 6" xfId="10216"/>
    <cellStyle name="Input 11 2 3 2 2 4" xfId="10217"/>
    <cellStyle name="Input 11 2 3 2 2 4 2" xfId="10218"/>
    <cellStyle name="Input 11 2 3 2 2 5" xfId="10219"/>
    <cellStyle name="Input 11 2 3 2 2 5 2" xfId="10220"/>
    <cellStyle name="Input 11 2 3 2 2 6" xfId="10221"/>
    <cellStyle name="Input 11 2 3 2 2 7" xfId="10222"/>
    <cellStyle name="Input 11 2 3 2 2 8" xfId="10223"/>
    <cellStyle name="Input 11 2 3 2 3" xfId="10224"/>
    <cellStyle name="Input 11 2 3 2 3 2" xfId="10225"/>
    <cellStyle name="Input 11 2 3 2 3 2 2" xfId="10226"/>
    <cellStyle name="Input 11 2 3 2 3 2 2 2" xfId="10227"/>
    <cellStyle name="Input 11 2 3 2 3 2 2 2 2" xfId="10228"/>
    <cellStyle name="Input 11 2 3 2 3 2 2 3" xfId="10229"/>
    <cellStyle name="Input 11 2 3 2 3 2 2 3 2" xfId="10230"/>
    <cellStyle name="Input 11 2 3 2 3 2 2 4" xfId="10231"/>
    <cellStyle name="Input 11 2 3 2 3 2 2 5" xfId="10232"/>
    <cellStyle name="Input 11 2 3 2 3 2 2 6" xfId="10233"/>
    <cellStyle name="Input 11 2 3 2 3 2 3" xfId="10234"/>
    <cellStyle name="Input 11 2 3 2 3 2 3 2" xfId="10235"/>
    <cellStyle name="Input 11 2 3 2 3 2 4" xfId="10236"/>
    <cellStyle name="Input 11 2 3 2 3 2 4 2" xfId="10237"/>
    <cellStyle name="Input 11 2 3 2 3 2 5" xfId="10238"/>
    <cellStyle name="Input 11 2 3 2 3 2 6" xfId="10239"/>
    <cellStyle name="Input 11 2 3 2 3 2 7" xfId="10240"/>
    <cellStyle name="Input 11 2 3 2 3 3" xfId="10241"/>
    <cellStyle name="Input 11 2 3 2 3 3 2" xfId="10242"/>
    <cellStyle name="Input 11 2 3 2 3 3 2 2" xfId="10243"/>
    <cellStyle name="Input 11 2 3 2 3 3 3" xfId="10244"/>
    <cellStyle name="Input 11 2 3 2 3 3 3 2" xfId="10245"/>
    <cellStyle name="Input 11 2 3 2 3 3 4" xfId="10246"/>
    <cellStyle name="Input 11 2 3 2 3 3 5" xfId="10247"/>
    <cellStyle name="Input 11 2 3 2 3 3 6" xfId="10248"/>
    <cellStyle name="Input 11 2 3 2 3 4" xfId="10249"/>
    <cellStyle name="Input 11 2 3 2 3 4 2" xfId="10250"/>
    <cellStyle name="Input 11 2 3 2 3 5" xfId="10251"/>
    <cellStyle name="Input 11 2 3 2 3 5 2" xfId="10252"/>
    <cellStyle name="Input 11 2 3 2 3 6" xfId="10253"/>
    <cellStyle name="Input 11 2 3 2 3 7" xfId="10254"/>
    <cellStyle name="Input 11 2 3 2 3 8" xfId="10255"/>
    <cellStyle name="Input 11 2 3 2 4" xfId="10256"/>
    <cellStyle name="Input 11 2 3 2 4 2" xfId="10257"/>
    <cellStyle name="Input 11 2 3 2 4 2 2" xfId="10258"/>
    <cellStyle name="Input 11 2 3 2 4 2 2 2" xfId="10259"/>
    <cellStyle name="Input 11 2 3 2 4 2 3" xfId="10260"/>
    <cellStyle name="Input 11 2 3 2 4 2 3 2" xfId="10261"/>
    <cellStyle name="Input 11 2 3 2 4 2 4" xfId="10262"/>
    <cellStyle name="Input 11 2 3 2 4 2 5" xfId="10263"/>
    <cellStyle name="Input 11 2 3 2 4 2 6" xfId="10264"/>
    <cellStyle name="Input 11 2 3 2 4 3" xfId="10265"/>
    <cellStyle name="Input 11 2 3 2 4 3 2" xfId="10266"/>
    <cellStyle name="Input 11 2 3 2 4 4" xfId="10267"/>
    <cellStyle name="Input 11 2 3 2 4 4 2" xfId="10268"/>
    <cellStyle name="Input 11 2 3 2 4 5" xfId="10269"/>
    <cellStyle name="Input 11 2 3 2 4 6" xfId="10270"/>
    <cellStyle name="Input 11 2 3 2 4 7" xfId="10271"/>
    <cellStyle name="Input 11 2 3 2 5" xfId="10272"/>
    <cellStyle name="Input 11 2 3 2 5 2" xfId="10273"/>
    <cellStyle name="Input 11 2 3 2 5 2 2" xfId="10274"/>
    <cellStyle name="Input 11 2 3 2 5 3" xfId="10275"/>
    <cellStyle name="Input 11 2 3 2 5 3 2" xfId="10276"/>
    <cellStyle name="Input 11 2 3 2 5 4" xfId="10277"/>
    <cellStyle name="Input 11 2 3 2 5 5" xfId="10278"/>
    <cellStyle name="Input 11 2 3 2 5 6" xfId="10279"/>
    <cellStyle name="Input 11 2 3 2 6" xfId="10280"/>
    <cellStyle name="Input 11 2 3 2 6 2" xfId="10281"/>
    <cellStyle name="Input 11 2 3 2 7" xfId="10282"/>
    <cellStyle name="Input 11 2 3 2 7 2" xfId="10283"/>
    <cellStyle name="Input 11 2 3 2 8" xfId="10284"/>
    <cellStyle name="Input 11 2 3 2 9" xfId="10285"/>
    <cellStyle name="Input 11 2 3 3" xfId="10286"/>
    <cellStyle name="Input 11 2 3 3 2" xfId="10287"/>
    <cellStyle name="Input 11 2 3 3 2 2" xfId="10288"/>
    <cellStyle name="Input 11 2 3 3 2 2 2" xfId="10289"/>
    <cellStyle name="Input 11 2 3 3 2 2 2 2" xfId="10290"/>
    <cellStyle name="Input 11 2 3 3 2 2 3" xfId="10291"/>
    <cellStyle name="Input 11 2 3 3 2 2 3 2" xfId="10292"/>
    <cellStyle name="Input 11 2 3 3 2 2 4" xfId="10293"/>
    <cellStyle name="Input 11 2 3 3 2 2 5" xfId="10294"/>
    <cellStyle name="Input 11 2 3 3 2 2 6" xfId="10295"/>
    <cellStyle name="Input 11 2 3 3 2 3" xfId="10296"/>
    <cellStyle name="Input 11 2 3 3 2 3 2" xfId="10297"/>
    <cellStyle name="Input 11 2 3 3 2 4" xfId="10298"/>
    <cellStyle name="Input 11 2 3 3 2 4 2" xfId="10299"/>
    <cellStyle name="Input 11 2 3 3 2 5" xfId="10300"/>
    <cellStyle name="Input 11 2 3 3 2 6" xfId="10301"/>
    <cellStyle name="Input 11 2 3 3 2 7" xfId="10302"/>
    <cellStyle name="Input 11 2 3 3 3" xfId="10303"/>
    <cellStyle name="Input 11 2 3 3 3 2" xfId="10304"/>
    <cellStyle name="Input 11 2 3 3 3 2 2" xfId="10305"/>
    <cellStyle name="Input 11 2 3 3 3 3" xfId="10306"/>
    <cellStyle name="Input 11 2 3 3 3 3 2" xfId="10307"/>
    <cellStyle name="Input 11 2 3 3 3 4" xfId="10308"/>
    <cellStyle name="Input 11 2 3 3 3 5" xfId="10309"/>
    <cellStyle name="Input 11 2 3 3 3 6" xfId="10310"/>
    <cellStyle name="Input 11 2 3 3 4" xfId="10311"/>
    <cellStyle name="Input 11 2 3 3 4 2" xfId="10312"/>
    <cellStyle name="Input 11 2 3 3 5" xfId="10313"/>
    <cellStyle name="Input 11 2 3 3 5 2" xfId="10314"/>
    <cellStyle name="Input 11 2 3 3 6" xfId="10315"/>
    <cellStyle name="Input 11 2 3 3 7" xfId="10316"/>
    <cellStyle name="Input 11 2 3 3 8" xfId="10317"/>
    <cellStyle name="Input 11 2 3 4" xfId="10318"/>
    <cellStyle name="Input 11 2 3 4 2" xfId="10319"/>
    <cellStyle name="Input 11 2 3 4 2 2" xfId="10320"/>
    <cellStyle name="Input 11 2 3 4 2 2 2" xfId="10321"/>
    <cellStyle name="Input 11 2 3 4 2 3" xfId="10322"/>
    <cellStyle name="Input 11 2 3 4 2 3 2" xfId="10323"/>
    <cellStyle name="Input 11 2 3 4 2 4" xfId="10324"/>
    <cellStyle name="Input 11 2 3 4 2 5" xfId="10325"/>
    <cellStyle name="Input 11 2 3 4 2 6" xfId="10326"/>
    <cellStyle name="Input 11 2 3 4 3" xfId="10327"/>
    <cellStyle name="Input 11 2 3 4 3 2" xfId="10328"/>
    <cellStyle name="Input 11 2 3 4 4" xfId="10329"/>
    <cellStyle name="Input 11 2 3 4 4 2" xfId="10330"/>
    <cellStyle name="Input 11 2 3 4 5" xfId="10331"/>
    <cellStyle name="Input 11 2 3 4 6" xfId="10332"/>
    <cellStyle name="Input 11 2 3 4 7" xfId="10333"/>
    <cellStyle name="Input 11 2 3 5" xfId="10334"/>
    <cellStyle name="Input 11 2 3 5 2" xfId="10335"/>
    <cellStyle name="Input 11 2 3 5 2 2" xfId="10336"/>
    <cellStyle name="Input 11 2 3 5 3" xfId="10337"/>
    <cellStyle name="Input 11 2 3 5 3 2" xfId="10338"/>
    <cellStyle name="Input 11 2 3 5 4" xfId="10339"/>
    <cellStyle name="Input 11 2 3 5 5" xfId="10340"/>
    <cellStyle name="Input 11 2 3 5 6" xfId="10341"/>
    <cellStyle name="Input 11 2 3 6" xfId="10342"/>
    <cellStyle name="Input 11 2 3 6 2" xfId="10343"/>
    <cellStyle name="Input 11 2 3 7" xfId="10344"/>
    <cellStyle name="Input 11 2 3 7 2" xfId="10345"/>
    <cellStyle name="Input 11 2 3 8" xfId="10346"/>
    <cellStyle name="Input 11 2 3 9" xfId="10347"/>
    <cellStyle name="Input 11 2 4" xfId="10348"/>
    <cellStyle name="Input 11 2 4 10" xfId="10349"/>
    <cellStyle name="Input 11 2 4 2" xfId="10350"/>
    <cellStyle name="Input 11 2 4 2 2" xfId="10351"/>
    <cellStyle name="Input 11 2 4 2 2 2" xfId="10352"/>
    <cellStyle name="Input 11 2 4 2 2 2 2" xfId="10353"/>
    <cellStyle name="Input 11 2 4 2 2 2 2 2" xfId="10354"/>
    <cellStyle name="Input 11 2 4 2 2 2 3" xfId="10355"/>
    <cellStyle name="Input 11 2 4 2 2 2 3 2" xfId="10356"/>
    <cellStyle name="Input 11 2 4 2 2 2 4" xfId="10357"/>
    <cellStyle name="Input 11 2 4 2 2 2 5" xfId="10358"/>
    <cellStyle name="Input 11 2 4 2 2 2 6" xfId="10359"/>
    <cellStyle name="Input 11 2 4 2 2 3" xfId="10360"/>
    <cellStyle name="Input 11 2 4 2 2 3 2" xfId="10361"/>
    <cellStyle name="Input 11 2 4 2 2 4" xfId="10362"/>
    <cellStyle name="Input 11 2 4 2 2 4 2" xfId="10363"/>
    <cellStyle name="Input 11 2 4 2 2 5" xfId="10364"/>
    <cellStyle name="Input 11 2 4 2 2 6" xfId="10365"/>
    <cellStyle name="Input 11 2 4 2 2 7" xfId="10366"/>
    <cellStyle name="Input 11 2 4 2 3" xfId="10367"/>
    <cellStyle name="Input 11 2 4 2 3 2" xfId="10368"/>
    <cellStyle name="Input 11 2 4 2 3 2 2" xfId="10369"/>
    <cellStyle name="Input 11 2 4 2 3 3" xfId="10370"/>
    <cellStyle name="Input 11 2 4 2 3 3 2" xfId="10371"/>
    <cellStyle name="Input 11 2 4 2 3 4" xfId="10372"/>
    <cellStyle name="Input 11 2 4 2 3 5" xfId="10373"/>
    <cellStyle name="Input 11 2 4 2 3 6" xfId="10374"/>
    <cellStyle name="Input 11 2 4 2 4" xfId="10375"/>
    <cellStyle name="Input 11 2 4 2 4 2" xfId="10376"/>
    <cellStyle name="Input 11 2 4 2 5" xfId="10377"/>
    <cellStyle name="Input 11 2 4 2 5 2" xfId="10378"/>
    <cellStyle name="Input 11 2 4 2 6" xfId="10379"/>
    <cellStyle name="Input 11 2 4 2 7" xfId="10380"/>
    <cellStyle name="Input 11 2 4 2 8" xfId="10381"/>
    <cellStyle name="Input 11 2 4 3" xfId="10382"/>
    <cellStyle name="Input 11 2 4 3 2" xfId="10383"/>
    <cellStyle name="Input 11 2 4 3 2 2" xfId="10384"/>
    <cellStyle name="Input 11 2 4 3 2 2 2" xfId="10385"/>
    <cellStyle name="Input 11 2 4 3 2 2 2 2" xfId="10386"/>
    <cellStyle name="Input 11 2 4 3 2 2 3" xfId="10387"/>
    <cellStyle name="Input 11 2 4 3 2 2 3 2" xfId="10388"/>
    <cellStyle name="Input 11 2 4 3 2 2 4" xfId="10389"/>
    <cellStyle name="Input 11 2 4 3 2 2 5" xfId="10390"/>
    <cellStyle name="Input 11 2 4 3 2 2 6" xfId="10391"/>
    <cellStyle name="Input 11 2 4 3 2 3" xfId="10392"/>
    <cellStyle name="Input 11 2 4 3 2 3 2" xfId="10393"/>
    <cellStyle name="Input 11 2 4 3 2 4" xfId="10394"/>
    <cellStyle name="Input 11 2 4 3 2 4 2" xfId="10395"/>
    <cellStyle name="Input 11 2 4 3 2 5" xfId="10396"/>
    <cellStyle name="Input 11 2 4 3 2 6" xfId="10397"/>
    <cellStyle name="Input 11 2 4 3 2 7" xfId="10398"/>
    <cellStyle name="Input 11 2 4 3 3" xfId="10399"/>
    <cellStyle name="Input 11 2 4 3 3 2" xfId="10400"/>
    <cellStyle name="Input 11 2 4 3 3 2 2" xfId="10401"/>
    <cellStyle name="Input 11 2 4 3 3 3" xfId="10402"/>
    <cellStyle name="Input 11 2 4 3 3 3 2" xfId="10403"/>
    <cellStyle name="Input 11 2 4 3 3 4" xfId="10404"/>
    <cellStyle name="Input 11 2 4 3 3 5" xfId="10405"/>
    <cellStyle name="Input 11 2 4 3 3 6" xfId="10406"/>
    <cellStyle name="Input 11 2 4 3 4" xfId="10407"/>
    <cellStyle name="Input 11 2 4 3 4 2" xfId="10408"/>
    <cellStyle name="Input 11 2 4 3 5" xfId="10409"/>
    <cellStyle name="Input 11 2 4 3 5 2" xfId="10410"/>
    <cellStyle name="Input 11 2 4 3 6" xfId="10411"/>
    <cellStyle name="Input 11 2 4 3 7" xfId="10412"/>
    <cellStyle name="Input 11 2 4 3 8" xfId="10413"/>
    <cellStyle name="Input 11 2 4 4" xfId="10414"/>
    <cellStyle name="Input 11 2 4 4 2" xfId="10415"/>
    <cellStyle name="Input 11 2 4 4 2 2" xfId="10416"/>
    <cellStyle name="Input 11 2 4 4 2 2 2" xfId="10417"/>
    <cellStyle name="Input 11 2 4 4 2 3" xfId="10418"/>
    <cellStyle name="Input 11 2 4 4 2 3 2" xfId="10419"/>
    <cellStyle name="Input 11 2 4 4 2 4" xfId="10420"/>
    <cellStyle name="Input 11 2 4 4 2 5" xfId="10421"/>
    <cellStyle name="Input 11 2 4 4 2 6" xfId="10422"/>
    <cellStyle name="Input 11 2 4 4 3" xfId="10423"/>
    <cellStyle name="Input 11 2 4 4 3 2" xfId="10424"/>
    <cellStyle name="Input 11 2 4 4 4" xfId="10425"/>
    <cellStyle name="Input 11 2 4 4 4 2" xfId="10426"/>
    <cellStyle name="Input 11 2 4 4 5" xfId="10427"/>
    <cellStyle name="Input 11 2 4 4 6" xfId="10428"/>
    <cellStyle name="Input 11 2 4 4 7" xfId="10429"/>
    <cellStyle name="Input 11 2 4 5" xfId="10430"/>
    <cellStyle name="Input 11 2 4 5 2" xfId="10431"/>
    <cellStyle name="Input 11 2 4 5 2 2" xfId="10432"/>
    <cellStyle name="Input 11 2 4 5 3" xfId="10433"/>
    <cellStyle name="Input 11 2 4 5 3 2" xfId="10434"/>
    <cellStyle name="Input 11 2 4 5 4" xfId="10435"/>
    <cellStyle name="Input 11 2 4 5 5" xfId="10436"/>
    <cellStyle name="Input 11 2 4 5 6" xfId="10437"/>
    <cellStyle name="Input 11 2 4 6" xfId="10438"/>
    <cellStyle name="Input 11 2 4 6 2" xfId="10439"/>
    <cellStyle name="Input 11 2 4 7" xfId="10440"/>
    <cellStyle name="Input 11 2 4 7 2" xfId="10441"/>
    <cellStyle name="Input 11 2 4 8" xfId="10442"/>
    <cellStyle name="Input 11 2 4 9" xfId="10443"/>
    <cellStyle name="Input 11 2 5" xfId="10444"/>
    <cellStyle name="Input 11 2 5 2" xfId="10445"/>
    <cellStyle name="Input 11 2 5 2 2" xfId="10446"/>
    <cellStyle name="Input 11 2 5 2 2 2" xfId="10447"/>
    <cellStyle name="Input 11 2 5 2 2 2 2" xfId="10448"/>
    <cellStyle name="Input 11 2 5 2 2 3" xfId="10449"/>
    <cellStyle name="Input 11 2 5 2 2 3 2" xfId="10450"/>
    <cellStyle name="Input 11 2 5 2 2 4" xfId="10451"/>
    <cellStyle name="Input 11 2 5 2 2 5" xfId="10452"/>
    <cellStyle name="Input 11 2 5 2 2 6" xfId="10453"/>
    <cellStyle name="Input 11 2 5 2 3" xfId="10454"/>
    <cellStyle name="Input 11 2 5 2 3 2" xfId="10455"/>
    <cellStyle name="Input 11 2 5 2 4" xfId="10456"/>
    <cellStyle name="Input 11 2 5 2 4 2" xfId="10457"/>
    <cellStyle name="Input 11 2 5 2 5" xfId="10458"/>
    <cellStyle name="Input 11 2 5 2 6" xfId="10459"/>
    <cellStyle name="Input 11 2 5 2 7" xfId="10460"/>
    <cellStyle name="Input 11 2 5 3" xfId="10461"/>
    <cellStyle name="Input 11 2 5 3 2" xfId="10462"/>
    <cellStyle name="Input 11 2 5 3 2 2" xfId="10463"/>
    <cellStyle name="Input 11 2 5 3 3" xfId="10464"/>
    <cellStyle name="Input 11 2 5 3 3 2" xfId="10465"/>
    <cellStyle name="Input 11 2 5 3 4" xfId="10466"/>
    <cellStyle name="Input 11 2 5 3 5" xfId="10467"/>
    <cellStyle name="Input 11 2 5 3 6" xfId="10468"/>
    <cellStyle name="Input 11 2 5 4" xfId="10469"/>
    <cellStyle name="Input 11 2 5 4 2" xfId="10470"/>
    <cellStyle name="Input 11 2 5 5" xfId="10471"/>
    <cellStyle name="Input 11 2 5 5 2" xfId="10472"/>
    <cellStyle name="Input 11 2 5 6" xfId="10473"/>
    <cellStyle name="Input 11 2 5 7" xfId="10474"/>
    <cellStyle name="Input 11 2 5 8" xfId="10475"/>
    <cellStyle name="Input 11 2 6" xfId="10476"/>
    <cellStyle name="Input 11 2 6 2" xfId="10477"/>
    <cellStyle name="Input 11 2 6 2 2" xfId="10478"/>
    <cellStyle name="Input 11 2 6 2 2 2" xfId="10479"/>
    <cellStyle name="Input 11 2 6 2 3" xfId="10480"/>
    <cellStyle name="Input 11 2 6 2 3 2" xfId="10481"/>
    <cellStyle name="Input 11 2 6 2 4" xfId="10482"/>
    <cellStyle name="Input 11 2 6 2 5" xfId="10483"/>
    <cellStyle name="Input 11 2 6 2 6" xfId="10484"/>
    <cellStyle name="Input 11 2 6 3" xfId="10485"/>
    <cellStyle name="Input 11 2 6 3 2" xfId="10486"/>
    <cellStyle name="Input 11 2 6 4" xfId="10487"/>
    <cellStyle name="Input 11 2 6 4 2" xfId="10488"/>
    <cellStyle name="Input 11 2 6 5" xfId="10489"/>
    <cellStyle name="Input 11 2 6 6" xfId="10490"/>
    <cellStyle name="Input 11 2 6 7" xfId="10491"/>
    <cellStyle name="Input 11 2 7" xfId="10492"/>
    <cellStyle name="Input 11 2 7 2" xfId="10493"/>
    <cellStyle name="Input 11 2 7 2 2" xfId="10494"/>
    <cellStyle name="Input 11 2 7 3" xfId="10495"/>
    <cellStyle name="Input 11 2 7 3 2" xfId="10496"/>
    <cellStyle name="Input 11 2 7 4" xfId="10497"/>
    <cellStyle name="Input 11 2 7 5" xfId="10498"/>
    <cellStyle name="Input 11 2 7 6" xfId="10499"/>
    <cellStyle name="Input 11 2 8" xfId="10500"/>
    <cellStyle name="Input 11 2 8 2" xfId="10501"/>
    <cellStyle name="Input 11 2 9" xfId="10502"/>
    <cellStyle name="Input 11 2 9 2" xfId="10503"/>
    <cellStyle name="Input 11 3" xfId="10504"/>
    <cellStyle name="Input 11 3 10" xfId="10505"/>
    <cellStyle name="Input 11 3 11" xfId="10506"/>
    <cellStyle name="Input 11 3 2" xfId="10507"/>
    <cellStyle name="Input 11 3 2 10" xfId="10508"/>
    <cellStyle name="Input 11 3 2 2" xfId="10509"/>
    <cellStyle name="Input 11 3 2 2 10" xfId="10510"/>
    <cellStyle name="Input 11 3 2 2 2" xfId="10511"/>
    <cellStyle name="Input 11 3 2 2 2 2" xfId="10512"/>
    <cellStyle name="Input 11 3 2 2 2 2 2" xfId="10513"/>
    <cellStyle name="Input 11 3 2 2 2 2 2 2" xfId="10514"/>
    <cellStyle name="Input 11 3 2 2 2 2 2 2 2" xfId="10515"/>
    <cellStyle name="Input 11 3 2 2 2 2 2 3" xfId="10516"/>
    <cellStyle name="Input 11 3 2 2 2 2 2 3 2" xfId="10517"/>
    <cellStyle name="Input 11 3 2 2 2 2 2 4" xfId="10518"/>
    <cellStyle name="Input 11 3 2 2 2 2 2 5" xfId="10519"/>
    <cellStyle name="Input 11 3 2 2 2 2 2 6" xfId="10520"/>
    <cellStyle name="Input 11 3 2 2 2 2 3" xfId="10521"/>
    <cellStyle name="Input 11 3 2 2 2 2 3 2" xfId="10522"/>
    <cellStyle name="Input 11 3 2 2 2 2 4" xfId="10523"/>
    <cellStyle name="Input 11 3 2 2 2 2 4 2" xfId="10524"/>
    <cellStyle name="Input 11 3 2 2 2 2 5" xfId="10525"/>
    <cellStyle name="Input 11 3 2 2 2 2 6" xfId="10526"/>
    <cellStyle name="Input 11 3 2 2 2 2 7" xfId="10527"/>
    <cellStyle name="Input 11 3 2 2 2 3" xfId="10528"/>
    <cellStyle name="Input 11 3 2 2 2 3 2" xfId="10529"/>
    <cellStyle name="Input 11 3 2 2 2 3 2 2" xfId="10530"/>
    <cellStyle name="Input 11 3 2 2 2 3 3" xfId="10531"/>
    <cellStyle name="Input 11 3 2 2 2 3 3 2" xfId="10532"/>
    <cellStyle name="Input 11 3 2 2 2 3 4" xfId="10533"/>
    <cellStyle name="Input 11 3 2 2 2 3 5" xfId="10534"/>
    <cellStyle name="Input 11 3 2 2 2 3 6" xfId="10535"/>
    <cellStyle name="Input 11 3 2 2 2 4" xfId="10536"/>
    <cellStyle name="Input 11 3 2 2 2 4 2" xfId="10537"/>
    <cellStyle name="Input 11 3 2 2 2 5" xfId="10538"/>
    <cellStyle name="Input 11 3 2 2 2 5 2" xfId="10539"/>
    <cellStyle name="Input 11 3 2 2 2 6" xfId="10540"/>
    <cellStyle name="Input 11 3 2 2 2 7" xfId="10541"/>
    <cellStyle name="Input 11 3 2 2 2 8" xfId="10542"/>
    <cellStyle name="Input 11 3 2 2 3" xfId="10543"/>
    <cellStyle name="Input 11 3 2 2 3 2" xfId="10544"/>
    <cellStyle name="Input 11 3 2 2 3 2 2" xfId="10545"/>
    <cellStyle name="Input 11 3 2 2 3 2 2 2" xfId="10546"/>
    <cellStyle name="Input 11 3 2 2 3 2 2 2 2" xfId="10547"/>
    <cellStyle name="Input 11 3 2 2 3 2 2 3" xfId="10548"/>
    <cellStyle name="Input 11 3 2 2 3 2 2 3 2" xfId="10549"/>
    <cellStyle name="Input 11 3 2 2 3 2 2 4" xfId="10550"/>
    <cellStyle name="Input 11 3 2 2 3 2 2 5" xfId="10551"/>
    <cellStyle name="Input 11 3 2 2 3 2 2 6" xfId="10552"/>
    <cellStyle name="Input 11 3 2 2 3 2 3" xfId="10553"/>
    <cellStyle name="Input 11 3 2 2 3 2 3 2" xfId="10554"/>
    <cellStyle name="Input 11 3 2 2 3 2 4" xfId="10555"/>
    <cellStyle name="Input 11 3 2 2 3 2 4 2" xfId="10556"/>
    <cellStyle name="Input 11 3 2 2 3 2 5" xfId="10557"/>
    <cellStyle name="Input 11 3 2 2 3 2 6" xfId="10558"/>
    <cellStyle name="Input 11 3 2 2 3 2 7" xfId="10559"/>
    <cellStyle name="Input 11 3 2 2 3 3" xfId="10560"/>
    <cellStyle name="Input 11 3 2 2 3 3 2" xfId="10561"/>
    <cellStyle name="Input 11 3 2 2 3 3 2 2" xfId="10562"/>
    <cellStyle name="Input 11 3 2 2 3 3 3" xfId="10563"/>
    <cellStyle name="Input 11 3 2 2 3 3 3 2" xfId="10564"/>
    <cellStyle name="Input 11 3 2 2 3 3 4" xfId="10565"/>
    <cellStyle name="Input 11 3 2 2 3 3 5" xfId="10566"/>
    <cellStyle name="Input 11 3 2 2 3 3 6" xfId="10567"/>
    <cellStyle name="Input 11 3 2 2 3 4" xfId="10568"/>
    <cellStyle name="Input 11 3 2 2 3 4 2" xfId="10569"/>
    <cellStyle name="Input 11 3 2 2 3 5" xfId="10570"/>
    <cellStyle name="Input 11 3 2 2 3 5 2" xfId="10571"/>
    <cellStyle name="Input 11 3 2 2 3 6" xfId="10572"/>
    <cellStyle name="Input 11 3 2 2 3 7" xfId="10573"/>
    <cellStyle name="Input 11 3 2 2 3 8" xfId="10574"/>
    <cellStyle name="Input 11 3 2 2 4" xfId="10575"/>
    <cellStyle name="Input 11 3 2 2 4 2" xfId="10576"/>
    <cellStyle name="Input 11 3 2 2 4 2 2" xfId="10577"/>
    <cellStyle name="Input 11 3 2 2 4 2 2 2" xfId="10578"/>
    <cellStyle name="Input 11 3 2 2 4 2 3" xfId="10579"/>
    <cellStyle name="Input 11 3 2 2 4 2 3 2" xfId="10580"/>
    <cellStyle name="Input 11 3 2 2 4 2 4" xfId="10581"/>
    <cellStyle name="Input 11 3 2 2 4 2 5" xfId="10582"/>
    <cellStyle name="Input 11 3 2 2 4 2 6" xfId="10583"/>
    <cellStyle name="Input 11 3 2 2 4 3" xfId="10584"/>
    <cellStyle name="Input 11 3 2 2 4 3 2" xfId="10585"/>
    <cellStyle name="Input 11 3 2 2 4 4" xfId="10586"/>
    <cellStyle name="Input 11 3 2 2 4 4 2" xfId="10587"/>
    <cellStyle name="Input 11 3 2 2 4 5" xfId="10588"/>
    <cellStyle name="Input 11 3 2 2 4 6" xfId="10589"/>
    <cellStyle name="Input 11 3 2 2 4 7" xfId="10590"/>
    <cellStyle name="Input 11 3 2 2 5" xfId="10591"/>
    <cellStyle name="Input 11 3 2 2 5 2" xfId="10592"/>
    <cellStyle name="Input 11 3 2 2 5 2 2" xfId="10593"/>
    <cellStyle name="Input 11 3 2 2 5 3" xfId="10594"/>
    <cellStyle name="Input 11 3 2 2 5 3 2" xfId="10595"/>
    <cellStyle name="Input 11 3 2 2 5 4" xfId="10596"/>
    <cellStyle name="Input 11 3 2 2 5 5" xfId="10597"/>
    <cellStyle name="Input 11 3 2 2 5 6" xfId="10598"/>
    <cellStyle name="Input 11 3 2 2 6" xfId="10599"/>
    <cellStyle name="Input 11 3 2 2 6 2" xfId="10600"/>
    <cellStyle name="Input 11 3 2 2 7" xfId="10601"/>
    <cellStyle name="Input 11 3 2 2 7 2" xfId="10602"/>
    <cellStyle name="Input 11 3 2 2 8" xfId="10603"/>
    <cellStyle name="Input 11 3 2 2 9" xfId="10604"/>
    <cellStyle name="Input 11 3 2 3" xfId="10605"/>
    <cellStyle name="Input 11 3 2 3 2" xfId="10606"/>
    <cellStyle name="Input 11 3 2 3 2 2" xfId="10607"/>
    <cellStyle name="Input 11 3 2 3 2 2 2" xfId="10608"/>
    <cellStyle name="Input 11 3 2 3 2 2 2 2" xfId="10609"/>
    <cellStyle name="Input 11 3 2 3 2 2 3" xfId="10610"/>
    <cellStyle name="Input 11 3 2 3 2 2 3 2" xfId="10611"/>
    <cellStyle name="Input 11 3 2 3 2 2 4" xfId="10612"/>
    <cellStyle name="Input 11 3 2 3 2 2 5" xfId="10613"/>
    <cellStyle name="Input 11 3 2 3 2 2 6" xfId="10614"/>
    <cellStyle name="Input 11 3 2 3 2 3" xfId="10615"/>
    <cellStyle name="Input 11 3 2 3 2 3 2" xfId="10616"/>
    <cellStyle name="Input 11 3 2 3 2 4" xfId="10617"/>
    <cellStyle name="Input 11 3 2 3 2 4 2" xfId="10618"/>
    <cellStyle name="Input 11 3 2 3 2 5" xfId="10619"/>
    <cellStyle name="Input 11 3 2 3 2 6" xfId="10620"/>
    <cellStyle name="Input 11 3 2 3 2 7" xfId="10621"/>
    <cellStyle name="Input 11 3 2 3 3" xfId="10622"/>
    <cellStyle name="Input 11 3 2 3 3 2" xfId="10623"/>
    <cellStyle name="Input 11 3 2 3 3 2 2" xfId="10624"/>
    <cellStyle name="Input 11 3 2 3 3 3" xfId="10625"/>
    <cellStyle name="Input 11 3 2 3 3 3 2" xfId="10626"/>
    <cellStyle name="Input 11 3 2 3 3 4" xfId="10627"/>
    <cellStyle name="Input 11 3 2 3 3 5" xfId="10628"/>
    <cellStyle name="Input 11 3 2 3 3 6" xfId="10629"/>
    <cellStyle name="Input 11 3 2 3 4" xfId="10630"/>
    <cellStyle name="Input 11 3 2 3 4 2" xfId="10631"/>
    <cellStyle name="Input 11 3 2 3 5" xfId="10632"/>
    <cellStyle name="Input 11 3 2 3 5 2" xfId="10633"/>
    <cellStyle name="Input 11 3 2 3 6" xfId="10634"/>
    <cellStyle name="Input 11 3 2 3 7" xfId="10635"/>
    <cellStyle name="Input 11 3 2 3 8" xfId="10636"/>
    <cellStyle name="Input 11 3 2 4" xfId="10637"/>
    <cellStyle name="Input 11 3 2 4 2" xfId="10638"/>
    <cellStyle name="Input 11 3 2 4 2 2" xfId="10639"/>
    <cellStyle name="Input 11 3 2 4 2 2 2" xfId="10640"/>
    <cellStyle name="Input 11 3 2 4 2 3" xfId="10641"/>
    <cellStyle name="Input 11 3 2 4 2 3 2" xfId="10642"/>
    <cellStyle name="Input 11 3 2 4 2 4" xfId="10643"/>
    <cellStyle name="Input 11 3 2 4 2 5" xfId="10644"/>
    <cellStyle name="Input 11 3 2 4 2 6" xfId="10645"/>
    <cellStyle name="Input 11 3 2 4 3" xfId="10646"/>
    <cellStyle name="Input 11 3 2 4 3 2" xfId="10647"/>
    <cellStyle name="Input 11 3 2 4 4" xfId="10648"/>
    <cellStyle name="Input 11 3 2 4 4 2" xfId="10649"/>
    <cellStyle name="Input 11 3 2 4 5" xfId="10650"/>
    <cellStyle name="Input 11 3 2 4 6" xfId="10651"/>
    <cellStyle name="Input 11 3 2 4 7" xfId="10652"/>
    <cellStyle name="Input 11 3 2 5" xfId="10653"/>
    <cellStyle name="Input 11 3 2 5 2" xfId="10654"/>
    <cellStyle name="Input 11 3 2 5 2 2" xfId="10655"/>
    <cellStyle name="Input 11 3 2 5 3" xfId="10656"/>
    <cellStyle name="Input 11 3 2 5 3 2" xfId="10657"/>
    <cellStyle name="Input 11 3 2 5 4" xfId="10658"/>
    <cellStyle name="Input 11 3 2 5 5" xfId="10659"/>
    <cellStyle name="Input 11 3 2 5 6" xfId="10660"/>
    <cellStyle name="Input 11 3 2 6" xfId="10661"/>
    <cellStyle name="Input 11 3 2 6 2" xfId="10662"/>
    <cellStyle name="Input 11 3 2 7" xfId="10663"/>
    <cellStyle name="Input 11 3 2 7 2" xfId="10664"/>
    <cellStyle name="Input 11 3 2 8" xfId="10665"/>
    <cellStyle name="Input 11 3 2 9" xfId="10666"/>
    <cellStyle name="Input 11 3 3" xfId="10667"/>
    <cellStyle name="Input 11 3 3 10" xfId="10668"/>
    <cellStyle name="Input 11 3 3 2" xfId="10669"/>
    <cellStyle name="Input 11 3 3 2 2" xfId="10670"/>
    <cellStyle name="Input 11 3 3 2 2 2" xfId="10671"/>
    <cellStyle name="Input 11 3 3 2 2 2 2" xfId="10672"/>
    <cellStyle name="Input 11 3 3 2 2 2 2 2" xfId="10673"/>
    <cellStyle name="Input 11 3 3 2 2 2 3" xfId="10674"/>
    <cellStyle name="Input 11 3 3 2 2 2 3 2" xfId="10675"/>
    <cellStyle name="Input 11 3 3 2 2 2 4" xfId="10676"/>
    <cellStyle name="Input 11 3 3 2 2 2 5" xfId="10677"/>
    <cellStyle name="Input 11 3 3 2 2 2 6" xfId="10678"/>
    <cellStyle name="Input 11 3 3 2 2 3" xfId="10679"/>
    <cellStyle name="Input 11 3 3 2 2 3 2" xfId="10680"/>
    <cellStyle name="Input 11 3 3 2 2 4" xfId="10681"/>
    <cellStyle name="Input 11 3 3 2 2 4 2" xfId="10682"/>
    <cellStyle name="Input 11 3 3 2 2 5" xfId="10683"/>
    <cellStyle name="Input 11 3 3 2 2 6" xfId="10684"/>
    <cellStyle name="Input 11 3 3 2 2 7" xfId="10685"/>
    <cellStyle name="Input 11 3 3 2 3" xfId="10686"/>
    <cellStyle name="Input 11 3 3 2 3 2" xfId="10687"/>
    <cellStyle name="Input 11 3 3 2 3 2 2" xfId="10688"/>
    <cellStyle name="Input 11 3 3 2 3 3" xfId="10689"/>
    <cellStyle name="Input 11 3 3 2 3 3 2" xfId="10690"/>
    <cellStyle name="Input 11 3 3 2 3 4" xfId="10691"/>
    <cellStyle name="Input 11 3 3 2 3 5" xfId="10692"/>
    <cellStyle name="Input 11 3 3 2 3 6" xfId="10693"/>
    <cellStyle name="Input 11 3 3 2 4" xfId="10694"/>
    <cellStyle name="Input 11 3 3 2 4 2" xfId="10695"/>
    <cellStyle name="Input 11 3 3 2 5" xfId="10696"/>
    <cellStyle name="Input 11 3 3 2 5 2" xfId="10697"/>
    <cellStyle name="Input 11 3 3 2 6" xfId="10698"/>
    <cellStyle name="Input 11 3 3 2 7" xfId="10699"/>
    <cellStyle name="Input 11 3 3 2 8" xfId="10700"/>
    <cellStyle name="Input 11 3 3 3" xfId="10701"/>
    <cellStyle name="Input 11 3 3 3 2" xfId="10702"/>
    <cellStyle name="Input 11 3 3 3 2 2" xfId="10703"/>
    <cellStyle name="Input 11 3 3 3 2 2 2" xfId="10704"/>
    <cellStyle name="Input 11 3 3 3 2 2 2 2" xfId="10705"/>
    <cellStyle name="Input 11 3 3 3 2 2 3" xfId="10706"/>
    <cellStyle name="Input 11 3 3 3 2 2 3 2" xfId="10707"/>
    <cellStyle name="Input 11 3 3 3 2 2 4" xfId="10708"/>
    <cellStyle name="Input 11 3 3 3 2 2 5" xfId="10709"/>
    <cellStyle name="Input 11 3 3 3 2 2 6" xfId="10710"/>
    <cellStyle name="Input 11 3 3 3 2 3" xfId="10711"/>
    <cellStyle name="Input 11 3 3 3 2 3 2" xfId="10712"/>
    <cellStyle name="Input 11 3 3 3 2 4" xfId="10713"/>
    <cellStyle name="Input 11 3 3 3 2 4 2" xfId="10714"/>
    <cellStyle name="Input 11 3 3 3 2 5" xfId="10715"/>
    <cellStyle name="Input 11 3 3 3 2 6" xfId="10716"/>
    <cellStyle name="Input 11 3 3 3 2 7" xfId="10717"/>
    <cellStyle name="Input 11 3 3 3 3" xfId="10718"/>
    <cellStyle name="Input 11 3 3 3 3 2" xfId="10719"/>
    <cellStyle name="Input 11 3 3 3 3 2 2" xfId="10720"/>
    <cellStyle name="Input 11 3 3 3 3 3" xfId="10721"/>
    <cellStyle name="Input 11 3 3 3 3 3 2" xfId="10722"/>
    <cellStyle name="Input 11 3 3 3 3 4" xfId="10723"/>
    <cellStyle name="Input 11 3 3 3 3 5" xfId="10724"/>
    <cellStyle name="Input 11 3 3 3 3 6" xfId="10725"/>
    <cellStyle name="Input 11 3 3 3 4" xfId="10726"/>
    <cellStyle name="Input 11 3 3 3 4 2" xfId="10727"/>
    <cellStyle name="Input 11 3 3 3 5" xfId="10728"/>
    <cellStyle name="Input 11 3 3 3 5 2" xfId="10729"/>
    <cellStyle name="Input 11 3 3 3 6" xfId="10730"/>
    <cellStyle name="Input 11 3 3 3 7" xfId="10731"/>
    <cellStyle name="Input 11 3 3 3 8" xfId="10732"/>
    <cellStyle name="Input 11 3 3 4" xfId="10733"/>
    <cellStyle name="Input 11 3 3 4 2" xfId="10734"/>
    <cellStyle name="Input 11 3 3 4 2 2" xfId="10735"/>
    <cellStyle name="Input 11 3 3 4 2 2 2" xfId="10736"/>
    <cellStyle name="Input 11 3 3 4 2 3" xfId="10737"/>
    <cellStyle name="Input 11 3 3 4 2 3 2" xfId="10738"/>
    <cellStyle name="Input 11 3 3 4 2 4" xfId="10739"/>
    <cellStyle name="Input 11 3 3 4 2 5" xfId="10740"/>
    <cellStyle name="Input 11 3 3 4 2 6" xfId="10741"/>
    <cellStyle name="Input 11 3 3 4 3" xfId="10742"/>
    <cellStyle name="Input 11 3 3 4 3 2" xfId="10743"/>
    <cellStyle name="Input 11 3 3 4 4" xfId="10744"/>
    <cellStyle name="Input 11 3 3 4 4 2" xfId="10745"/>
    <cellStyle name="Input 11 3 3 4 5" xfId="10746"/>
    <cellStyle name="Input 11 3 3 4 6" xfId="10747"/>
    <cellStyle name="Input 11 3 3 4 7" xfId="10748"/>
    <cellStyle name="Input 11 3 3 5" xfId="10749"/>
    <cellStyle name="Input 11 3 3 5 2" xfId="10750"/>
    <cellStyle name="Input 11 3 3 5 2 2" xfId="10751"/>
    <cellStyle name="Input 11 3 3 5 3" xfId="10752"/>
    <cellStyle name="Input 11 3 3 5 3 2" xfId="10753"/>
    <cellStyle name="Input 11 3 3 5 4" xfId="10754"/>
    <cellStyle name="Input 11 3 3 5 5" xfId="10755"/>
    <cellStyle name="Input 11 3 3 5 6" xfId="10756"/>
    <cellStyle name="Input 11 3 3 6" xfId="10757"/>
    <cellStyle name="Input 11 3 3 6 2" xfId="10758"/>
    <cellStyle name="Input 11 3 3 7" xfId="10759"/>
    <cellStyle name="Input 11 3 3 7 2" xfId="10760"/>
    <cellStyle name="Input 11 3 3 8" xfId="10761"/>
    <cellStyle name="Input 11 3 3 9" xfId="10762"/>
    <cellStyle name="Input 11 3 4" xfId="10763"/>
    <cellStyle name="Input 11 3 4 2" xfId="10764"/>
    <cellStyle name="Input 11 3 4 2 2" xfId="10765"/>
    <cellStyle name="Input 11 3 4 2 2 2" xfId="10766"/>
    <cellStyle name="Input 11 3 4 2 2 2 2" xfId="10767"/>
    <cellStyle name="Input 11 3 4 2 2 3" xfId="10768"/>
    <cellStyle name="Input 11 3 4 2 2 3 2" xfId="10769"/>
    <cellStyle name="Input 11 3 4 2 2 4" xfId="10770"/>
    <cellStyle name="Input 11 3 4 2 2 5" xfId="10771"/>
    <cellStyle name="Input 11 3 4 2 2 6" xfId="10772"/>
    <cellStyle name="Input 11 3 4 2 3" xfId="10773"/>
    <cellStyle name="Input 11 3 4 2 3 2" xfId="10774"/>
    <cellStyle name="Input 11 3 4 2 4" xfId="10775"/>
    <cellStyle name="Input 11 3 4 2 4 2" xfId="10776"/>
    <cellStyle name="Input 11 3 4 2 5" xfId="10777"/>
    <cellStyle name="Input 11 3 4 2 6" xfId="10778"/>
    <cellStyle name="Input 11 3 4 2 7" xfId="10779"/>
    <cellStyle name="Input 11 3 4 3" xfId="10780"/>
    <cellStyle name="Input 11 3 4 3 2" xfId="10781"/>
    <cellStyle name="Input 11 3 4 3 2 2" xfId="10782"/>
    <cellStyle name="Input 11 3 4 3 3" xfId="10783"/>
    <cellStyle name="Input 11 3 4 3 3 2" xfId="10784"/>
    <cellStyle name="Input 11 3 4 3 4" xfId="10785"/>
    <cellStyle name="Input 11 3 4 3 5" xfId="10786"/>
    <cellStyle name="Input 11 3 4 3 6" xfId="10787"/>
    <cellStyle name="Input 11 3 4 4" xfId="10788"/>
    <cellStyle name="Input 11 3 4 4 2" xfId="10789"/>
    <cellStyle name="Input 11 3 4 5" xfId="10790"/>
    <cellStyle name="Input 11 3 4 5 2" xfId="10791"/>
    <cellStyle name="Input 11 3 4 6" xfId="10792"/>
    <cellStyle name="Input 11 3 4 7" xfId="10793"/>
    <cellStyle name="Input 11 3 4 8" xfId="10794"/>
    <cellStyle name="Input 11 3 5" xfId="10795"/>
    <cellStyle name="Input 11 3 5 2" xfId="10796"/>
    <cellStyle name="Input 11 3 5 2 2" xfId="10797"/>
    <cellStyle name="Input 11 3 5 2 2 2" xfId="10798"/>
    <cellStyle name="Input 11 3 5 2 3" xfId="10799"/>
    <cellStyle name="Input 11 3 5 2 3 2" xfId="10800"/>
    <cellStyle name="Input 11 3 5 2 4" xfId="10801"/>
    <cellStyle name="Input 11 3 5 2 5" xfId="10802"/>
    <cellStyle name="Input 11 3 5 2 6" xfId="10803"/>
    <cellStyle name="Input 11 3 5 3" xfId="10804"/>
    <cellStyle name="Input 11 3 5 3 2" xfId="10805"/>
    <cellStyle name="Input 11 3 5 4" xfId="10806"/>
    <cellStyle name="Input 11 3 5 4 2" xfId="10807"/>
    <cellStyle name="Input 11 3 5 5" xfId="10808"/>
    <cellStyle name="Input 11 3 5 6" xfId="10809"/>
    <cellStyle name="Input 11 3 5 7" xfId="10810"/>
    <cellStyle name="Input 11 3 6" xfId="10811"/>
    <cellStyle name="Input 11 3 6 2" xfId="10812"/>
    <cellStyle name="Input 11 3 6 2 2" xfId="10813"/>
    <cellStyle name="Input 11 3 6 3" xfId="10814"/>
    <cellStyle name="Input 11 3 6 3 2" xfId="10815"/>
    <cellStyle name="Input 11 3 6 4" xfId="10816"/>
    <cellStyle name="Input 11 3 6 5" xfId="10817"/>
    <cellStyle name="Input 11 3 6 6" xfId="10818"/>
    <cellStyle name="Input 11 3 7" xfId="10819"/>
    <cellStyle name="Input 11 3 7 2" xfId="10820"/>
    <cellStyle name="Input 11 3 8" xfId="10821"/>
    <cellStyle name="Input 11 3 8 2" xfId="10822"/>
    <cellStyle name="Input 11 3 9" xfId="10823"/>
    <cellStyle name="Input 11 4" xfId="10824"/>
    <cellStyle name="Input 11 4 10" xfId="10825"/>
    <cellStyle name="Input 11 4 11" xfId="10826"/>
    <cellStyle name="Input 11 4 2" xfId="10827"/>
    <cellStyle name="Input 11 4 2 10" xfId="10828"/>
    <cellStyle name="Input 11 4 2 2" xfId="10829"/>
    <cellStyle name="Input 11 4 2 2 2" xfId="10830"/>
    <cellStyle name="Input 11 4 2 2 2 2" xfId="10831"/>
    <cellStyle name="Input 11 4 2 2 2 2 2" xfId="10832"/>
    <cellStyle name="Input 11 4 2 2 2 2 2 2" xfId="10833"/>
    <cellStyle name="Input 11 4 2 2 2 2 3" xfId="10834"/>
    <cellStyle name="Input 11 4 2 2 2 2 3 2" xfId="10835"/>
    <cellStyle name="Input 11 4 2 2 2 2 4" xfId="10836"/>
    <cellStyle name="Input 11 4 2 2 2 2 5" xfId="10837"/>
    <cellStyle name="Input 11 4 2 2 2 2 6" xfId="10838"/>
    <cellStyle name="Input 11 4 2 2 2 3" xfId="10839"/>
    <cellStyle name="Input 11 4 2 2 2 3 2" xfId="10840"/>
    <cellStyle name="Input 11 4 2 2 2 4" xfId="10841"/>
    <cellStyle name="Input 11 4 2 2 2 4 2" xfId="10842"/>
    <cellStyle name="Input 11 4 2 2 2 5" xfId="10843"/>
    <cellStyle name="Input 11 4 2 2 2 6" xfId="10844"/>
    <cellStyle name="Input 11 4 2 2 2 7" xfId="10845"/>
    <cellStyle name="Input 11 4 2 2 3" xfId="10846"/>
    <cellStyle name="Input 11 4 2 2 3 2" xfId="10847"/>
    <cellStyle name="Input 11 4 2 2 3 2 2" xfId="10848"/>
    <cellStyle name="Input 11 4 2 2 3 3" xfId="10849"/>
    <cellStyle name="Input 11 4 2 2 3 3 2" xfId="10850"/>
    <cellStyle name="Input 11 4 2 2 3 4" xfId="10851"/>
    <cellStyle name="Input 11 4 2 2 3 5" xfId="10852"/>
    <cellStyle name="Input 11 4 2 2 3 6" xfId="10853"/>
    <cellStyle name="Input 11 4 2 2 4" xfId="10854"/>
    <cellStyle name="Input 11 4 2 2 4 2" xfId="10855"/>
    <cellStyle name="Input 11 4 2 2 5" xfId="10856"/>
    <cellStyle name="Input 11 4 2 2 5 2" xfId="10857"/>
    <cellStyle name="Input 11 4 2 2 6" xfId="10858"/>
    <cellStyle name="Input 11 4 2 2 7" xfId="10859"/>
    <cellStyle name="Input 11 4 2 2 8" xfId="10860"/>
    <cellStyle name="Input 11 4 2 3" xfId="10861"/>
    <cellStyle name="Input 11 4 2 3 2" xfId="10862"/>
    <cellStyle name="Input 11 4 2 3 2 2" xfId="10863"/>
    <cellStyle name="Input 11 4 2 3 2 2 2" xfId="10864"/>
    <cellStyle name="Input 11 4 2 3 2 2 2 2" xfId="10865"/>
    <cellStyle name="Input 11 4 2 3 2 2 3" xfId="10866"/>
    <cellStyle name="Input 11 4 2 3 2 2 3 2" xfId="10867"/>
    <cellStyle name="Input 11 4 2 3 2 2 4" xfId="10868"/>
    <cellStyle name="Input 11 4 2 3 2 2 5" xfId="10869"/>
    <cellStyle name="Input 11 4 2 3 2 2 6" xfId="10870"/>
    <cellStyle name="Input 11 4 2 3 2 3" xfId="10871"/>
    <cellStyle name="Input 11 4 2 3 2 3 2" xfId="10872"/>
    <cellStyle name="Input 11 4 2 3 2 4" xfId="10873"/>
    <cellStyle name="Input 11 4 2 3 2 4 2" xfId="10874"/>
    <cellStyle name="Input 11 4 2 3 2 5" xfId="10875"/>
    <cellStyle name="Input 11 4 2 3 2 6" xfId="10876"/>
    <cellStyle name="Input 11 4 2 3 2 7" xfId="10877"/>
    <cellStyle name="Input 11 4 2 3 3" xfId="10878"/>
    <cellStyle name="Input 11 4 2 3 3 2" xfId="10879"/>
    <cellStyle name="Input 11 4 2 3 3 2 2" xfId="10880"/>
    <cellStyle name="Input 11 4 2 3 3 3" xfId="10881"/>
    <cellStyle name="Input 11 4 2 3 3 3 2" xfId="10882"/>
    <cellStyle name="Input 11 4 2 3 3 4" xfId="10883"/>
    <cellStyle name="Input 11 4 2 3 3 5" xfId="10884"/>
    <cellStyle name="Input 11 4 2 3 3 6" xfId="10885"/>
    <cellStyle name="Input 11 4 2 3 4" xfId="10886"/>
    <cellStyle name="Input 11 4 2 3 4 2" xfId="10887"/>
    <cellStyle name="Input 11 4 2 3 5" xfId="10888"/>
    <cellStyle name="Input 11 4 2 3 5 2" xfId="10889"/>
    <cellStyle name="Input 11 4 2 3 6" xfId="10890"/>
    <cellStyle name="Input 11 4 2 3 7" xfId="10891"/>
    <cellStyle name="Input 11 4 2 3 8" xfId="10892"/>
    <cellStyle name="Input 11 4 2 4" xfId="10893"/>
    <cellStyle name="Input 11 4 2 4 2" xfId="10894"/>
    <cellStyle name="Input 11 4 2 4 2 2" xfId="10895"/>
    <cellStyle name="Input 11 4 2 4 2 2 2" xfId="10896"/>
    <cellStyle name="Input 11 4 2 4 2 3" xfId="10897"/>
    <cellStyle name="Input 11 4 2 4 2 3 2" xfId="10898"/>
    <cellStyle name="Input 11 4 2 4 2 4" xfId="10899"/>
    <cellStyle name="Input 11 4 2 4 2 5" xfId="10900"/>
    <cellStyle name="Input 11 4 2 4 2 6" xfId="10901"/>
    <cellStyle name="Input 11 4 2 4 3" xfId="10902"/>
    <cellStyle name="Input 11 4 2 4 3 2" xfId="10903"/>
    <cellStyle name="Input 11 4 2 4 4" xfId="10904"/>
    <cellStyle name="Input 11 4 2 4 4 2" xfId="10905"/>
    <cellStyle name="Input 11 4 2 4 5" xfId="10906"/>
    <cellStyle name="Input 11 4 2 4 6" xfId="10907"/>
    <cellStyle name="Input 11 4 2 4 7" xfId="10908"/>
    <cellStyle name="Input 11 4 2 5" xfId="10909"/>
    <cellStyle name="Input 11 4 2 5 2" xfId="10910"/>
    <cellStyle name="Input 11 4 2 5 2 2" xfId="10911"/>
    <cellStyle name="Input 11 4 2 5 3" xfId="10912"/>
    <cellStyle name="Input 11 4 2 5 3 2" xfId="10913"/>
    <cellStyle name="Input 11 4 2 5 4" xfId="10914"/>
    <cellStyle name="Input 11 4 2 5 5" xfId="10915"/>
    <cellStyle name="Input 11 4 2 5 6" xfId="10916"/>
    <cellStyle name="Input 11 4 2 6" xfId="10917"/>
    <cellStyle name="Input 11 4 2 6 2" xfId="10918"/>
    <cellStyle name="Input 11 4 2 7" xfId="10919"/>
    <cellStyle name="Input 11 4 2 7 2" xfId="10920"/>
    <cellStyle name="Input 11 4 2 8" xfId="10921"/>
    <cellStyle name="Input 11 4 2 9" xfId="10922"/>
    <cellStyle name="Input 11 4 3" xfId="10923"/>
    <cellStyle name="Input 11 4 3 2" xfId="10924"/>
    <cellStyle name="Input 11 4 3 2 2" xfId="10925"/>
    <cellStyle name="Input 11 4 3 2 2 2" xfId="10926"/>
    <cellStyle name="Input 11 4 3 2 2 2 2" xfId="10927"/>
    <cellStyle name="Input 11 4 3 2 2 3" xfId="10928"/>
    <cellStyle name="Input 11 4 3 2 2 3 2" xfId="10929"/>
    <cellStyle name="Input 11 4 3 2 2 4" xfId="10930"/>
    <cellStyle name="Input 11 4 3 2 2 5" xfId="10931"/>
    <cellStyle name="Input 11 4 3 2 2 6" xfId="10932"/>
    <cellStyle name="Input 11 4 3 2 3" xfId="10933"/>
    <cellStyle name="Input 11 4 3 2 3 2" xfId="10934"/>
    <cellStyle name="Input 11 4 3 2 4" xfId="10935"/>
    <cellStyle name="Input 11 4 3 2 4 2" xfId="10936"/>
    <cellStyle name="Input 11 4 3 2 5" xfId="10937"/>
    <cellStyle name="Input 11 4 3 2 6" xfId="10938"/>
    <cellStyle name="Input 11 4 3 2 7" xfId="10939"/>
    <cellStyle name="Input 11 4 3 3" xfId="10940"/>
    <cellStyle name="Input 11 4 3 3 2" xfId="10941"/>
    <cellStyle name="Input 11 4 3 3 2 2" xfId="10942"/>
    <cellStyle name="Input 11 4 3 3 3" xfId="10943"/>
    <cellStyle name="Input 11 4 3 3 3 2" xfId="10944"/>
    <cellStyle name="Input 11 4 3 3 4" xfId="10945"/>
    <cellStyle name="Input 11 4 3 3 5" xfId="10946"/>
    <cellStyle name="Input 11 4 3 3 6" xfId="10947"/>
    <cellStyle name="Input 11 4 3 4" xfId="10948"/>
    <cellStyle name="Input 11 4 3 4 2" xfId="10949"/>
    <cellStyle name="Input 11 4 3 5" xfId="10950"/>
    <cellStyle name="Input 11 4 3 5 2" xfId="10951"/>
    <cellStyle name="Input 11 4 3 6" xfId="10952"/>
    <cellStyle name="Input 11 4 3 7" xfId="10953"/>
    <cellStyle name="Input 11 4 3 8" xfId="10954"/>
    <cellStyle name="Input 11 4 4" xfId="10955"/>
    <cellStyle name="Input 11 4 4 2" xfId="10956"/>
    <cellStyle name="Input 11 4 4 2 2" xfId="10957"/>
    <cellStyle name="Input 11 4 4 2 2 2" xfId="10958"/>
    <cellStyle name="Input 11 4 4 2 2 2 2" xfId="10959"/>
    <cellStyle name="Input 11 4 4 2 2 3" xfId="10960"/>
    <cellStyle name="Input 11 4 4 2 2 3 2" xfId="10961"/>
    <cellStyle name="Input 11 4 4 2 2 4" xfId="10962"/>
    <cellStyle name="Input 11 4 4 2 2 5" xfId="10963"/>
    <cellStyle name="Input 11 4 4 2 2 6" xfId="10964"/>
    <cellStyle name="Input 11 4 4 2 3" xfId="10965"/>
    <cellStyle name="Input 11 4 4 2 3 2" xfId="10966"/>
    <cellStyle name="Input 11 4 4 2 4" xfId="10967"/>
    <cellStyle name="Input 11 4 4 2 4 2" xfId="10968"/>
    <cellStyle name="Input 11 4 4 2 5" xfId="10969"/>
    <cellStyle name="Input 11 4 4 2 6" xfId="10970"/>
    <cellStyle name="Input 11 4 4 2 7" xfId="10971"/>
    <cellStyle name="Input 11 4 4 3" xfId="10972"/>
    <cellStyle name="Input 11 4 4 3 2" xfId="10973"/>
    <cellStyle name="Input 11 4 4 3 2 2" xfId="10974"/>
    <cellStyle name="Input 11 4 4 3 3" xfId="10975"/>
    <cellStyle name="Input 11 4 4 3 3 2" xfId="10976"/>
    <cellStyle name="Input 11 4 4 3 4" xfId="10977"/>
    <cellStyle name="Input 11 4 4 3 5" xfId="10978"/>
    <cellStyle name="Input 11 4 4 3 6" xfId="10979"/>
    <cellStyle name="Input 11 4 4 4" xfId="10980"/>
    <cellStyle name="Input 11 4 4 4 2" xfId="10981"/>
    <cellStyle name="Input 11 4 4 5" xfId="10982"/>
    <cellStyle name="Input 11 4 4 5 2" xfId="10983"/>
    <cellStyle name="Input 11 4 4 6" xfId="10984"/>
    <cellStyle name="Input 11 4 4 7" xfId="10985"/>
    <cellStyle name="Input 11 4 4 8" xfId="10986"/>
    <cellStyle name="Input 11 4 5" xfId="10987"/>
    <cellStyle name="Input 11 4 5 2" xfId="10988"/>
    <cellStyle name="Input 11 4 5 2 2" xfId="10989"/>
    <cellStyle name="Input 11 4 5 2 2 2" xfId="10990"/>
    <cellStyle name="Input 11 4 5 2 3" xfId="10991"/>
    <cellStyle name="Input 11 4 5 2 3 2" xfId="10992"/>
    <cellStyle name="Input 11 4 5 2 4" xfId="10993"/>
    <cellStyle name="Input 11 4 5 2 5" xfId="10994"/>
    <cellStyle name="Input 11 4 5 2 6" xfId="10995"/>
    <cellStyle name="Input 11 4 5 3" xfId="10996"/>
    <cellStyle name="Input 11 4 5 3 2" xfId="10997"/>
    <cellStyle name="Input 11 4 5 4" xfId="10998"/>
    <cellStyle name="Input 11 4 5 4 2" xfId="10999"/>
    <cellStyle name="Input 11 4 5 5" xfId="11000"/>
    <cellStyle name="Input 11 4 5 6" xfId="11001"/>
    <cellStyle name="Input 11 4 5 7" xfId="11002"/>
    <cellStyle name="Input 11 4 6" xfId="11003"/>
    <cellStyle name="Input 11 4 6 2" xfId="11004"/>
    <cellStyle name="Input 11 4 6 2 2" xfId="11005"/>
    <cellStyle name="Input 11 4 6 3" xfId="11006"/>
    <cellStyle name="Input 11 4 6 3 2" xfId="11007"/>
    <cellStyle name="Input 11 4 6 4" xfId="11008"/>
    <cellStyle name="Input 11 4 6 5" xfId="11009"/>
    <cellStyle name="Input 11 4 6 6" xfId="11010"/>
    <cellStyle name="Input 11 4 7" xfId="11011"/>
    <cellStyle name="Input 11 4 7 2" xfId="11012"/>
    <cellStyle name="Input 11 4 8" xfId="11013"/>
    <cellStyle name="Input 11 4 8 2" xfId="11014"/>
    <cellStyle name="Input 11 4 9" xfId="11015"/>
    <cellStyle name="Input 11 5" xfId="11016"/>
    <cellStyle name="Input 11 5 10" xfId="11017"/>
    <cellStyle name="Input 11 5 2" xfId="11018"/>
    <cellStyle name="Input 11 5 2 2" xfId="11019"/>
    <cellStyle name="Input 11 5 2 2 2" xfId="11020"/>
    <cellStyle name="Input 11 5 2 2 2 2" xfId="11021"/>
    <cellStyle name="Input 11 5 2 2 2 2 2" xfId="11022"/>
    <cellStyle name="Input 11 5 2 2 2 3" xfId="11023"/>
    <cellStyle name="Input 11 5 2 2 2 3 2" xfId="11024"/>
    <cellStyle name="Input 11 5 2 2 2 4" xfId="11025"/>
    <cellStyle name="Input 11 5 2 2 2 5" xfId="11026"/>
    <cellStyle name="Input 11 5 2 2 2 6" xfId="11027"/>
    <cellStyle name="Input 11 5 2 2 3" xfId="11028"/>
    <cellStyle name="Input 11 5 2 2 3 2" xfId="11029"/>
    <cellStyle name="Input 11 5 2 2 4" xfId="11030"/>
    <cellStyle name="Input 11 5 2 2 4 2" xfId="11031"/>
    <cellStyle name="Input 11 5 2 2 5" xfId="11032"/>
    <cellStyle name="Input 11 5 2 2 6" xfId="11033"/>
    <cellStyle name="Input 11 5 2 2 7" xfId="11034"/>
    <cellStyle name="Input 11 5 2 3" xfId="11035"/>
    <cellStyle name="Input 11 5 2 3 2" xfId="11036"/>
    <cellStyle name="Input 11 5 2 3 2 2" xfId="11037"/>
    <cellStyle name="Input 11 5 2 3 3" xfId="11038"/>
    <cellStyle name="Input 11 5 2 3 3 2" xfId="11039"/>
    <cellStyle name="Input 11 5 2 3 4" xfId="11040"/>
    <cellStyle name="Input 11 5 2 3 5" xfId="11041"/>
    <cellStyle name="Input 11 5 2 3 6" xfId="11042"/>
    <cellStyle name="Input 11 5 2 4" xfId="11043"/>
    <cellStyle name="Input 11 5 2 4 2" xfId="11044"/>
    <cellStyle name="Input 11 5 2 5" xfId="11045"/>
    <cellStyle name="Input 11 5 2 5 2" xfId="11046"/>
    <cellStyle name="Input 11 5 2 6" xfId="11047"/>
    <cellStyle name="Input 11 5 2 7" xfId="11048"/>
    <cellStyle name="Input 11 5 2 8" xfId="11049"/>
    <cellStyle name="Input 11 5 3" xfId="11050"/>
    <cellStyle name="Input 11 5 3 2" xfId="11051"/>
    <cellStyle name="Input 11 5 3 2 2" xfId="11052"/>
    <cellStyle name="Input 11 5 3 2 2 2" xfId="11053"/>
    <cellStyle name="Input 11 5 3 2 2 2 2" xfId="11054"/>
    <cellStyle name="Input 11 5 3 2 2 3" xfId="11055"/>
    <cellStyle name="Input 11 5 3 2 2 3 2" xfId="11056"/>
    <cellStyle name="Input 11 5 3 2 2 4" xfId="11057"/>
    <cellStyle name="Input 11 5 3 2 2 5" xfId="11058"/>
    <cellStyle name="Input 11 5 3 2 2 6" xfId="11059"/>
    <cellStyle name="Input 11 5 3 2 3" xfId="11060"/>
    <cellStyle name="Input 11 5 3 2 3 2" xfId="11061"/>
    <cellStyle name="Input 11 5 3 2 4" xfId="11062"/>
    <cellStyle name="Input 11 5 3 2 4 2" xfId="11063"/>
    <cellStyle name="Input 11 5 3 2 5" xfId="11064"/>
    <cellStyle name="Input 11 5 3 2 6" xfId="11065"/>
    <cellStyle name="Input 11 5 3 2 7" xfId="11066"/>
    <cellStyle name="Input 11 5 3 3" xfId="11067"/>
    <cellStyle name="Input 11 5 3 3 2" xfId="11068"/>
    <cellStyle name="Input 11 5 3 3 2 2" xfId="11069"/>
    <cellStyle name="Input 11 5 3 3 3" xfId="11070"/>
    <cellStyle name="Input 11 5 3 3 3 2" xfId="11071"/>
    <cellStyle name="Input 11 5 3 3 4" xfId="11072"/>
    <cellStyle name="Input 11 5 3 3 5" xfId="11073"/>
    <cellStyle name="Input 11 5 3 3 6" xfId="11074"/>
    <cellStyle name="Input 11 5 3 4" xfId="11075"/>
    <cellStyle name="Input 11 5 3 4 2" xfId="11076"/>
    <cellStyle name="Input 11 5 3 5" xfId="11077"/>
    <cellStyle name="Input 11 5 3 5 2" xfId="11078"/>
    <cellStyle name="Input 11 5 3 6" xfId="11079"/>
    <cellStyle name="Input 11 5 3 7" xfId="11080"/>
    <cellStyle name="Input 11 5 3 8" xfId="11081"/>
    <cellStyle name="Input 11 5 4" xfId="11082"/>
    <cellStyle name="Input 11 5 4 2" xfId="11083"/>
    <cellStyle name="Input 11 5 4 2 2" xfId="11084"/>
    <cellStyle name="Input 11 5 4 2 2 2" xfId="11085"/>
    <cellStyle name="Input 11 5 4 2 3" xfId="11086"/>
    <cellStyle name="Input 11 5 4 2 3 2" xfId="11087"/>
    <cellStyle name="Input 11 5 4 2 4" xfId="11088"/>
    <cellStyle name="Input 11 5 4 2 5" xfId="11089"/>
    <cellStyle name="Input 11 5 4 2 6" xfId="11090"/>
    <cellStyle name="Input 11 5 4 3" xfId="11091"/>
    <cellStyle name="Input 11 5 4 3 2" xfId="11092"/>
    <cellStyle name="Input 11 5 4 4" xfId="11093"/>
    <cellStyle name="Input 11 5 4 4 2" xfId="11094"/>
    <cellStyle name="Input 11 5 4 5" xfId="11095"/>
    <cellStyle name="Input 11 5 4 6" xfId="11096"/>
    <cellStyle name="Input 11 5 4 7" xfId="11097"/>
    <cellStyle name="Input 11 5 5" xfId="11098"/>
    <cellStyle name="Input 11 5 5 2" xfId="11099"/>
    <cellStyle name="Input 11 5 5 2 2" xfId="11100"/>
    <cellStyle name="Input 11 5 5 3" xfId="11101"/>
    <cellStyle name="Input 11 5 5 3 2" xfId="11102"/>
    <cellStyle name="Input 11 5 5 4" xfId="11103"/>
    <cellStyle name="Input 11 5 5 5" xfId="11104"/>
    <cellStyle name="Input 11 5 5 6" xfId="11105"/>
    <cellStyle name="Input 11 5 6" xfId="11106"/>
    <cellStyle name="Input 11 5 6 2" xfId="11107"/>
    <cellStyle name="Input 11 5 7" xfId="11108"/>
    <cellStyle name="Input 11 5 7 2" xfId="11109"/>
    <cellStyle name="Input 11 5 8" xfId="11110"/>
    <cellStyle name="Input 11 5 9" xfId="11111"/>
    <cellStyle name="Input 11 6" xfId="11112"/>
    <cellStyle name="Input 11 6 2" xfId="11113"/>
    <cellStyle name="Input 11 6 2 2" xfId="11114"/>
    <cellStyle name="Input 11 6 2 2 2" xfId="11115"/>
    <cellStyle name="Input 11 6 2 2 2 2" xfId="11116"/>
    <cellStyle name="Input 11 6 2 2 3" xfId="11117"/>
    <cellStyle name="Input 11 6 2 2 3 2" xfId="11118"/>
    <cellStyle name="Input 11 6 2 2 4" xfId="11119"/>
    <cellStyle name="Input 11 6 2 2 5" xfId="11120"/>
    <cellStyle name="Input 11 6 2 2 6" xfId="11121"/>
    <cellStyle name="Input 11 6 2 3" xfId="11122"/>
    <cellStyle name="Input 11 6 2 3 2" xfId="11123"/>
    <cellStyle name="Input 11 6 2 4" xfId="11124"/>
    <cellStyle name="Input 11 6 2 4 2" xfId="11125"/>
    <cellStyle name="Input 11 6 2 5" xfId="11126"/>
    <cellStyle name="Input 11 6 2 6" xfId="11127"/>
    <cellStyle name="Input 11 6 2 7" xfId="11128"/>
    <cellStyle name="Input 11 6 3" xfId="11129"/>
    <cellStyle name="Input 11 6 3 2" xfId="11130"/>
    <cellStyle name="Input 11 6 3 2 2" xfId="11131"/>
    <cellStyle name="Input 11 6 3 3" xfId="11132"/>
    <cellStyle name="Input 11 6 3 3 2" xfId="11133"/>
    <cellStyle name="Input 11 6 3 4" xfId="11134"/>
    <cellStyle name="Input 11 6 3 5" xfId="11135"/>
    <cellStyle name="Input 11 6 3 6" xfId="11136"/>
    <cellStyle name="Input 11 6 4" xfId="11137"/>
    <cellStyle name="Input 11 6 4 2" xfId="11138"/>
    <cellStyle name="Input 11 6 5" xfId="11139"/>
    <cellStyle name="Input 11 6 5 2" xfId="11140"/>
    <cellStyle name="Input 11 6 6" xfId="11141"/>
    <cellStyle name="Input 11 6 7" xfId="11142"/>
    <cellStyle name="Input 11 6 8" xfId="11143"/>
    <cellStyle name="Input 11 7" xfId="11144"/>
    <cellStyle name="Input 11 7 2" xfId="11145"/>
    <cellStyle name="Input 11 7 2 2" xfId="11146"/>
    <cellStyle name="Input 11 7 2 2 2" xfId="11147"/>
    <cellStyle name="Input 11 7 2 3" xfId="11148"/>
    <cellStyle name="Input 11 7 2 3 2" xfId="11149"/>
    <cellStyle name="Input 11 7 2 4" xfId="11150"/>
    <cellStyle name="Input 11 7 2 5" xfId="11151"/>
    <cellStyle name="Input 11 7 2 6" xfId="11152"/>
    <cellStyle name="Input 11 7 3" xfId="11153"/>
    <cellStyle name="Input 11 7 3 2" xfId="11154"/>
    <cellStyle name="Input 11 7 4" xfId="11155"/>
    <cellStyle name="Input 11 7 4 2" xfId="11156"/>
    <cellStyle name="Input 11 7 5" xfId="11157"/>
    <cellStyle name="Input 11 7 6" xfId="11158"/>
    <cellStyle name="Input 11 7 7" xfId="11159"/>
    <cellStyle name="Input 11 8" xfId="11160"/>
    <cellStyle name="Input 11 8 2" xfId="11161"/>
    <cellStyle name="Input 11 9" xfId="11162"/>
    <cellStyle name="Input 11 9 2" xfId="11163"/>
    <cellStyle name="Input 12" xfId="11164"/>
    <cellStyle name="Input 12 10" xfId="11165"/>
    <cellStyle name="Input 12 11" xfId="11166"/>
    <cellStyle name="Input 12 12" xfId="11167"/>
    <cellStyle name="Input 12 2" xfId="11168"/>
    <cellStyle name="Input 12 2 10" xfId="11169"/>
    <cellStyle name="Input 12 2 11" xfId="11170"/>
    <cellStyle name="Input 12 2 12" xfId="11171"/>
    <cellStyle name="Input 12 2 2" xfId="11172"/>
    <cellStyle name="Input 12 2 2 10" xfId="11173"/>
    <cellStyle name="Input 12 2 2 11" xfId="11174"/>
    <cellStyle name="Input 12 2 2 2" xfId="11175"/>
    <cellStyle name="Input 12 2 2 2 10" xfId="11176"/>
    <cellStyle name="Input 12 2 2 2 2" xfId="11177"/>
    <cellStyle name="Input 12 2 2 2 2 2" xfId="11178"/>
    <cellStyle name="Input 12 2 2 2 2 2 2" xfId="11179"/>
    <cellStyle name="Input 12 2 2 2 2 2 2 2" xfId="11180"/>
    <cellStyle name="Input 12 2 2 2 2 2 2 2 2" xfId="11181"/>
    <cellStyle name="Input 12 2 2 2 2 2 2 3" xfId="11182"/>
    <cellStyle name="Input 12 2 2 2 2 2 2 3 2" xfId="11183"/>
    <cellStyle name="Input 12 2 2 2 2 2 2 4" xfId="11184"/>
    <cellStyle name="Input 12 2 2 2 2 2 2 5" xfId="11185"/>
    <cellStyle name="Input 12 2 2 2 2 2 2 6" xfId="11186"/>
    <cellStyle name="Input 12 2 2 2 2 2 3" xfId="11187"/>
    <cellStyle name="Input 12 2 2 2 2 2 3 2" xfId="11188"/>
    <cellStyle name="Input 12 2 2 2 2 2 4" xfId="11189"/>
    <cellStyle name="Input 12 2 2 2 2 2 4 2" xfId="11190"/>
    <cellStyle name="Input 12 2 2 2 2 2 5" xfId="11191"/>
    <cellStyle name="Input 12 2 2 2 2 2 6" xfId="11192"/>
    <cellStyle name="Input 12 2 2 2 2 2 7" xfId="11193"/>
    <cellStyle name="Input 12 2 2 2 2 3" xfId="11194"/>
    <cellStyle name="Input 12 2 2 2 2 3 2" xfId="11195"/>
    <cellStyle name="Input 12 2 2 2 2 3 2 2" xfId="11196"/>
    <cellStyle name="Input 12 2 2 2 2 3 3" xfId="11197"/>
    <cellStyle name="Input 12 2 2 2 2 3 3 2" xfId="11198"/>
    <cellStyle name="Input 12 2 2 2 2 3 4" xfId="11199"/>
    <cellStyle name="Input 12 2 2 2 2 3 5" xfId="11200"/>
    <cellStyle name="Input 12 2 2 2 2 3 6" xfId="11201"/>
    <cellStyle name="Input 12 2 2 2 2 4" xfId="11202"/>
    <cellStyle name="Input 12 2 2 2 2 4 2" xfId="11203"/>
    <cellStyle name="Input 12 2 2 2 2 5" xfId="11204"/>
    <cellStyle name="Input 12 2 2 2 2 5 2" xfId="11205"/>
    <cellStyle name="Input 12 2 2 2 2 6" xfId="11206"/>
    <cellStyle name="Input 12 2 2 2 2 7" xfId="11207"/>
    <cellStyle name="Input 12 2 2 2 2 8" xfId="11208"/>
    <cellStyle name="Input 12 2 2 2 3" xfId="11209"/>
    <cellStyle name="Input 12 2 2 2 3 2" xfId="11210"/>
    <cellStyle name="Input 12 2 2 2 3 2 2" xfId="11211"/>
    <cellStyle name="Input 12 2 2 2 3 2 2 2" xfId="11212"/>
    <cellStyle name="Input 12 2 2 2 3 2 2 2 2" xfId="11213"/>
    <cellStyle name="Input 12 2 2 2 3 2 2 3" xfId="11214"/>
    <cellStyle name="Input 12 2 2 2 3 2 2 3 2" xfId="11215"/>
    <cellStyle name="Input 12 2 2 2 3 2 2 4" xfId="11216"/>
    <cellStyle name="Input 12 2 2 2 3 2 2 5" xfId="11217"/>
    <cellStyle name="Input 12 2 2 2 3 2 2 6" xfId="11218"/>
    <cellStyle name="Input 12 2 2 2 3 2 3" xfId="11219"/>
    <cellStyle name="Input 12 2 2 2 3 2 3 2" xfId="11220"/>
    <cellStyle name="Input 12 2 2 2 3 2 4" xfId="11221"/>
    <cellStyle name="Input 12 2 2 2 3 2 4 2" xfId="11222"/>
    <cellStyle name="Input 12 2 2 2 3 2 5" xfId="11223"/>
    <cellStyle name="Input 12 2 2 2 3 2 6" xfId="11224"/>
    <cellStyle name="Input 12 2 2 2 3 2 7" xfId="11225"/>
    <cellStyle name="Input 12 2 2 2 3 3" xfId="11226"/>
    <cellStyle name="Input 12 2 2 2 3 3 2" xfId="11227"/>
    <cellStyle name="Input 12 2 2 2 3 3 2 2" xfId="11228"/>
    <cellStyle name="Input 12 2 2 2 3 3 3" xfId="11229"/>
    <cellStyle name="Input 12 2 2 2 3 3 3 2" xfId="11230"/>
    <cellStyle name="Input 12 2 2 2 3 3 4" xfId="11231"/>
    <cellStyle name="Input 12 2 2 2 3 3 5" xfId="11232"/>
    <cellStyle name="Input 12 2 2 2 3 3 6" xfId="11233"/>
    <cellStyle name="Input 12 2 2 2 3 4" xfId="11234"/>
    <cellStyle name="Input 12 2 2 2 3 4 2" xfId="11235"/>
    <cellStyle name="Input 12 2 2 2 3 5" xfId="11236"/>
    <cellStyle name="Input 12 2 2 2 3 5 2" xfId="11237"/>
    <cellStyle name="Input 12 2 2 2 3 6" xfId="11238"/>
    <cellStyle name="Input 12 2 2 2 3 7" xfId="11239"/>
    <cellStyle name="Input 12 2 2 2 3 8" xfId="11240"/>
    <cellStyle name="Input 12 2 2 2 4" xfId="11241"/>
    <cellStyle name="Input 12 2 2 2 4 2" xfId="11242"/>
    <cellStyle name="Input 12 2 2 2 4 2 2" xfId="11243"/>
    <cellStyle name="Input 12 2 2 2 4 2 2 2" xfId="11244"/>
    <cellStyle name="Input 12 2 2 2 4 2 3" xfId="11245"/>
    <cellStyle name="Input 12 2 2 2 4 2 3 2" xfId="11246"/>
    <cellStyle name="Input 12 2 2 2 4 2 4" xfId="11247"/>
    <cellStyle name="Input 12 2 2 2 4 2 5" xfId="11248"/>
    <cellStyle name="Input 12 2 2 2 4 2 6" xfId="11249"/>
    <cellStyle name="Input 12 2 2 2 4 3" xfId="11250"/>
    <cellStyle name="Input 12 2 2 2 4 3 2" xfId="11251"/>
    <cellStyle name="Input 12 2 2 2 4 4" xfId="11252"/>
    <cellStyle name="Input 12 2 2 2 4 4 2" xfId="11253"/>
    <cellStyle name="Input 12 2 2 2 4 5" xfId="11254"/>
    <cellStyle name="Input 12 2 2 2 4 6" xfId="11255"/>
    <cellStyle name="Input 12 2 2 2 4 7" xfId="11256"/>
    <cellStyle name="Input 12 2 2 2 5" xfId="11257"/>
    <cellStyle name="Input 12 2 2 2 5 2" xfId="11258"/>
    <cellStyle name="Input 12 2 2 2 5 2 2" xfId="11259"/>
    <cellStyle name="Input 12 2 2 2 5 3" xfId="11260"/>
    <cellStyle name="Input 12 2 2 2 5 3 2" xfId="11261"/>
    <cellStyle name="Input 12 2 2 2 5 4" xfId="11262"/>
    <cellStyle name="Input 12 2 2 2 5 5" xfId="11263"/>
    <cellStyle name="Input 12 2 2 2 5 6" xfId="11264"/>
    <cellStyle name="Input 12 2 2 2 6" xfId="11265"/>
    <cellStyle name="Input 12 2 2 2 6 2" xfId="11266"/>
    <cellStyle name="Input 12 2 2 2 7" xfId="11267"/>
    <cellStyle name="Input 12 2 2 2 7 2" xfId="11268"/>
    <cellStyle name="Input 12 2 2 2 8" xfId="11269"/>
    <cellStyle name="Input 12 2 2 2 9" xfId="11270"/>
    <cellStyle name="Input 12 2 2 3" xfId="11271"/>
    <cellStyle name="Input 12 2 2 3 2" xfId="11272"/>
    <cellStyle name="Input 12 2 2 3 2 2" xfId="11273"/>
    <cellStyle name="Input 12 2 2 3 2 2 2" xfId="11274"/>
    <cellStyle name="Input 12 2 2 3 2 2 2 2" xfId="11275"/>
    <cellStyle name="Input 12 2 2 3 2 2 3" xfId="11276"/>
    <cellStyle name="Input 12 2 2 3 2 2 3 2" xfId="11277"/>
    <cellStyle name="Input 12 2 2 3 2 2 4" xfId="11278"/>
    <cellStyle name="Input 12 2 2 3 2 2 5" xfId="11279"/>
    <cellStyle name="Input 12 2 2 3 2 2 6" xfId="11280"/>
    <cellStyle name="Input 12 2 2 3 2 3" xfId="11281"/>
    <cellStyle name="Input 12 2 2 3 2 3 2" xfId="11282"/>
    <cellStyle name="Input 12 2 2 3 2 4" xfId="11283"/>
    <cellStyle name="Input 12 2 2 3 2 4 2" xfId="11284"/>
    <cellStyle name="Input 12 2 2 3 2 5" xfId="11285"/>
    <cellStyle name="Input 12 2 2 3 2 6" xfId="11286"/>
    <cellStyle name="Input 12 2 2 3 2 7" xfId="11287"/>
    <cellStyle name="Input 12 2 2 3 3" xfId="11288"/>
    <cellStyle name="Input 12 2 2 3 3 2" xfId="11289"/>
    <cellStyle name="Input 12 2 2 3 3 2 2" xfId="11290"/>
    <cellStyle name="Input 12 2 2 3 3 3" xfId="11291"/>
    <cellStyle name="Input 12 2 2 3 3 3 2" xfId="11292"/>
    <cellStyle name="Input 12 2 2 3 3 4" xfId="11293"/>
    <cellStyle name="Input 12 2 2 3 3 5" xfId="11294"/>
    <cellStyle name="Input 12 2 2 3 3 6" xfId="11295"/>
    <cellStyle name="Input 12 2 2 3 4" xfId="11296"/>
    <cellStyle name="Input 12 2 2 3 4 2" xfId="11297"/>
    <cellStyle name="Input 12 2 2 3 5" xfId="11298"/>
    <cellStyle name="Input 12 2 2 3 5 2" xfId="11299"/>
    <cellStyle name="Input 12 2 2 3 6" xfId="11300"/>
    <cellStyle name="Input 12 2 2 3 7" xfId="11301"/>
    <cellStyle name="Input 12 2 2 3 8" xfId="11302"/>
    <cellStyle name="Input 12 2 2 4" xfId="11303"/>
    <cellStyle name="Input 12 2 2 4 2" xfId="11304"/>
    <cellStyle name="Input 12 2 2 4 2 2" xfId="11305"/>
    <cellStyle name="Input 12 2 2 4 2 2 2" xfId="11306"/>
    <cellStyle name="Input 12 2 2 4 2 2 2 2" xfId="11307"/>
    <cellStyle name="Input 12 2 2 4 2 2 3" xfId="11308"/>
    <cellStyle name="Input 12 2 2 4 2 2 3 2" xfId="11309"/>
    <cellStyle name="Input 12 2 2 4 2 2 4" xfId="11310"/>
    <cellStyle name="Input 12 2 2 4 2 2 5" xfId="11311"/>
    <cellStyle name="Input 12 2 2 4 2 2 6" xfId="11312"/>
    <cellStyle name="Input 12 2 2 4 2 3" xfId="11313"/>
    <cellStyle name="Input 12 2 2 4 2 3 2" xfId="11314"/>
    <cellStyle name="Input 12 2 2 4 2 4" xfId="11315"/>
    <cellStyle name="Input 12 2 2 4 2 4 2" xfId="11316"/>
    <cellStyle name="Input 12 2 2 4 2 5" xfId="11317"/>
    <cellStyle name="Input 12 2 2 4 2 6" xfId="11318"/>
    <cellStyle name="Input 12 2 2 4 2 7" xfId="11319"/>
    <cellStyle name="Input 12 2 2 4 3" xfId="11320"/>
    <cellStyle name="Input 12 2 2 4 3 2" xfId="11321"/>
    <cellStyle name="Input 12 2 2 4 3 2 2" xfId="11322"/>
    <cellStyle name="Input 12 2 2 4 3 3" xfId="11323"/>
    <cellStyle name="Input 12 2 2 4 3 3 2" xfId="11324"/>
    <cellStyle name="Input 12 2 2 4 3 4" xfId="11325"/>
    <cellStyle name="Input 12 2 2 4 3 5" xfId="11326"/>
    <cellStyle name="Input 12 2 2 4 3 6" xfId="11327"/>
    <cellStyle name="Input 12 2 2 4 4" xfId="11328"/>
    <cellStyle name="Input 12 2 2 4 4 2" xfId="11329"/>
    <cellStyle name="Input 12 2 2 4 5" xfId="11330"/>
    <cellStyle name="Input 12 2 2 4 5 2" xfId="11331"/>
    <cellStyle name="Input 12 2 2 4 6" xfId="11332"/>
    <cellStyle name="Input 12 2 2 4 7" xfId="11333"/>
    <cellStyle name="Input 12 2 2 4 8" xfId="11334"/>
    <cellStyle name="Input 12 2 2 5" xfId="11335"/>
    <cellStyle name="Input 12 2 2 5 2" xfId="11336"/>
    <cellStyle name="Input 12 2 2 5 2 2" xfId="11337"/>
    <cellStyle name="Input 12 2 2 5 2 2 2" xfId="11338"/>
    <cellStyle name="Input 12 2 2 5 2 3" xfId="11339"/>
    <cellStyle name="Input 12 2 2 5 2 3 2" xfId="11340"/>
    <cellStyle name="Input 12 2 2 5 2 4" xfId="11341"/>
    <cellStyle name="Input 12 2 2 5 2 5" xfId="11342"/>
    <cellStyle name="Input 12 2 2 5 2 6" xfId="11343"/>
    <cellStyle name="Input 12 2 2 5 3" xfId="11344"/>
    <cellStyle name="Input 12 2 2 5 3 2" xfId="11345"/>
    <cellStyle name="Input 12 2 2 5 4" xfId="11346"/>
    <cellStyle name="Input 12 2 2 5 4 2" xfId="11347"/>
    <cellStyle name="Input 12 2 2 5 5" xfId="11348"/>
    <cellStyle name="Input 12 2 2 5 6" xfId="11349"/>
    <cellStyle name="Input 12 2 2 5 7" xfId="11350"/>
    <cellStyle name="Input 12 2 2 6" xfId="11351"/>
    <cellStyle name="Input 12 2 2 6 2" xfId="11352"/>
    <cellStyle name="Input 12 2 2 6 2 2" xfId="11353"/>
    <cellStyle name="Input 12 2 2 6 3" xfId="11354"/>
    <cellStyle name="Input 12 2 2 6 3 2" xfId="11355"/>
    <cellStyle name="Input 12 2 2 6 4" xfId="11356"/>
    <cellStyle name="Input 12 2 2 6 5" xfId="11357"/>
    <cellStyle name="Input 12 2 2 6 6" xfId="11358"/>
    <cellStyle name="Input 12 2 2 7" xfId="11359"/>
    <cellStyle name="Input 12 2 2 7 2" xfId="11360"/>
    <cellStyle name="Input 12 2 2 8" xfId="11361"/>
    <cellStyle name="Input 12 2 2 8 2" xfId="11362"/>
    <cellStyle name="Input 12 2 2 9" xfId="11363"/>
    <cellStyle name="Input 12 2 3" xfId="11364"/>
    <cellStyle name="Input 12 2 3 10" xfId="11365"/>
    <cellStyle name="Input 12 2 3 2" xfId="11366"/>
    <cellStyle name="Input 12 2 3 2 10" xfId="11367"/>
    <cellStyle name="Input 12 2 3 2 2" xfId="11368"/>
    <cellStyle name="Input 12 2 3 2 2 2" xfId="11369"/>
    <cellStyle name="Input 12 2 3 2 2 2 2" xfId="11370"/>
    <cellStyle name="Input 12 2 3 2 2 2 2 2" xfId="11371"/>
    <cellStyle name="Input 12 2 3 2 2 2 2 2 2" xfId="11372"/>
    <cellStyle name="Input 12 2 3 2 2 2 2 3" xfId="11373"/>
    <cellStyle name="Input 12 2 3 2 2 2 2 3 2" xfId="11374"/>
    <cellStyle name="Input 12 2 3 2 2 2 2 4" xfId="11375"/>
    <cellStyle name="Input 12 2 3 2 2 2 2 5" xfId="11376"/>
    <cellStyle name="Input 12 2 3 2 2 2 2 6" xfId="11377"/>
    <cellStyle name="Input 12 2 3 2 2 2 3" xfId="11378"/>
    <cellStyle name="Input 12 2 3 2 2 2 3 2" xfId="11379"/>
    <cellStyle name="Input 12 2 3 2 2 2 4" xfId="11380"/>
    <cellStyle name="Input 12 2 3 2 2 2 4 2" xfId="11381"/>
    <cellStyle name="Input 12 2 3 2 2 2 5" xfId="11382"/>
    <cellStyle name="Input 12 2 3 2 2 2 6" xfId="11383"/>
    <cellStyle name="Input 12 2 3 2 2 2 7" xfId="11384"/>
    <cellStyle name="Input 12 2 3 2 2 3" xfId="11385"/>
    <cellStyle name="Input 12 2 3 2 2 3 2" xfId="11386"/>
    <cellStyle name="Input 12 2 3 2 2 3 2 2" xfId="11387"/>
    <cellStyle name="Input 12 2 3 2 2 3 3" xfId="11388"/>
    <cellStyle name="Input 12 2 3 2 2 3 3 2" xfId="11389"/>
    <cellStyle name="Input 12 2 3 2 2 3 4" xfId="11390"/>
    <cellStyle name="Input 12 2 3 2 2 3 5" xfId="11391"/>
    <cellStyle name="Input 12 2 3 2 2 3 6" xfId="11392"/>
    <cellStyle name="Input 12 2 3 2 2 4" xfId="11393"/>
    <cellStyle name="Input 12 2 3 2 2 4 2" xfId="11394"/>
    <cellStyle name="Input 12 2 3 2 2 5" xfId="11395"/>
    <cellStyle name="Input 12 2 3 2 2 5 2" xfId="11396"/>
    <cellStyle name="Input 12 2 3 2 2 6" xfId="11397"/>
    <cellStyle name="Input 12 2 3 2 2 7" xfId="11398"/>
    <cellStyle name="Input 12 2 3 2 2 8" xfId="11399"/>
    <cellStyle name="Input 12 2 3 2 3" xfId="11400"/>
    <cellStyle name="Input 12 2 3 2 3 2" xfId="11401"/>
    <cellStyle name="Input 12 2 3 2 3 2 2" xfId="11402"/>
    <cellStyle name="Input 12 2 3 2 3 2 2 2" xfId="11403"/>
    <cellStyle name="Input 12 2 3 2 3 2 2 2 2" xfId="11404"/>
    <cellStyle name="Input 12 2 3 2 3 2 2 3" xfId="11405"/>
    <cellStyle name="Input 12 2 3 2 3 2 2 3 2" xfId="11406"/>
    <cellStyle name="Input 12 2 3 2 3 2 2 4" xfId="11407"/>
    <cellStyle name="Input 12 2 3 2 3 2 2 5" xfId="11408"/>
    <cellStyle name="Input 12 2 3 2 3 2 2 6" xfId="11409"/>
    <cellStyle name="Input 12 2 3 2 3 2 3" xfId="11410"/>
    <cellStyle name="Input 12 2 3 2 3 2 3 2" xfId="11411"/>
    <cellStyle name="Input 12 2 3 2 3 2 4" xfId="11412"/>
    <cellStyle name="Input 12 2 3 2 3 2 4 2" xfId="11413"/>
    <cellStyle name="Input 12 2 3 2 3 2 5" xfId="11414"/>
    <cellStyle name="Input 12 2 3 2 3 2 6" xfId="11415"/>
    <cellStyle name="Input 12 2 3 2 3 2 7" xfId="11416"/>
    <cellStyle name="Input 12 2 3 2 3 3" xfId="11417"/>
    <cellStyle name="Input 12 2 3 2 3 3 2" xfId="11418"/>
    <cellStyle name="Input 12 2 3 2 3 3 2 2" xfId="11419"/>
    <cellStyle name="Input 12 2 3 2 3 3 3" xfId="11420"/>
    <cellStyle name="Input 12 2 3 2 3 3 3 2" xfId="11421"/>
    <cellStyle name="Input 12 2 3 2 3 3 4" xfId="11422"/>
    <cellStyle name="Input 12 2 3 2 3 3 5" xfId="11423"/>
    <cellStyle name="Input 12 2 3 2 3 3 6" xfId="11424"/>
    <cellStyle name="Input 12 2 3 2 3 4" xfId="11425"/>
    <cellStyle name="Input 12 2 3 2 3 4 2" xfId="11426"/>
    <cellStyle name="Input 12 2 3 2 3 5" xfId="11427"/>
    <cellStyle name="Input 12 2 3 2 3 5 2" xfId="11428"/>
    <cellStyle name="Input 12 2 3 2 3 6" xfId="11429"/>
    <cellStyle name="Input 12 2 3 2 3 7" xfId="11430"/>
    <cellStyle name="Input 12 2 3 2 3 8" xfId="11431"/>
    <cellStyle name="Input 12 2 3 2 4" xfId="11432"/>
    <cellStyle name="Input 12 2 3 2 4 2" xfId="11433"/>
    <cellStyle name="Input 12 2 3 2 4 2 2" xfId="11434"/>
    <cellStyle name="Input 12 2 3 2 4 2 2 2" xfId="11435"/>
    <cellStyle name="Input 12 2 3 2 4 2 3" xfId="11436"/>
    <cellStyle name="Input 12 2 3 2 4 2 3 2" xfId="11437"/>
    <cellStyle name="Input 12 2 3 2 4 2 4" xfId="11438"/>
    <cellStyle name="Input 12 2 3 2 4 2 5" xfId="11439"/>
    <cellStyle name="Input 12 2 3 2 4 2 6" xfId="11440"/>
    <cellStyle name="Input 12 2 3 2 4 3" xfId="11441"/>
    <cellStyle name="Input 12 2 3 2 4 3 2" xfId="11442"/>
    <cellStyle name="Input 12 2 3 2 4 4" xfId="11443"/>
    <cellStyle name="Input 12 2 3 2 4 4 2" xfId="11444"/>
    <cellStyle name="Input 12 2 3 2 4 5" xfId="11445"/>
    <cellStyle name="Input 12 2 3 2 4 6" xfId="11446"/>
    <cellStyle name="Input 12 2 3 2 4 7" xfId="11447"/>
    <cellStyle name="Input 12 2 3 2 5" xfId="11448"/>
    <cellStyle name="Input 12 2 3 2 5 2" xfId="11449"/>
    <cellStyle name="Input 12 2 3 2 5 2 2" xfId="11450"/>
    <cellStyle name="Input 12 2 3 2 5 3" xfId="11451"/>
    <cellStyle name="Input 12 2 3 2 5 3 2" xfId="11452"/>
    <cellStyle name="Input 12 2 3 2 5 4" xfId="11453"/>
    <cellStyle name="Input 12 2 3 2 5 5" xfId="11454"/>
    <cellStyle name="Input 12 2 3 2 5 6" xfId="11455"/>
    <cellStyle name="Input 12 2 3 2 6" xfId="11456"/>
    <cellStyle name="Input 12 2 3 2 6 2" xfId="11457"/>
    <cellStyle name="Input 12 2 3 2 7" xfId="11458"/>
    <cellStyle name="Input 12 2 3 2 7 2" xfId="11459"/>
    <cellStyle name="Input 12 2 3 2 8" xfId="11460"/>
    <cellStyle name="Input 12 2 3 2 9" xfId="11461"/>
    <cellStyle name="Input 12 2 3 3" xfId="11462"/>
    <cellStyle name="Input 12 2 3 3 2" xfId="11463"/>
    <cellStyle name="Input 12 2 3 3 2 2" xfId="11464"/>
    <cellStyle name="Input 12 2 3 3 2 2 2" xfId="11465"/>
    <cellStyle name="Input 12 2 3 3 2 2 2 2" xfId="11466"/>
    <cellStyle name="Input 12 2 3 3 2 2 3" xfId="11467"/>
    <cellStyle name="Input 12 2 3 3 2 2 3 2" xfId="11468"/>
    <cellStyle name="Input 12 2 3 3 2 2 4" xfId="11469"/>
    <cellStyle name="Input 12 2 3 3 2 2 5" xfId="11470"/>
    <cellStyle name="Input 12 2 3 3 2 2 6" xfId="11471"/>
    <cellStyle name="Input 12 2 3 3 2 3" xfId="11472"/>
    <cellStyle name="Input 12 2 3 3 2 3 2" xfId="11473"/>
    <cellStyle name="Input 12 2 3 3 2 4" xfId="11474"/>
    <cellStyle name="Input 12 2 3 3 2 4 2" xfId="11475"/>
    <cellStyle name="Input 12 2 3 3 2 5" xfId="11476"/>
    <cellStyle name="Input 12 2 3 3 2 6" xfId="11477"/>
    <cellStyle name="Input 12 2 3 3 2 7" xfId="11478"/>
    <cellStyle name="Input 12 2 3 3 3" xfId="11479"/>
    <cellStyle name="Input 12 2 3 3 3 2" xfId="11480"/>
    <cellStyle name="Input 12 2 3 3 3 2 2" xfId="11481"/>
    <cellStyle name="Input 12 2 3 3 3 3" xfId="11482"/>
    <cellStyle name="Input 12 2 3 3 3 3 2" xfId="11483"/>
    <cellStyle name="Input 12 2 3 3 3 4" xfId="11484"/>
    <cellStyle name="Input 12 2 3 3 3 5" xfId="11485"/>
    <cellStyle name="Input 12 2 3 3 3 6" xfId="11486"/>
    <cellStyle name="Input 12 2 3 3 4" xfId="11487"/>
    <cellStyle name="Input 12 2 3 3 4 2" xfId="11488"/>
    <cellStyle name="Input 12 2 3 3 5" xfId="11489"/>
    <cellStyle name="Input 12 2 3 3 5 2" xfId="11490"/>
    <cellStyle name="Input 12 2 3 3 6" xfId="11491"/>
    <cellStyle name="Input 12 2 3 3 7" xfId="11492"/>
    <cellStyle name="Input 12 2 3 3 8" xfId="11493"/>
    <cellStyle name="Input 12 2 3 4" xfId="11494"/>
    <cellStyle name="Input 12 2 3 4 2" xfId="11495"/>
    <cellStyle name="Input 12 2 3 4 2 2" xfId="11496"/>
    <cellStyle name="Input 12 2 3 4 2 2 2" xfId="11497"/>
    <cellStyle name="Input 12 2 3 4 2 3" xfId="11498"/>
    <cellStyle name="Input 12 2 3 4 2 3 2" xfId="11499"/>
    <cellStyle name="Input 12 2 3 4 2 4" xfId="11500"/>
    <cellStyle name="Input 12 2 3 4 2 5" xfId="11501"/>
    <cellStyle name="Input 12 2 3 4 2 6" xfId="11502"/>
    <cellStyle name="Input 12 2 3 4 3" xfId="11503"/>
    <cellStyle name="Input 12 2 3 4 3 2" xfId="11504"/>
    <cellStyle name="Input 12 2 3 4 4" xfId="11505"/>
    <cellStyle name="Input 12 2 3 4 4 2" xfId="11506"/>
    <cellStyle name="Input 12 2 3 4 5" xfId="11507"/>
    <cellStyle name="Input 12 2 3 4 6" xfId="11508"/>
    <cellStyle name="Input 12 2 3 4 7" xfId="11509"/>
    <cellStyle name="Input 12 2 3 5" xfId="11510"/>
    <cellStyle name="Input 12 2 3 5 2" xfId="11511"/>
    <cellStyle name="Input 12 2 3 5 2 2" xfId="11512"/>
    <cellStyle name="Input 12 2 3 5 3" xfId="11513"/>
    <cellStyle name="Input 12 2 3 5 3 2" xfId="11514"/>
    <cellStyle name="Input 12 2 3 5 4" xfId="11515"/>
    <cellStyle name="Input 12 2 3 5 5" xfId="11516"/>
    <cellStyle name="Input 12 2 3 5 6" xfId="11517"/>
    <cellStyle name="Input 12 2 3 6" xfId="11518"/>
    <cellStyle name="Input 12 2 3 6 2" xfId="11519"/>
    <cellStyle name="Input 12 2 3 7" xfId="11520"/>
    <cellStyle name="Input 12 2 3 7 2" xfId="11521"/>
    <cellStyle name="Input 12 2 3 8" xfId="11522"/>
    <cellStyle name="Input 12 2 3 9" xfId="11523"/>
    <cellStyle name="Input 12 2 4" xfId="11524"/>
    <cellStyle name="Input 12 2 4 10" xfId="11525"/>
    <cellStyle name="Input 12 2 4 2" xfId="11526"/>
    <cellStyle name="Input 12 2 4 2 2" xfId="11527"/>
    <cellStyle name="Input 12 2 4 2 2 2" xfId="11528"/>
    <cellStyle name="Input 12 2 4 2 2 2 2" xfId="11529"/>
    <cellStyle name="Input 12 2 4 2 2 2 2 2" xfId="11530"/>
    <cellStyle name="Input 12 2 4 2 2 2 3" xfId="11531"/>
    <cellStyle name="Input 12 2 4 2 2 2 3 2" xfId="11532"/>
    <cellStyle name="Input 12 2 4 2 2 2 4" xfId="11533"/>
    <cellStyle name="Input 12 2 4 2 2 2 5" xfId="11534"/>
    <cellStyle name="Input 12 2 4 2 2 2 6" xfId="11535"/>
    <cellStyle name="Input 12 2 4 2 2 3" xfId="11536"/>
    <cellStyle name="Input 12 2 4 2 2 3 2" xfId="11537"/>
    <cellStyle name="Input 12 2 4 2 2 4" xfId="11538"/>
    <cellStyle name="Input 12 2 4 2 2 4 2" xfId="11539"/>
    <cellStyle name="Input 12 2 4 2 2 5" xfId="11540"/>
    <cellStyle name="Input 12 2 4 2 2 6" xfId="11541"/>
    <cellStyle name="Input 12 2 4 2 2 7" xfId="11542"/>
    <cellStyle name="Input 12 2 4 2 3" xfId="11543"/>
    <cellStyle name="Input 12 2 4 2 3 2" xfId="11544"/>
    <cellStyle name="Input 12 2 4 2 3 2 2" xfId="11545"/>
    <cellStyle name="Input 12 2 4 2 3 3" xfId="11546"/>
    <cellStyle name="Input 12 2 4 2 3 3 2" xfId="11547"/>
    <cellStyle name="Input 12 2 4 2 3 4" xfId="11548"/>
    <cellStyle name="Input 12 2 4 2 3 5" xfId="11549"/>
    <cellStyle name="Input 12 2 4 2 3 6" xfId="11550"/>
    <cellStyle name="Input 12 2 4 2 4" xfId="11551"/>
    <cellStyle name="Input 12 2 4 2 4 2" xfId="11552"/>
    <cellStyle name="Input 12 2 4 2 5" xfId="11553"/>
    <cellStyle name="Input 12 2 4 2 5 2" xfId="11554"/>
    <cellStyle name="Input 12 2 4 2 6" xfId="11555"/>
    <cellStyle name="Input 12 2 4 2 7" xfId="11556"/>
    <cellStyle name="Input 12 2 4 2 8" xfId="11557"/>
    <cellStyle name="Input 12 2 4 3" xfId="11558"/>
    <cellStyle name="Input 12 2 4 3 2" xfId="11559"/>
    <cellStyle name="Input 12 2 4 3 2 2" xfId="11560"/>
    <cellStyle name="Input 12 2 4 3 2 2 2" xfId="11561"/>
    <cellStyle name="Input 12 2 4 3 2 2 2 2" xfId="11562"/>
    <cellStyle name="Input 12 2 4 3 2 2 3" xfId="11563"/>
    <cellStyle name="Input 12 2 4 3 2 2 3 2" xfId="11564"/>
    <cellStyle name="Input 12 2 4 3 2 2 4" xfId="11565"/>
    <cellStyle name="Input 12 2 4 3 2 2 5" xfId="11566"/>
    <cellStyle name="Input 12 2 4 3 2 2 6" xfId="11567"/>
    <cellStyle name="Input 12 2 4 3 2 3" xfId="11568"/>
    <cellStyle name="Input 12 2 4 3 2 3 2" xfId="11569"/>
    <cellStyle name="Input 12 2 4 3 2 4" xfId="11570"/>
    <cellStyle name="Input 12 2 4 3 2 4 2" xfId="11571"/>
    <cellStyle name="Input 12 2 4 3 2 5" xfId="11572"/>
    <cellStyle name="Input 12 2 4 3 2 6" xfId="11573"/>
    <cellStyle name="Input 12 2 4 3 2 7" xfId="11574"/>
    <cellStyle name="Input 12 2 4 3 3" xfId="11575"/>
    <cellStyle name="Input 12 2 4 3 3 2" xfId="11576"/>
    <cellStyle name="Input 12 2 4 3 3 2 2" xfId="11577"/>
    <cellStyle name="Input 12 2 4 3 3 3" xfId="11578"/>
    <cellStyle name="Input 12 2 4 3 3 3 2" xfId="11579"/>
    <cellStyle name="Input 12 2 4 3 3 4" xfId="11580"/>
    <cellStyle name="Input 12 2 4 3 3 5" xfId="11581"/>
    <cellStyle name="Input 12 2 4 3 3 6" xfId="11582"/>
    <cellStyle name="Input 12 2 4 3 4" xfId="11583"/>
    <cellStyle name="Input 12 2 4 3 4 2" xfId="11584"/>
    <cellStyle name="Input 12 2 4 3 5" xfId="11585"/>
    <cellStyle name="Input 12 2 4 3 5 2" xfId="11586"/>
    <cellStyle name="Input 12 2 4 3 6" xfId="11587"/>
    <cellStyle name="Input 12 2 4 3 7" xfId="11588"/>
    <cellStyle name="Input 12 2 4 3 8" xfId="11589"/>
    <cellStyle name="Input 12 2 4 4" xfId="11590"/>
    <cellStyle name="Input 12 2 4 4 2" xfId="11591"/>
    <cellStyle name="Input 12 2 4 4 2 2" xfId="11592"/>
    <cellStyle name="Input 12 2 4 4 2 2 2" xfId="11593"/>
    <cellStyle name="Input 12 2 4 4 2 3" xfId="11594"/>
    <cellStyle name="Input 12 2 4 4 2 3 2" xfId="11595"/>
    <cellStyle name="Input 12 2 4 4 2 4" xfId="11596"/>
    <cellStyle name="Input 12 2 4 4 2 5" xfId="11597"/>
    <cellStyle name="Input 12 2 4 4 2 6" xfId="11598"/>
    <cellStyle name="Input 12 2 4 4 3" xfId="11599"/>
    <cellStyle name="Input 12 2 4 4 3 2" xfId="11600"/>
    <cellStyle name="Input 12 2 4 4 4" xfId="11601"/>
    <cellStyle name="Input 12 2 4 4 4 2" xfId="11602"/>
    <cellStyle name="Input 12 2 4 4 5" xfId="11603"/>
    <cellStyle name="Input 12 2 4 4 6" xfId="11604"/>
    <cellStyle name="Input 12 2 4 4 7" xfId="11605"/>
    <cellStyle name="Input 12 2 4 5" xfId="11606"/>
    <cellStyle name="Input 12 2 4 5 2" xfId="11607"/>
    <cellStyle name="Input 12 2 4 5 2 2" xfId="11608"/>
    <cellStyle name="Input 12 2 4 5 3" xfId="11609"/>
    <cellStyle name="Input 12 2 4 5 3 2" xfId="11610"/>
    <cellStyle name="Input 12 2 4 5 4" xfId="11611"/>
    <cellStyle name="Input 12 2 4 5 5" xfId="11612"/>
    <cellStyle name="Input 12 2 4 5 6" xfId="11613"/>
    <cellStyle name="Input 12 2 4 6" xfId="11614"/>
    <cellStyle name="Input 12 2 4 6 2" xfId="11615"/>
    <cellStyle name="Input 12 2 4 7" xfId="11616"/>
    <cellStyle name="Input 12 2 4 7 2" xfId="11617"/>
    <cellStyle name="Input 12 2 4 8" xfId="11618"/>
    <cellStyle name="Input 12 2 4 9" xfId="11619"/>
    <cellStyle name="Input 12 2 5" xfId="11620"/>
    <cellStyle name="Input 12 2 5 2" xfId="11621"/>
    <cellStyle name="Input 12 2 5 2 2" xfId="11622"/>
    <cellStyle name="Input 12 2 5 2 2 2" xfId="11623"/>
    <cellStyle name="Input 12 2 5 2 2 2 2" xfId="11624"/>
    <cellStyle name="Input 12 2 5 2 2 3" xfId="11625"/>
    <cellStyle name="Input 12 2 5 2 2 3 2" xfId="11626"/>
    <cellStyle name="Input 12 2 5 2 2 4" xfId="11627"/>
    <cellStyle name="Input 12 2 5 2 2 5" xfId="11628"/>
    <cellStyle name="Input 12 2 5 2 2 6" xfId="11629"/>
    <cellStyle name="Input 12 2 5 2 3" xfId="11630"/>
    <cellStyle name="Input 12 2 5 2 3 2" xfId="11631"/>
    <cellStyle name="Input 12 2 5 2 4" xfId="11632"/>
    <cellStyle name="Input 12 2 5 2 4 2" xfId="11633"/>
    <cellStyle name="Input 12 2 5 2 5" xfId="11634"/>
    <cellStyle name="Input 12 2 5 2 6" xfId="11635"/>
    <cellStyle name="Input 12 2 5 2 7" xfId="11636"/>
    <cellStyle name="Input 12 2 5 3" xfId="11637"/>
    <cellStyle name="Input 12 2 5 3 2" xfId="11638"/>
    <cellStyle name="Input 12 2 5 3 2 2" xfId="11639"/>
    <cellStyle name="Input 12 2 5 3 3" xfId="11640"/>
    <cellStyle name="Input 12 2 5 3 3 2" xfId="11641"/>
    <cellStyle name="Input 12 2 5 3 4" xfId="11642"/>
    <cellStyle name="Input 12 2 5 3 5" xfId="11643"/>
    <cellStyle name="Input 12 2 5 3 6" xfId="11644"/>
    <cellStyle name="Input 12 2 5 4" xfId="11645"/>
    <cellStyle name="Input 12 2 5 4 2" xfId="11646"/>
    <cellStyle name="Input 12 2 5 5" xfId="11647"/>
    <cellStyle name="Input 12 2 5 5 2" xfId="11648"/>
    <cellStyle name="Input 12 2 5 6" xfId="11649"/>
    <cellStyle name="Input 12 2 5 7" xfId="11650"/>
    <cellStyle name="Input 12 2 5 8" xfId="11651"/>
    <cellStyle name="Input 12 2 6" xfId="11652"/>
    <cellStyle name="Input 12 2 6 2" xfId="11653"/>
    <cellStyle name="Input 12 2 6 2 2" xfId="11654"/>
    <cellStyle name="Input 12 2 6 2 2 2" xfId="11655"/>
    <cellStyle name="Input 12 2 6 2 3" xfId="11656"/>
    <cellStyle name="Input 12 2 6 2 3 2" xfId="11657"/>
    <cellStyle name="Input 12 2 6 2 4" xfId="11658"/>
    <cellStyle name="Input 12 2 6 2 5" xfId="11659"/>
    <cellStyle name="Input 12 2 6 2 6" xfId="11660"/>
    <cellStyle name="Input 12 2 6 3" xfId="11661"/>
    <cellStyle name="Input 12 2 6 3 2" xfId="11662"/>
    <cellStyle name="Input 12 2 6 4" xfId="11663"/>
    <cellStyle name="Input 12 2 6 4 2" xfId="11664"/>
    <cellStyle name="Input 12 2 6 5" xfId="11665"/>
    <cellStyle name="Input 12 2 6 6" xfId="11666"/>
    <cellStyle name="Input 12 2 6 7" xfId="11667"/>
    <cellStyle name="Input 12 2 7" xfId="11668"/>
    <cellStyle name="Input 12 2 7 2" xfId="11669"/>
    <cellStyle name="Input 12 2 7 2 2" xfId="11670"/>
    <cellStyle name="Input 12 2 7 3" xfId="11671"/>
    <cellStyle name="Input 12 2 7 3 2" xfId="11672"/>
    <cellStyle name="Input 12 2 7 4" xfId="11673"/>
    <cellStyle name="Input 12 2 7 5" xfId="11674"/>
    <cellStyle name="Input 12 2 7 6" xfId="11675"/>
    <cellStyle name="Input 12 2 8" xfId="11676"/>
    <cellStyle name="Input 12 2 8 2" xfId="11677"/>
    <cellStyle name="Input 12 2 9" xfId="11678"/>
    <cellStyle name="Input 12 2 9 2" xfId="11679"/>
    <cellStyle name="Input 12 3" xfId="11680"/>
    <cellStyle name="Input 12 3 10" xfId="11681"/>
    <cellStyle name="Input 12 3 11" xfId="11682"/>
    <cellStyle name="Input 12 3 2" xfId="11683"/>
    <cellStyle name="Input 12 3 2 10" xfId="11684"/>
    <cellStyle name="Input 12 3 2 2" xfId="11685"/>
    <cellStyle name="Input 12 3 2 2 10" xfId="11686"/>
    <cellStyle name="Input 12 3 2 2 2" xfId="11687"/>
    <cellStyle name="Input 12 3 2 2 2 2" xfId="11688"/>
    <cellStyle name="Input 12 3 2 2 2 2 2" xfId="11689"/>
    <cellStyle name="Input 12 3 2 2 2 2 2 2" xfId="11690"/>
    <cellStyle name="Input 12 3 2 2 2 2 2 2 2" xfId="11691"/>
    <cellStyle name="Input 12 3 2 2 2 2 2 3" xfId="11692"/>
    <cellStyle name="Input 12 3 2 2 2 2 2 3 2" xfId="11693"/>
    <cellStyle name="Input 12 3 2 2 2 2 2 4" xfId="11694"/>
    <cellStyle name="Input 12 3 2 2 2 2 2 5" xfId="11695"/>
    <cellStyle name="Input 12 3 2 2 2 2 2 6" xfId="11696"/>
    <cellStyle name="Input 12 3 2 2 2 2 3" xfId="11697"/>
    <cellStyle name="Input 12 3 2 2 2 2 3 2" xfId="11698"/>
    <cellStyle name="Input 12 3 2 2 2 2 4" xfId="11699"/>
    <cellStyle name="Input 12 3 2 2 2 2 4 2" xfId="11700"/>
    <cellStyle name="Input 12 3 2 2 2 2 5" xfId="11701"/>
    <cellStyle name="Input 12 3 2 2 2 2 6" xfId="11702"/>
    <cellStyle name="Input 12 3 2 2 2 2 7" xfId="11703"/>
    <cellStyle name="Input 12 3 2 2 2 3" xfId="11704"/>
    <cellStyle name="Input 12 3 2 2 2 3 2" xfId="11705"/>
    <cellStyle name="Input 12 3 2 2 2 3 2 2" xfId="11706"/>
    <cellStyle name="Input 12 3 2 2 2 3 3" xfId="11707"/>
    <cellStyle name="Input 12 3 2 2 2 3 3 2" xfId="11708"/>
    <cellStyle name="Input 12 3 2 2 2 3 4" xfId="11709"/>
    <cellStyle name="Input 12 3 2 2 2 3 5" xfId="11710"/>
    <cellStyle name="Input 12 3 2 2 2 3 6" xfId="11711"/>
    <cellStyle name="Input 12 3 2 2 2 4" xfId="11712"/>
    <cellStyle name="Input 12 3 2 2 2 4 2" xfId="11713"/>
    <cellStyle name="Input 12 3 2 2 2 5" xfId="11714"/>
    <cellStyle name="Input 12 3 2 2 2 5 2" xfId="11715"/>
    <cellStyle name="Input 12 3 2 2 2 6" xfId="11716"/>
    <cellStyle name="Input 12 3 2 2 2 7" xfId="11717"/>
    <cellStyle name="Input 12 3 2 2 2 8" xfId="11718"/>
    <cellStyle name="Input 12 3 2 2 3" xfId="11719"/>
    <cellStyle name="Input 12 3 2 2 3 2" xfId="11720"/>
    <cellStyle name="Input 12 3 2 2 3 2 2" xfId="11721"/>
    <cellStyle name="Input 12 3 2 2 3 2 2 2" xfId="11722"/>
    <cellStyle name="Input 12 3 2 2 3 2 2 2 2" xfId="11723"/>
    <cellStyle name="Input 12 3 2 2 3 2 2 3" xfId="11724"/>
    <cellStyle name="Input 12 3 2 2 3 2 2 3 2" xfId="11725"/>
    <cellStyle name="Input 12 3 2 2 3 2 2 4" xfId="11726"/>
    <cellStyle name="Input 12 3 2 2 3 2 2 5" xfId="11727"/>
    <cellStyle name="Input 12 3 2 2 3 2 2 6" xfId="11728"/>
    <cellStyle name="Input 12 3 2 2 3 2 3" xfId="11729"/>
    <cellStyle name="Input 12 3 2 2 3 2 3 2" xfId="11730"/>
    <cellStyle name="Input 12 3 2 2 3 2 4" xfId="11731"/>
    <cellStyle name="Input 12 3 2 2 3 2 4 2" xfId="11732"/>
    <cellStyle name="Input 12 3 2 2 3 2 5" xfId="11733"/>
    <cellStyle name="Input 12 3 2 2 3 2 6" xfId="11734"/>
    <cellStyle name="Input 12 3 2 2 3 2 7" xfId="11735"/>
    <cellStyle name="Input 12 3 2 2 3 3" xfId="11736"/>
    <cellStyle name="Input 12 3 2 2 3 3 2" xfId="11737"/>
    <cellStyle name="Input 12 3 2 2 3 3 2 2" xfId="11738"/>
    <cellStyle name="Input 12 3 2 2 3 3 3" xfId="11739"/>
    <cellStyle name="Input 12 3 2 2 3 3 3 2" xfId="11740"/>
    <cellStyle name="Input 12 3 2 2 3 3 4" xfId="11741"/>
    <cellStyle name="Input 12 3 2 2 3 3 5" xfId="11742"/>
    <cellStyle name="Input 12 3 2 2 3 3 6" xfId="11743"/>
    <cellStyle name="Input 12 3 2 2 3 4" xfId="11744"/>
    <cellStyle name="Input 12 3 2 2 3 4 2" xfId="11745"/>
    <cellStyle name="Input 12 3 2 2 3 5" xfId="11746"/>
    <cellStyle name="Input 12 3 2 2 3 5 2" xfId="11747"/>
    <cellStyle name="Input 12 3 2 2 3 6" xfId="11748"/>
    <cellStyle name="Input 12 3 2 2 3 7" xfId="11749"/>
    <cellStyle name="Input 12 3 2 2 3 8" xfId="11750"/>
    <cellStyle name="Input 12 3 2 2 4" xfId="11751"/>
    <cellStyle name="Input 12 3 2 2 4 2" xfId="11752"/>
    <cellStyle name="Input 12 3 2 2 4 2 2" xfId="11753"/>
    <cellStyle name="Input 12 3 2 2 4 2 2 2" xfId="11754"/>
    <cellStyle name="Input 12 3 2 2 4 2 3" xfId="11755"/>
    <cellStyle name="Input 12 3 2 2 4 2 3 2" xfId="11756"/>
    <cellStyle name="Input 12 3 2 2 4 2 4" xfId="11757"/>
    <cellStyle name="Input 12 3 2 2 4 2 5" xfId="11758"/>
    <cellStyle name="Input 12 3 2 2 4 2 6" xfId="11759"/>
    <cellStyle name="Input 12 3 2 2 4 3" xfId="11760"/>
    <cellStyle name="Input 12 3 2 2 4 3 2" xfId="11761"/>
    <cellStyle name="Input 12 3 2 2 4 4" xfId="11762"/>
    <cellStyle name="Input 12 3 2 2 4 4 2" xfId="11763"/>
    <cellStyle name="Input 12 3 2 2 4 5" xfId="11764"/>
    <cellStyle name="Input 12 3 2 2 4 6" xfId="11765"/>
    <cellStyle name="Input 12 3 2 2 4 7" xfId="11766"/>
    <cellStyle name="Input 12 3 2 2 5" xfId="11767"/>
    <cellStyle name="Input 12 3 2 2 5 2" xfId="11768"/>
    <cellStyle name="Input 12 3 2 2 5 2 2" xfId="11769"/>
    <cellStyle name="Input 12 3 2 2 5 3" xfId="11770"/>
    <cellStyle name="Input 12 3 2 2 5 3 2" xfId="11771"/>
    <cellStyle name="Input 12 3 2 2 5 4" xfId="11772"/>
    <cellStyle name="Input 12 3 2 2 5 5" xfId="11773"/>
    <cellStyle name="Input 12 3 2 2 5 6" xfId="11774"/>
    <cellStyle name="Input 12 3 2 2 6" xfId="11775"/>
    <cellStyle name="Input 12 3 2 2 6 2" xfId="11776"/>
    <cellStyle name="Input 12 3 2 2 7" xfId="11777"/>
    <cellStyle name="Input 12 3 2 2 7 2" xfId="11778"/>
    <cellStyle name="Input 12 3 2 2 8" xfId="11779"/>
    <cellStyle name="Input 12 3 2 2 9" xfId="11780"/>
    <cellStyle name="Input 12 3 2 3" xfId="11781"/>
    <cellStyle name="Input 12 3 2 3 2" xfId="11782"/>
    <cellStyle name="Input 12 3 2 3 2 2" xfId="11783"/>
    <cellStyle name="Input 12 3 2 3 2 2 2" xfId="11784"/>
    <cellStyle name="Input 12 3 2 3 2 2 2 2" xfId="11785"/>
    <cellStyle name="Input 12 3 2 3 2 2 3" xfId="11786"/>
    <cellStyle name="Input 12 3 2 3 2 2 3 2" xfId="11787"/>
    <cellStyle name="Input 12 3 2 3 2 2 4" xfId="11788"/>
    <cellStyle name="Input 12 3 2 3 2 2 5" xfId="11789"/>
    <cellStyle name="Input 12 3 2 3 2 2 6" xfId="11790"/>
    <cellStyle name="Input 12 3 2 3 2 3" xfId="11791"/>
    <cellStyle name="Input 12 3 2 3 2 3 2" xfId="11792"/>
    <cellStyle name="Input 12 3 2 3 2 4" xfId="11793"/>
    <cellStyle name="Input 12 3 2 3 2 4 2" xfId="11794"/>
    <cellStyle name="Input 12 3 2 3 2 5" xfId="11795"/>
    <cellStyle name="Input 12 3 2 3 2 6" xfId="11796"/>
    <cellStyle name="Input 12 3 2 3 2 7" xfId="11797"/>
    <cellStyle name="Input 12 3 2 3 3" xfId="11798"/>
    <cellStyle name="Input 12 3 2 3 3 2" xfId="11799"/>
    <cellStyle name="Input 12 3 2 3 3 2 2" xfId="11800"/>
    <cellStyle name="Input 12 3 2 3 3 3" xfId="11801"/>
    <cellStyle name="Input 12 3 2 3 3 3 2" xfId="11802"/>
    <cellStyle name="Input 12 3 2 3 3 4" xfId="11803"/>
    <cellStyle name="Input 12 3 2 3 3 5" xfId="11804"/>
    <cellStyle name="Input 12 3 2 3 3 6" xfId="11805"/>
    <cellStyle name="Input 12 3 2 3 4" xfId="11806"/>
    <cellStyle name="Input 12 3 2 3 4 2" xfId="11807"/>
    <cellStyle name="Input 12 3 2 3 5" xfId="11808"/>
    <cellStyle name="Input 12 3 2 3 5 2" xfId="11809"/>
    <cellStyle name="Input 12 3 2 3 6" xfId="11810"/>
    <cellStyle name="Input 12 3 2 3 7" xfId="11811"/>
    <cellStyle name="Input 12 3 2 3 8" xfId="11812"/>
    <cellStyle name="Input 12 3 2 4" xfId="11813"/>
    <cellStyle name="Input 12 3 2 4 2" xfId="11814"/>
    <cellStyle name="Input 12 3 2 4 2 2" xfId="11815"/>
    <cellStyle name="Input 12 3 2 4 2 2 2" xfId="11816"/>
    <cellStyle name="Input 12 3 2 4 2 3" xfId="11817"/>
    <cellStyle name="Input 12 3 2 4 2 3 2" xfId="11818"/>
    <cellStyle name="Input 12 3 2 4 2 4" xfId="11819"/>
    <cellStyle name="Input 12 3 2 4 2 5" xfId="11820"/>
    <cellStyle name="Input 12 3 2 4 2 6" xfId="11821"/>
    <cellStyle name="Input 12 3 2 4 3" xfId="11822"/>
    <cellStyle name="Input 12 3 2 4 3 2" xfId="11823"/>
    <cellStyle name="Input 12 3 2 4 4" xfId="11824"/>
    <cellStyle name="Input 12 3 2 4 4 2" xfId="11825"/>
    <cellStyle name="Input 12 3 2 4 5" xfId="11826"/>
    <cellStyle name="Input 12 3 2 4 6" xfId="11827"/>
    <cellStyle name="Input 12 3 2 4 7" xfId="11828"/>
    <cellStyle name="Input 12 3 2 5" xfId="11829"/>
    <cellStyle name="Input 12 3 2 5 2" xfId="11830"/>
    <cellStyle name="Input 12 3 2 5 2 2" xfId="11831"/>
    <cellStyle name="Input 12 3 2 5 3" xfId="11832"/>
    <cellStyle name="Input 12 3 2 5 3 2" xfId="11833"/>
    <cellStyle name="Input 12 3 2 5 4" xfId="11834"/>
    <cellStyle name="Input 12 3 2 5 5" xfId="11835"/>
    <cellStyle name="Input 12 3 2 5 6" xfId="11836"/>
    <cellStyle name="Input 12 3 2 6" xfId="11837"/>
    <cellStyle name="Input 12 3 2 6 2" xfId="11838"/>
    <cellStyle name="Input 12 3 2 7" xfId="11839"/>
    <cellStyle name="Input 12 3 2 7 2" xfId="11840"/>
    <cellStyle name="Input 12 3 2 8" xfId="11841"/>
    <cellStyle name="Input 12 3 2 9" xfId="11842"/>
    <cellStyle name="Input 12 3 3" xfId="11843"/>
    <cellStyle name="Input 12 3 3 10" xfId="11844"/>
    <cellStyle name="Input 12 3 3 2" xfId="11845"/>
    <cellStyle name="Input 12 3 3 2 2" xfId="11846"/>
    <cellStyle name="Input 12 3 3 2 2 2" xfId="11847"/>
    <cellStyle name="Input 12 3 3 2 2 2 2" xfId="11848"/>
    <cellStyle name="Input 12 3 3 2 2 2 2 2" xfId="11849"/>
    <cellStyle name="Input 12 3 3 2 2 2 3" xfId="11850"/>
    <cellStyle name="Input 12 3 3 2 2 2 3 2" xfId="11851"/>
    <cellStyle name="Input 12 3 3 2 2 2 4" xfId="11852"/>
    <cellStyle name="Input 12 3 3 2 2 2 5" xfId="11853"/>
    <cellStyle name="Input 12 3 3 2 2 2 6" xfId="11854"/>
    <cellStyle name="Input 12 3 3 2 2 3" xfId="11855"/>
    <cellStyle name="Input 12 3 3 2 2 3 2" xfId="11856"/>
    <cellStyle name="Input 12 3 3 2 2 4" xfId="11857"/>
    <cellStyle name="Input 12 3 3 2 2 4 2" xfId="11858"/>
    <cellStyle name="Input 12 3 3 2 2 5" xfId="11859"/>
    <cellStyle name="Input 12 3 3 2 2 6" xfId="11860"/>
    <cellStyle name="Input 12 3 3 2 2 7" xfId="11861"/>
    <cellStyle name="Input 12 3 3 2 3" xfId="11862"/>
    <cellStyle name="Input 12 3 3 2 3 2" xfId="11863"/>
    <cellStyle name="Input 12 3 3 2 3 2 2" xfId="11864"/>
    <cellStyle name="Input 12 3 3 2 3 3" xfId="11865"/>
    <cellStyle name="Input 12 3 3 2 3 3 2" xfId="11866"/>
    <cellStyle name="Input 12 3 3 2 3 4" xfId="11867"/>
    <cellStyle name="Input 12 3 3 2 3 5" xfId="11868"/>
    <cellStyle name="Input 12 3 3 2 3 6" xfId="11869"/>
    <cellStyle name="Input 12 3 3 2 4" xfId="11870"/>
    <cellStyle name="Input 12 3 3 2 4 2" xfId="11871"/>
    <cellStyle name="Input 12 3 3 2 5" xfId="11872"/>
    <cellStyle name="Input 12 3 3 2 5 2" xfId="11873"/>
    <cellStyle name="Input 12 3 3 2 6" xfId="11874"/>
    <cellStyle name="Input 12 3 3 2 7" xfId="11875"/>
    <cellStyle name="Input 12 3 3 2 8" xfId="11876"/>
    <cellStyle name="Input 12 3 3 3" xfId="11877"/>
    <cellStyle name="Input 12 3 3 3 2" xfId="11878"/>
    <cellStyle name="Input 12 3 3 3 2 2" xfId="11879"/>
    <cellStyle name="Input 12 3 3 3 2 2 2" xfId="11880"/>
    <cellStyle name="Input 12 3 3 3 2 2 2 2" xfId="11881"/>
    <cellStyle name="Input 12 3 3 3 2 2 3" xfId="11882"/>
    <cellStyle name="Input 12 3 3 3 2 2 3 2" xfId="11883"/>
    <cellStyle name="Input 12 3 3 3 2 2 4" xfId="11884"/>
    <cellStyle name="Input 12 3 3 3 2 2 5" xfId="11885"/>
    <cellStyle name="Input 12 3 3 3 2 2 6" xfId="11886"/>
    <cellStyle name="Input 12 3 3 3 2 3" xfId="11887"/>
    <cellStyle name="Input 12 3 3 3 2 3 2" xfId="11888"/>
    <cellStyle name="Input 12 3 3 3 2 4" xfId="11889"/>
    <cellStyle name="Input 12 3 3 3 2 4 2" xfId="11890"/>
    <cellStyle name="Input 12 3 3 3 2 5" xfId="11891"/>
    <cellStyle name="Input 12 3 3 3 2 6" xfId="11892"/>
    <cellStyle name="Input 12 3 3 3 2 7" xfId="11893"/>
    <cellStyle name="Input 12 3 3 3 3" xfId="11894"/>
    <cellStyle name="Input 12 3 3 3 3 2" xfId="11895"/>
    <cellStyle name="Input 12 3 3 3 3 2 2" xfId="11896"/>
    <cellStyle name="Input 12 3 3 3 3 3" xfId="11897"/>
    <cellStyle name="Input 12 3 3 3 3 3 2" xfId="11898"/>
    <cellStyle name="Input 12 3 3 3 3 4" xfId="11899"/>
    <cellStyle name="Input 12 3 3 3 3 5" xfId="11900"/>
    <cellStyle name="Input 12 3 3 3 3 6" xfId="11901"/>
    <cellStyle name="Input 12 3 3 3 4" xfId="11902"/>
    <cellStyle name="Input 12 3 3 3 4 2" xfId="11903"/>
    <cellStyle name="Input 12 3 3 3 5" xfId="11904"/>
    <cellStyle name="Input 12 3 3 3 5 2" xfId="11905"/>
    <cellStyle name="Input 12 3 3 3 6" xfId="11906"/>
    <cellStyle name="Input 12 3 3 3 7" xfId="11907"/>
    <cellStyle name="Input 12 3 3 3 8" xfId="11908"/>
    <cellStyle name="Input 12 3 3 4" xfId="11909"/>
    <cellStyle name="Input 12 3 3 4 2" xfId="11910"/>
    <cellStyle name="Input 12 3 3 4 2 2" xfId="11911"/>
    <cellStyle name="Input 12 3 3 4 2 2 2" xfId="11912"/>
    <cellStyle name="Input 12 3 3 4 2 3" xfId="11913"/>
    <cellStyle name="Input 12 3 3 4 2 3 2" xfId="11914"/>
    <cellStyle name="Input 12 3 3 4 2 4" xfId="11915"/>
    <cellStyle name="Input 12 3 3 4 2 5" xfId="11916"/>
    <cellStyle name="Input 12 3 3 4 2 6" xfId="11917"/>
    <cellStyle name="Input 12 3 3 4 3" xfId="11918"/>
    <cellStyle name="Input 12 3 3 4 3 2" xfId="11919"/>
    <cellStyle name="Input 12 3 3 4 4" xfId="11920"/>
    <cellStyle name="Input 12 3 3 4 4 2" xfId="11921"/>
    <cellStyle name="Input 12 3 3 4 5" xfId="11922"/>
    <cellStyle name="Input 12 3 3 4 6" xfId="11923"/>
    <cellStyle name="Input 12 3 3 4 7" xfId="11924"/>
    <cellStyle name="Input 12 3 3 5" xfId="11925"/>
    <cellStyle name="Input 12 3 3 5 2" xfId="11926"/>
    <cellStyle name="Input 12 3 3 5 2 2" xfId="11927"/>
    <cellStyle name="Input 12 3 3 5 3" xfId="11928"/>
    <cellStyle name="Input 12 3 3 5 3 2" xfId="11929"/>
    <cellStyle name="Input 12 3 3 5 4" xfId="11930"/>
    <cellStyle name="Input 12 3 3 5 5" xfId="11931"/>
    <cellStyle name="Input 12 3 3 5 6" xfId="11932"/>
    <cellStyle name="Input 12 3 3 6" xfId="11933"/>
    <cellStyle name="Input 12 3 3 6 2" xfId="11934"/>
    <cellStyle name="Input 12 3 3 7" xfId="11935"/>
    <cellStyle name="Input 12 3 3 7 2" xfId="11936"/>
    <cellStyle name="Input 12 3 3 8" xfId="11937"/>
    <cellStyle name="Input 12 3 3 9" xfId="11938"/>
    <cellStyle name="Input 12 3 4" xfId="11939"/>
    <cellStyle name="Input 12 3 4 2" xfId="11940"/>
    <cellStyle name="Input 12 3 4 2 2" xfId="11941"/>
    <cellStyle name="Input 12 3 4 2 2 2" xfId="11942"/>
    <cellStyle name="Input 12 3 4 2 2 2 2" xfId="11943"/>
    <cellStyle name="Input 12 3 4 2 2 3" xfId="11944"/>
    <cellStyle name="Input 12 3 4 2 2 3 2" xfId="11945"/>
    <cellStyle name="Input 12 3 4 2 2 4" xfId="11946"/>
    <cellStyle name="Input 12 3 4 2 2 5" xfId="11947"/>
    <cellStyle name="Input 12 3 4 2 2 6" xfId="11948"/>
    <cellStyle name="Input 12 3 4 2 3" xfId="11949"/>
    <cellStyle name="Input 12 3 4 2 3 2" xfId="11950"/>
    <cellStyle name="Input 12 3 4 2 4" xfId="11951"/>
    <cellStyle name="Input 12 3 4 2 4 2" xfId="11952"/>
    <cellStyle name="Input 12 3 4 2 5" xfId="11953"/>
    <cellStyle name="Input 12 3 4 2 6" xfId="11954"/>
    <cellStyle name="Input 12 3 4 2 7" xfId="11955"/>
    <cellStyle name="Input 12 3 4 3" xfId="11956"/>
    <cellStyle name="Input 12 3 4 3 2" xfId="11957"/>
    <cellStyle name="Input 12 3 4 3 2 2" xfId="11958"/>
    <cellStyle name="Input 12 3 4 3 3" xfId="11959"/>
    <cellStyle name="Input 12 3 4 3 3 2" xfId="11960"/>
    <cellStyle name="Input 12 3 4 3 4" xfId="11961"/>
    <cellStyle name="Input 12 3 4 3 5" xfId="11962"/>
    <cellStyle name="Input 12 3 4 3 6" xfId="11963"/>
    <cellStyle name="Input 12 3 4 4" xfId="11964"/>
    <cellStyle name="Input 12 3 4 4 2" xfId="11965"/>
    <cellStyle name="Input 12 3 4 5" xfId="11966"/>
    <cellStyle name="Input 12 3 4 5 2" xfId="11967"/>
    <cellStyle name="Input 12 3 4 6" xfId="11968"/>
    <cellStyle name="Input 12 3 4 7" xfId="11969"/>
    <cellStyle name="Input 12 3 4 8" xfId="11970"/>
    <cellStyle name="Input 12 3 5" xfId="11971"/>
    <cellStyle name="Input 12 3 5 2" xfId="11972"/>
    <cellStyle name="Input 12 3 5 2 2" xfId="11973"/>
    <cellStyle name="Input 12 3 5 2 2 2" xfId="11974"/>
    <cellStyle name="Input 12 3 5 2 3" xfId="11975"/>
    <cellStyle name="Input 12 3 5 2 3 2" xfId="11976"/>
    <cellStyle name="Input 12 3 5 2 4" xfId="11977"/>
    <cellStyle name="Input 12 3 5 2 5" xfId="11978"/>
    <cellStyle name="Input 12 3 5 2 6" xfId="11979"/>
    <cellStyle name="Input 12 3 5 3" xfId="11980"/>
    <cellStyle name="Input 12 3 5 3 2" xfId="11981"/>
    <cellStyle name="Input 12 3 5 4" xfId="11982"/>
    <cellStyle name="Input 12 3 5 4 2" xfId="11983"/>
    <cellStyle name="Input 12 3 5 5" xfId="11984"/>
    <cellStyle name="Input 12 3 5 6" xfId="11985"/>
    <cellStyle name="Input 12 3 5 7" xfId="11986"/>
    <cellStyle name="Input 12 3 6" xfId="11987"/>
    <cellStyle name="Input 12 3 6 2" xfId="11988"/>
    <cellStyle name="Input 12 3 6 2 2" xfId="11989"/>
    <cellStyle name="Input 12 3 6 3" xfId="11990"/>
    <cellStyle name="Input 12 3 6 3 2" xfId="11991"/>
    <cellStyle name="Input 12 3 6 4" xfId="11992"/>
    <cellStyle name="Input 12 3 6 5" xfId="11993"/>
    <cellStyle name="Input 12 3 6 6" xfId="11994"/>
    <cellStyle name="Input 12 3 7" xfId="11995"/>
    <cellStyle name="Input 12 3 7 2" xfId="11996"/>
    <cellStyle name="Input 12 3 8" xfId="11997"/>
    <cellStyle name="Input 12 3 8 2" xfId="11998"/>
    <cellStyle name="Input 12 3 9" xfId="11999"/>
    <cellStyle name="Input 12 4" xfId="12000"/>
    <cellStyle name="Input 12 4 10" xfId="12001"/>
    <cellStyle name="Input 12 4 11" xfId="12002"/>
    <cellStyle name="Input 12 4 2" xfId="12003"/>
    <cellStyle name="Input 12 4 2 10" xfId="12004"/>
    <cellStyle name="Input 12 4 2 2" xfId="12005"/>
    <cellStyle name="Input 12 4 2 2 2" xfId="12006"/>
    <cellStyle name="Input 12 4 2 2 2 2" xfId="12007"/>
    <cellStyle name="Input 12 4 2 2 2 2 2" xfId="12008"/>
    <cellStyle name="Input 12 4 2 2 2 2 2 2" xfId="12009"/>
    <cellStyle name="Input 12 4 2 2 2 2 3" xfId="12010"/>
    <cellStyle name="Input 12 4 2 2 2 2 3 2" xfId="12011"/>
    <cellStyle name="Input 12 4 2 2 2 2 4" xfId="12012"/>
    <cellStyle name="Input 12 4 2 2 2 2 5" xfId="12013"/>
    <cellStyle name="Input 12 4 2 2 2 2 6" xfId="12014"/>
    <cellStyle name="Input 12 4 2 2 2 3" xfId="12015"/>
    <cellStyle name="Input 12 4 2 2 2 3 2" xfId="12016"/>
    <cellStyle name="Input 12 4 2 2 2 4" xfId="12017"/>
    <cellStyle name="Input 12 4 2 2 2 4 2" xfId="12018"/>
    <cellStyle name="Input 12 4 2 2 2 5" xfId="12019"/>
    <cellStyle name="Input 12 4 2 2 2 6" xfId="12020"/>
    <cellStyle name="Input 12 4 2 2 2 7" xfId="12021"/>
    <cellStyle name="Input 12 4 2 2 3" xfId="12022"/>
    <cellStyle name="Input 12 4 2 2 3 2" xfId="12023"/>
    <cellStyle name="Input 12 4 2 2 3 2 2" xfId="12024"/>
    <cellStyle name="Input 12 4 2 2 3 3" xfId="12025"/>
    <cellStyle name="Input 12 4 2 2 3 3 2" xfId="12026"/>
    <cellStyle name="Input 12 4 2 2 3 4" xfId="12027"/>
    <cellStyle name="Input 12 4 2 2 3 5" xfId="12028"/>
    <cellStyle name="Input 12 4 2 2 3 6" xfId="12029"/>
    <cellStyle name="Input 12 4 2 2 4" xfId="12030"/>
    <cellStyle name="Input 12 4 2 2 4 2" xfId="12031"/>
    <cellStyle name="Input 12 4 2 2 5" xfId="12032"/>
    <cellStyle name="Input 12 4 2 2 5 2" xfId="12033"/>
    <cellStyle name="Input 12 4 2 2 6" xfId="12034"/>
    <cellStyle name="Input 12 4 2 2 7" xfId="12035"/>
    <cellStyle name="Input 12 4 2 2 8" xfId="12036"/>
    <cellStyle name="Input 12 4 2 3" xfId="12037"/>
    <cellStyle name="Input 12 4 2 3 2" xfId="12038"/>
    <cellStyle name="Input 12 4 2 3 2 2" xfId="12039"/>
    <cellStyle name="Input 12 4 2 3 2 2 2" xfId="12040"/>
    <cellStyle name="Input 12 4 2 3 2 2 2 2" xfId="12041"/>
    <cellStyle name="Input 12 4 2 3 2 2 3" xfId="12042"/>
    <cellStyle name="Input 12 4 2 3 2 2 3 2" xfId="12043"/>
    <cellStyle name="Input 12 4 2 3 2 2 4" xfId="12044"/>
    <cellStyle name="Input 12 4 2 3 2 2 5" xfId="12045"/>
    <cellStyle name="Input 12 4 2 3 2 2 6" xfId="12046"/>
    <cellStyle name="Input 12 4 2 3 2 3" xfId="12047"/>
    <cellStyle name="Input 12 4 2 3 2 3 2" xfId="12048"/>
    <cellStyle name="Input 12 4 2 3 2 4" xfId="12049"/>
    <cellStyle name="Input 12 4 2 3 2 4 2" xfId="12050"/>
    <cellStyle name="Input 12 4 2 3 2 5" xfId="12051"/>
    <cellStyle name="Input 12 4 2 3 2 6" xfId="12052"/>
    <cellStyle name="Input 12 4 2 3 2 7" xfId="12053"/>
    <cellStyle name="Input 12 4 2 3 3" xfId="12054"/>
    <cellStyle name="Input 12 4 2 3 3 2" xfId="12055"/>
    <cellStyle name="Input 12 4 2 3 3 2 2" xfId="12056"/>
    <cellStyle name="Input 12 4 2 3 3 3" xfId="12057"/>
    <cellStyle name="Input 12 4 2 3 3 3 2" xfId="12058"/>
    <cellStyle name="Input 12 4 2 3 3 4" xfId="12059"/>
    <cellStyle name="Input 12 4 2 3 3 5" xfId="12060"/>
    <cellStyle name="Input 12 4 2 3 3 6" xfId="12061"/>
    <cellStyle name="Input 12 4 2 3 4" xfId="12062"/>
    <cellStyle name="Input 12 4 2 3 4 2" xfId="12063"/>
    <cellStyle name="Input 12 4 2 3 5" xfId="12064"/>
    <cellStyle name="Input 12 4 2 3 5 2" xfId="12065"/>
    <cellStyle name="Input 12 4 2 3 6" xfId="12066"/>
    <cellStyle name="Input 12 4 2 3 7" xfId="12067"/>
    <cellStyle name="Input 12 4 2 3 8" xfId="12068"/>
    <cellStyle name="Input 12 4 2 4" xfId="12069"/>
    <cellStyle name="Input 12 4 2 4 2" xfId="12070"/>
    <cellStyle name="Input 12 4 2 4 2 2" xfId="12071"/>
    <cellStyle name="Input 12 4 2 4 2 2 2" xfId="12072"/>
    <cellStyle name="Input 12 4 2 4 2 3" xfId="12073"/>
    <cellStyle name="Input 12 4 2 4 2 3 2" xfId="12074"/>
    <cellStyle name="Input 12 4 2 4 2 4" xfId="12075"/>
    <cellStyle name="Input 12 4 2 4 2 5" xfId="12076"/>
    <cellStyle name="Input 12 4 2 4 2 6" xfId="12077"/>
    <cellStyle name="Input 12 4 2 4 3" xfId="12078"/>
    <cellStyle name="Input 12 4 2 4 3 2" xfId="12079"/>
    <cellStyle name="Input 12 4 2 4 4" xfId="12080"/>
    <cellStyle name="Input 12 4 2 4 4 2" xfId="12081"/>
    <cellStyle name="Input 12 4 2 4 5" xfId="12082"/>
    <cellStyle name="Input 12 4 2 4 6" xfId="12083"/>
    <cellStyle name="Input 12 4 2 4 7" xfId="12084"/>
    <cellStyle name="Input 12 4 2 5" xfId="12085"/>
    <cellStyle name="Input 12 4 2 5 2" xfId="12086"/>
    <cellStyle name="Input 12 4 2 5 2 2" xfId="12087"/>
    <cellStyle name="Input 12 4 2 5 3" xfId="12088"/>
    <cellStyle name="Input 12 4 2 5 3 2" xfId="12089"/>
    <cellStyle name="Input 12 4 2 5 4" xfId="12090"/>
    <cellStyle name="Input 12 4 2 5 5" xfId="12091"/>
    <cellStyle name="Input 12 4 2 5 6" xfId="12092"/>
    <cellStyle name="Input 12 4 2 6" xfId="12093"/>
    <cellStyle name="Input 12 4 2 6 2" xfId="12094"/>
    <cellStyle name="Input 12 4 2 7" xfId="12095"/>
    <cellStyle name="Input 12 4 2 7 2" xfId="12096"/>
    <cellStyle name="Input 12 4 2 8" xfId="12097"/>
    <cellStyle name="Input 12 4 2 9" xfId="12098"/>
    <cellStyle name="Input 12 4 3" xfId="12099"/>
    <cellStyle name="Input 12 4 3 2" xfId="12100"/>
    <cellStyle name="Input 12 4 3 2 2" xfId="12101"/>
    <cellStyle name="Input 12 4 3 2 2 2" xfId="12102"/>
    <cellStyle name="Input 12 4 3 2 2 2 2" xfId="12103"/>
    <cellStyle name="Input 12 4 3 2 2 3" xfId="12104"/>
    <cellStyle name="Input 12 4 3 2 2 3 2" xfId="12105"/>
    <cellStyle name="Input 12 4 3 2 2 4" xfId="12106"/>
    <cellStyle name="Input 12 4 3 2 2 5" xfId="12107"/>
    <cellStyle name="Input 12 4 3 2 2 6" xfId="12108"/>
    <cellStyle name="Input 12 4 3 2 3" xfId="12109"/>
    <cellStyle name="Input 12 4 3 2 3 2" xfId="12110"/>
    <cellStyle name="Input 12 4 3 2 4" xfId="12111"/>
    <cellStyle name="Input 12 4 3 2 4 2" xfId="12112"/>
    <cellStyle name="Input 12 4 3 2 5" xfId="12113"/>
    <cellStyle name="Input 12 4 3 2 6" xfId="12114"/>
    <cellStyle name="Input 12 4 3 2 7" xfId="12115"/>
    <cellStyle name="Input 12 4 3 3" xfId="12116"/>
    <cellStyle name="Input 12 4 3 3 2" xfId="12117"/>
    <cellStyle name="Input 12 4 3 3 2 2" xfId="12118"/>
    <cellStyle name="Input 12 4 3 3 3" xfId="12119"/>
    <cellStyle name="Input 12 4 3 3 3 2" xfId="12120"/>
    <cellStyle name="Input 12 4 3 3 4" xfId="12121"/>
    <cellStyle name="Input 12 4 3 3 5" xfId="12122"/>
    <cellStyle name="Input 12 4 3 3 6" xfId="12123"/>
    <cellStyle name="Input 12 4 3 4" xfId="12124"/>
    <cellStyle name="Input 12 4 3 4 2" xfId="12125"/>
    <cellStyle name="Input 12 4 3 5" xfId="12126"/>
    <cellStyle name="Input 12 4 3 5 2" xfId="12127"/>
    <cellStyle name="Input 12 4 3 6" xfId="12128"/>
    <cellStyle name="Input 12 4 3 7" xfId="12129"/>
    <cellStyle name="Input 12 4 3 8" xfId="12130"/>
    <cellStyle name="Input 12 4 4" xfId="12131"/>
    <cellStyle name="Input 12 4 4 2" xfId="12132"/>
    <cellStyle name="Input 12 4 4 2 2" xfId="12133"/>
    <cellStyle name="Input 12 4 4 2 2 2" xfId="12134"/>
    <cellStyle name="Input 12 4 4 2 2 2 2" xfId="12135"/>
    <cellStyle name="Input 12 4 4 2 2 3" xfId="12136"/>
    <cellStyle name="Input 12 4 4 2 2 3 2" xfId="12137"/>
    <cellStyle name="Input 12 4 4 2 2 4" xfId="12138"/>
    <cellStyle name="Input 12 4 4 2 2 5" xfId="12139"/>
    <cellStyle name="Input 12 4 4 2 2 6" xfId="12140"/>
    <cellStyle name="Input 12 4 4 2 3" xfId="12141"/>
    <cellStyle name="Input 12 4 4 2 3 2" xfId="12142"/>
    <cellStyle name="Input 12 4 4 2 4" xfId="12143"/>
    <cellStyle name="Input 12 4 4 2 4 2" xfId="12144"/>
    <cellStyle name="Input 12 4 4 2 5" xfId="12145"/>
    <cellStyle name="Input 12 4 4 2 6" xfId="12146"/>
    <cellStyle name="Input 12 4 4 2 7" xfId="12147"/>
    <cellStyle name="Input 12 4 4 3" xfId="12148"/>
    <cellStyle name="Input 12 4 4 3 2" xfId="12149"/>
    <cellStyle name="Input 12 4 4 3 2 2" xfId="12150"/>
    <cellStyle name="Input 12 4 4 3 3" xfId="12151"/>
    <cellStyle name="Input 12 4 4 3 3 2" xfId="12152"/>
    <cellStyle name="Input 12 4 4 3 4" xfId="12153"/>
    <cellStyle name="Input 12 4 4 3 5" xfId="12154"/>
    <cellStyle name="Input 12 4 4 3 6" xfId="12155"/>
    <cellStyle name="Input 12 4 4 4" xfId="12156"/>
    <cellStyle name="Input 12 4 4 4 2" xfId="12157"/>
    <cellStyle name="Input 12 4 4 5" xfId="12158"/>
    <cellStyle name="Input 12 4 4 5 2" xfId="12159"/>
    <cellStyle name="Input 12 4 4 6" xfId="12160"/>
    <cellStyle name="Input 12 4 4 7" xfId="12161"/>
    <cellStyle name="Input 12 4 4 8" xfId="12162"/>
    <cellStyle name="Input 12 4 5" xfId="12163"/>
    <cellStyle name="Input 12 4 5 2" xfId="12164"/>
    <cellStyle name="Input 12 4 5 2 2" xfId="12165"/>
    <cellStyle name="Input 12 4 5 2 2 2" xfId="12166"/>
    <cellStyle name="Input 12 4 5 2 3" xfId="12167"/>
    <cellStyle name="Input 12 4 5 2 3 2" xfId="12168"/>
    <cellStyle name="Input 12 4 5 2 4" xfId="12169"/>
    <cellStyle name="Input 12 4 5 2 5" xfId="12170"/>
    <cellStyle name="Input 12 4 5 2 6" xfId="12171"/>
    <cellStyle name="Input 12 4 5 3" xfId="12172"/>
    <cellStyle name="Input 12 4 5 3 2" xfId="12173"/>
    <cellStyle name="Input 12 4 5 4" xfId="12174"/>
    <cellStyle name="Input 12 4 5 4 2" xfId="12175"/>
    <cellStyle name="Input 12 4 5 5" xfId="12176"/>
    <cellStyle name="Input 12 4 5 6" xfId="12177"/>
    <cellStyle name="Input 12 4 5 7" xfId="12178"/>
    <cellStyle name="Input 12 4 6" xfId="12179"/>
    <cellStyle name="Input 12 4 6 2" xfId="12180"/>
    <cellStyle name="Input 12 4 6 2 2" xfId="12181"/>
    <cellStyle name="Input 12 4 6 3" xfId="12182"/>
    <cellStyle name="Input 12 4 6 3 2" xfId="12183"/>
    <cellStyle name="Input 12 4 6 4" xfId="12184"/>
    <cellStyle name="Input 12 4 6 5" xfId="12185"/>
    <cellStyle name="Input 12 4 6 6" xfId="12186"/>
    <cellStyle name="Input 12 4 7" xfId="12187"/>
    <cellStyle name="Input 12 4 7 2" xfId="12188"/>
    <cellStyle name="Input 12 4 8" xfId="12189"/>
    <cellStyle name="Input 12 4 8 2" xfId="12190"/>
    <cellStyle name="Input 12 4 9" xfId="12191"/>
    <cellStyle name="Input 12 5" xfId="12192"/>
    <cellStyle name="Input 12 5 10" xfId="12193"/>
    <cellStyle name="Input 12 5 2" xfId="12194"/>
    <cellStyle name="Input 12 5 2 2" xfId="12195"/>
    <cellStyle name="Input 12 5 2 2 2" xfId="12196"/>
    <cellStyle name="Input 12 5 2 2 2 2" xfId="12197"/>
    <cellStyle name="Input 12 5 2 2 2 2 2" xfId="12198"/>
    <cellStyle name="Input 12 5 2 2 2 3" xfId="12199"/>
    <cellStyle name="Input 12 5 2 2 2 3 2" xfId="12200"/>
    <cellStyle name="Input 12 5 2 2 2 4" xfId="12201"/>
    <cellStyle name="Input 12 5 2 2 2 5" xfId="12202"/>
    <cellStyle name="Input 12 5 2 2 2 6" xfId="12203"/>
    <cellStyle name="Input 12 5 2 2 3" xfId="12204"/>
    <cellStyle name="Input 12 5 2 2 3 2" xfId="12205"/>
    <cellStyle name="Input 12 5 2 2 4" xfId="12206"/>
    <cellStyle name="Input 12 5 2 2 4 2" xfId="12207"/>
    <cellStyle name="Input 12 5 2 2 5" xfId="12208"/>
    <cellStyle name="Input 12 5 2 2 6" xfId="12209"/>
    <cellStyle name="Input 12 5 2 2 7" xfId="12210"/>
    <cellStyle name="Input 12 5 2 3" xfId="12211"/>
    <cellStyle name="Input 12 5 2 3 2" xfId="12212"/>
    <cellStyle name="Input 12 5 2 3 2 2" xfId="12213"/>
    <cellStyle name="Input 12 5 2 3 3" xfId="12214"/>
    <cellStyle name="Input 12 5 2 3 3 2" xfId="12215"/>
    <cellStyle name="Input 12 5 2 3 4" xfId="12216"/>
    <cellStyle name="Input 12 5 2 3 5" xfId="12217"/>
    <cellStyle name="Input 12 5 2 3 6" xfId="12218"/>
    <cellStyle name="Input 12 5 2 4" xfId="12219"/>
    <cellStyle name="Input 12 5 2 4 2" xfId="12220"/>
    <cellStyle name="Input 12 5 2 5" xfId="12221"/>
    <cellStyle name="Input 12 5 2 5 2" xfId="12222"/>
    <cellStyle name="Input 12 5 2 6" xfId="12223"/>
    <cellStyle name="Input 12 5 2 7" xfId="12224"/>
    <cellStyle name="Input 12 5 2 8" xfId="12225"/>
    <cellStyle name="Input 12 5 3" xfId="12226"/>
    <cellStyle name="Input 12 5 3 2" xfId="12227"/>
    <cellStyle name="Input 12 5 3 2 2" xfId="12228"/>
    <cellStyle name="Input 12 5 3 2 2 2" xfId="12229"/>
    <cellStyle name="Input 12 5 3 2 2 2 2" xfId="12230"/>
    <cellStyle name="Input 12 5 3 2 2 3" xfId="12231"/>
    <cellStyle name="Input 12 5 3 2 2 3 2" xfId="12232"/>
    <cellStyle name="Input 12 5 3 2 2 4" xfId="12233"/>
    <cellStyle name="Input 12 5 3 2 2 5" xfId="12234"/>
    <cellStyle name="Input 12 5 3 2 2 6" xfId="12235"/>
    <cellStyle name="Input 12 5 3 2 3" xfId="12236"/>
    <cellStyle name="Input 12 5 3 2 3 2" xfId="12237"/>
    <cellStyle name="Input 12 5 3 2 4" xfId="12238"/>
    <cellStyle name="Input 12 5 3 2 4 2" xfId="12239"/>
    <cellStyle name="Input 12 5 3 2 5" xfId="12240"/>
    <cellStyle name="Input 12 5 3 2 6" xfId="12241"/>
    <cellStyle name="Input 12 5 3 2 7" xfId="12242"/>
    <cellStyle name="Input 12 5 3 3" xfId="12243"/>
    <cellStyle name="Input 12 5 3 3 2" xfId="12244"/>
    <cellStyle name="Input 12 5 3 3 2 2" xfId="12245"/>
    <cellStyle name="Input 12 5 3 3 3" xfId="12246"/>
    <cellStyle name="Input 12 5 3 3 3 2" xfId="12247"/>
    <cellStyle name="Input 12 5 3 3 4" xfId="12248"/>
    <cellStyle name="Input 12 5 3 3 5" xfId="12249"/>
    <cellStyle name="Input 12 5 3 3 6" xfId="12250"/>
    <cellStyle name="Input 12 5 3 4" xfId="12251"/>
    <cellStyle name="Input 12 5 3 4 2" xfId="12252"/>
    <cellStyle name="Input 12 5 3 5" xfId="12253"/>
    <cellStyle name="Input 12 5 3 5 2" xfId="12254"/>
    <cellStyle name="Input 12 5 3 6" xfId="12255"/>
    <cellStyle name="Input 12 5 3 7" xfId="12256"/>
    <cellStyle name="Input 12 5 3 8" xfId="12257"/>
    <cellStyle name="Input 12 5 4" xfId="12258"/>
    <cellStyle name="Input 12 5 4 2" xfId="12259"/>
    <cellStyle name="Input 12 5 4 2 2" xfId="12260"/>
    <cellStyle name="Input 12 5 4 2 2 2" xfId="12261"/>
    <cellStyle name="Input 12 5 4 2 3" xfId="12262"/>
    <cellStyle name="Input 12 5 4 2 3 2" xfId="12263"/>
    <cellStyle name="Input 12 5 4 2 4" xfId="12264"/>
    <cellStyle name="Input 12 5 4 2 5" xfId="12265"/>
    <cellStyle name="Input 12 5 4 2 6" xfId="12266"/>
    <cellStyle name="Input 12 5 4 3" xfId="12267"/>
    <cellStyle name="Input 12 5 4 3 2" xfId="12268"/>
    <cellStyle name="Input 12 5 4 4" xfId="12269"/>
    <cellStyle name="Input 12 5 4 4 2" xfId="12270"/>
    <cellStyle name="Input 12 5 4 5" xfId="12271"/>
    <cellStyle name="Input 12 5 4 6" xfId="12272"/>
    <cellStyle name="Input 12 5 4 7" xfId="12273"/>
    <cellStyle name="Input 12 5 5" xfId="12274"/>
    <cellStyle name="Input 12 5 5 2" xfId="12275"/>
    <cellStyle name="Input 12 5 5 2 2" xfId="12276"/>
    <cellStyle name="Input 12 5 5 3" xfId="12277"/>
    <cellStyle name="Input 12 5 5 3 2" xfId="12278"/>
    <cellStyle name="Input 12 5 5 4" xfId="12279"/>
    <cellStyle name="Input 12 5 5 5" xfId="12280"/>
    <cellStyle name="Input 12 5 5 6" xfId="12281"/>
    <cellStyle name="Input 12 5 6" xfId="12282"/>
    <cellStyle name="Input 12 5 6 2" xfId="12283"/>
    <cellStyle name="Input 12 5 7" xfId="12284"/>
    <cellStyle name="Input 12 5 7 2" xfId="12285"/>
    <cellStyle name="Input 12 5 8" xfId="12286"/>
    <cellStyle name="Input 12 5 9" xfId="12287"/>
    <cellStyle name="Input 12 6" xfId="12288"/>
    <cellStyle name="Input 12 6 2" xfId="12289"/>
    <cellStyle name="Input 12 6 2 2" xfId="12290"/>
    <cellStyle name="Input 12 6 2 2 2" xfId="12291"/>
    <cellStyle name="Input 12 6 2 2 2 2" xfId="12292"/>
    <cellStyle name="Input 12 6 2 2 3" xfId="12293"/>
    <cellStyle name="Input 12 6 2 2 3 2" xfId="12294"/>
    <cellStyle name="Input 12 6 2 2 4" xfId="12295"/>
    <cellStyle name="Input 12 6 2 2 5" xfId="12296"/>
    <cellStyle name="Input 12 6 2 2 6" xfId="12297"/>
    <cellStyle name="Input 12 6 2 3" xfId="12298"/>
    <cellStyle name="Input 12 6 2 3 2" xfId="12299"/>
    <cellStyle name="Input 12 6 2 4" xfId="12300"/>
    <cellStyle name="Input 12 6 2 4 2" xfId="12301"/>
    <cellStyle name="Input 12 6 2 5" xfId="12302"/>
    <cellStyle name="Input 12 6 2 6" xfId="12303"/>
    <cellStyle name="Input 12 6 2 7" xfId="12304"/>
    <cellStyle name="Input 12 6 3" xfId="12305"/>
    <cellStyle name="Input 12 6 3 2" xfId="12306"/>
    <cellStyle name="Input 12 6 3 2 2" xfId="12307"/>
    <cellStyle name="Input 12 6 3 3" xfId="12308"/>
    <cellStyle name="Input 12 6 3 3 2" xfId="12309"/>
    <cellStyle name="Input 12 6 3 4" xfId="12310"/>
    <cellStyle name="Input 12 6 3 5" xfId="12311"/>
    <cellStyle name="Input 12 6 3 6" xfId="12312"/>
    <cellStyle name="Input 12 6 4" xfId="12313"/>
    <cellStyle name="Input 12 6 4 2" xfId="12314"/>
    <cellStyle name="Input 12 6 5" xfId="12315"/>
    <cellStyle name="Input 12 6 5 2" xfId="12316"/>
    <cellStyle name="Input 12 6 6" xfId="12317"/>
    <cellStyle name="Input 12 6 7" xfId="12318"/>
    <cellStyle name="Input 12 6 8" xfId="12319"/>
    <cellStyle name="Input 12 7" xfId="12320"/>
    <cellStyle name="Input 12 7 2" xfId="12321"/>
    <cellStyle name="Input 12 7 2 2" xfId="12322"/>
    <cellStyle name="Input 12 7 2 2 2" xfId="12323"/>
    <cellStyle name="Input 12 7 2 3" xfId="12324"/>
    <cellStyle name="Input 12 7 2 3 2" xfId="12325"/>
    <cellStyle name="Input 12 7 2 4" xfId="12326"/>
    <cellStyle name="Input 12 7 2 5" xfId="12327"/>
    <cellStyle name="Input 12 7 2 6" xfId="12328"/>
    <cellStyle name="Input 12 7 3" xfId="12329"/>
    <cellStyle name="Input 12 7 3 2" xfId="12330"/>
    <cellStyle name="Input 12 7 4" xfId="12331"/>
    <cellStyle name="Input 12 7 4 2" xfId="12332"/>
    <cellStyle name="Input 12 7 5" xfId="12333"/>
    <cellStyle name="Input 12 7 6" xfId="12334"/>
    <cellStyle name="Input 12 7 7" xfId="12335"/>
    <cellStyle name="Input 12 8" xfId="12336"/>
    <cellStyle name="Input 12 8 2" xfId="12337"/>
    <cellStyle name="Input 12 9" xfId="12338"/>
    <cellStyle name="Input 12 9 2" xfId="12339"/>
    <cellStyle name="Input 13" xfId="12340"/>
    <cellStyle name="Input 13 10" xfId="12341"/>
    <cellStyle name="Input 13 11" xfId="12342"/>
    <cellStyle name="Input 13 12" xfId="12343"/>
    <cellStyle name="Input 13 2" xfId="12344"/>
    <cellStyle name="Input 13 2 10" xfId="12345"/>
    <cellStyle name="Input 13 2 11" xfId="12346"/>
    <cellStyle name="Input 13 2 12" xfId="12347"/>
    <cellStyle name="Input 13 2 2" xfId="12348"/>
    <cellStyle name="Input 13 2 2 10" xfId="12349"/>
    <cellStyle name="Input 13 2 2 11" xfId="12350"/>
    <cellStyle name="Input 13 2 2 2" xfId="12351"/>
    <cellStyle name="Input 13 2 2 2 10" xfId="12352"/>
    <cellStyle name="Input 13 2 2 2 2" xfId="12353"/>
    <cellStyle name="Input 13 2 2 2 2 2" xfId="12354"/>
    <cellStyle name="Input 13 2 2 2 2 2 2" xfId="12355"/>
    <cellStyle name="Input 13 2 2 2 2 2 2 2" xfId="12356"/>
    <cellStyle name="Input 13 2 2 2 2 2 2 2 2" xfId="12357"/>
    <cellStyle name="Input 13 2 2 2 2 2 2 3" xfId="12358"/>
    <cellStyle name="Input 13 2 2 2 2 2 2 3 2" xfId="12359"/>
    <cellStyle name="Input 13 2 2 2 2 2 2 4" xfId="12360"/>
    <cellStyle name="Input 13 2 2 2 2 2 2 5" xfId="12361"/>
    <cellStyle name="Input 13 2 2 2 2 2 2 6" xfId="12362"/>
    <cellStyle name="Input 13 2 2 2 2 2 3" xfId="12363"/>
    <cellStyle name="Input 13 2 2 2 2 2 3 2" xfId="12364"/>
    <cellStyle name="Input 13 2 2 2 2 2 4" xfId="12365"/>
    <cellStyle name="Input 13 2 2 2 2 2 4 2" xfId="12366"/>
    <cellStyle name="Input 13 2 2 2 2 2 5" xfId="12367"/>
    <cellStyle name="Input 13 2 2 2 2 2 6" xfId="12368"/>
    <cellStyle name="Input 13 2 2 2 2 2 7" xfId="12369"/>
    <cellStyle name="Input 13 2 2 2 2 3" xfId="12370"/>
    <cellStyle name="Input 13 2 2 2 2 3 2" xfId="12371"/>
    <cellStyle name="Input 13 2 2 2 2 3 2 2" xfId="12372"/>
    <cellStyle name="Input 13 2 2 2 2 3 3" xfId="12373"/>
    <cellStyle name="Input 13 2 2 2 2 3 3 2" xfId="12374"/>
    <cellStyle name="Input 13 2 2 2 2 3 4" xfId="12375"/>
    <cellStyle name="Input 13 2 2 2 2 3 5" xfId="12376"/>
    <cellStyle name="Input 13 2 2 2 2 3 6" xfId="12377"/>
    <cellStyle name="Input 13 2 2 2 2 4" xfId="12378"/>
    <cellStyle name="Input 13 2 2 2 2 4 2" xfId="12379"/>
    <cellStyle name="Input 13 2 2 2 2 5" xfId="12380"/>
    <cellStyle name="Input 13 2 2 2 2 5 2" xfId="12381"/>
    <cellStyle name="Input 13 2 2 2 2 6" xfId="12382"/>
    <cellStyle name="Input 13 2 2 2 2 7" xfId="12383"/>
    <cellStyle name="Input 13 2 2 2 2 8" xfId="12384"/>
    <cellStyle name="Input 13 2 2 2 3" xfId="12385"/>
    <cellStyle name="Input 13 2 2 2 3 2" xfId="12386"/>
    <cellStyle name="Input 13 2 2 2 3 2 2" xfId="12387"/>
    <cellStyle name="Input 13 2 2 2 3 2 2 2" xfId="12388"/>
    <cellStyle name="Input 13 2 2 2 3 2 2 2 2" xfId="12389"/>
    <cellStyle name="Input 13 2 2 2 3 2 2 3" xfId="12390"/>
    <cellStyle name="Input 13 2 2 2 3 2 2 3 2" xfId="12391"/>
    <cellStyle name="Input 13 2 2 2 3 2 2 4" xfId="12392"/>
    <cellStyle name="Input 13 2 2 2 3 2 2 5" xfId="12393"/>
    <cellStyle name="Input 13 2 2 2 3 2 2 6" xfId="12394"/>
    <cellStyle name="Input 13 2 2 2 3 2 3" xfId="12395"/>
    <cellStyle name="Input 13 2 2 2 3 2 3 2" xfId="12396"/>
    <cellStyle name="Input 13 2 2 2 3 2 4" xfId="12397"/>
    <cellStyle name="Input 13 2 2 2 3 2 4 2" xfId="12398"/>
    <cellStyle name="Input 13 2 2 2 3 2 5" xfId="12399"/>
    <cellStyle name="Input 13 2 2 2 3 2 6" xfId="12400"/>
    <cellStyle name="Input 13 2 2 2 3 2 7" xfId="12401"/>
    <cellStyle name="Input 13 2 2 2 3 3" xfId="12402"/>
    <cellStyle name="Input 13 2 2 2 3 3 2" xfId="12403"/>
    <cellStyle name="Input 13 2 2 2 3 3 2 2" xfId="12404"/>
    <cellStyle name="Input 13 2 2 2 3 3 3" xfId="12405"/>
    <cellStyle name="Input 13 2 2 2 3 3 3 2" xfId="12406"/>
    <cellStyle name="Input 13 2 2 2 3 3 4" xfId="12407"/>
    <cellStyle name="Input 13 2 2 2 3 3 5" xfId="12408"/>
    <cellStyle name="Input 13 2 2 2 3 3 6" xfId="12409"/>
    <cellStyle name="Input 13 2 2 2 3 4" xfId="12410"/>
    <cellStyle name="Input 13 2 2 2 3 4 2" xfId="12411"/>
    <cellStyle name="Input 13 2 2 2 3 5" xfId="12412"/>
    <cellStyle name="Input 13 2 2 2 3 5 2" xfId="12413"/>
    <cellStyle name="Input 13 2 2 2 3 6" xfId="12414"/>
    <cellStyle name="Input 13 2 2 2 3 7" xfId="12415"/>
    <cellStyle name="Input 13 2 2 2 3 8" xfId="12416"/>
    <cellStyle name="Input 13 2 2 2 4" xfId="12417"/>
    <cellStyle name="Input 13 2 2 2 4 2" xfId="12418"/>
    <cellStyle name="Input 13 2 2 2 4 2 2" xfId="12419"/>
    <cellStyle name="Input 13 2 2 2 4 2 2 2" xfId="12420"/>
    <cellStyle name="Input 13 2 2 2 4 2 3" xfId="12421"/>
    <cellStyle name="Input 13 2 2 2 4 2 3 2" xfId="12422"/>
    <cellStyle name="Input 13 2 2 2 4 2 4" xfId="12423"/>
    <cellStyle name="Input 13 2 2 2 4 2 5" xfId="12424"/>
    <cellStyle name="Input 13 2 2 2 4 2 6" xfId="12425"/>
    <cellStyle name="Input 13 2 2 2 4 3" xfId="12426"/>
    <cellStyle name="Input 13 2 2 2 4 3 2" xfId="12427"/>
    <cellStyle name="Input 13 2 2 2 4 4" xfId="12428"/>
    <cellStyle name="Input 13 2 2 2 4 4 2" xfId="12429"/>
    <cellStyle name="Input 13 2 2 2 4 5" xfId="12430"/>
    <cellStyle name="Input 13 2 2 2 4 6" xfId="12431"/>
    <cellStyle name="Input 13 2 2 2 4 7" xfId="12432"/>
    <cellStyle name="Input 13 2 2 2 5" xfId="12433"/>
    <cellStyle name="Input 13 2 2 2 5 2" xfId="12434"/>
    <cellStyle name="Input 13 2 2 2 5 2 2" xfId="12435"/>
    <cellStyle name="Input 13 2 2 2 5 3" xfId="12436"/>
    <cellStyle name="Input 13 2 2 2 5 3 2" xfId="12437"/>
    <cellStyle name="Input 13 2 2 2 5 4" xfId="12438"/>
    <cellStyle name="Input 13 2 2 2 5 5" xfId="12439"/>
    <cellStyle name="Input 13 2 2 2 5 6" xfId="12440"/>
    <cellStyle name="Input 13 2 2 2 6" xfId="12441"/>
    <cellStyle name="Input 13 2 2 2 6 2" xfId="12442"/>
    <cellStyle name="Input 13 2 2 2 7" xfId="12443"/>
    <cellStyle name="Input 13 2 2 2 7 2" xfId="12444"/>
    <cellStyle name="Input 13 2 2 2 8" xfId="12445"/>
    <cellStyle name="Input 13 2 2 2 9" xfId="12446"/>
    <cellStyle name="Input 13 2 2 3" xfId="12447"/>
    <cellStyle name="Input 13 2 2 3 2" xfId="12448"/>
    <cellStyle name="Input 13 2 2 3 2 2" xfId="12449"/>
    <cellStyle name="Input 13 2 2 3 2 2 2" xfId="12450"/>
    <cellStyle name="Input 13 2 2 3 2 2 2 2" xfId="12451"/>
    <cellStyle name="Input 13 2 2 3 2 2 3" xfId="12452"/>
    <cellStyle name="Input 13 2 2 3 2 2 3 2" xfId="12453"/>
    <cellStyle name="Input 13 2 2 3 2 2 4" xfId="12454"/>
    <cellStyle name="Input 13 2 2 3 2 2 5" xfId="12455"/>
    <cellStyle name="Input 13 2 2 3 2 2 6" xfId="12456"/>
    <cellStyle name="Input 13 2 2 3 2 3" xfId="12457"/>
    <cellStyle name="Input 13 2 2 3 2 3 2" xfId="12458"/>
    <cellStyle name="Input 13 2 2 3 2 4" xfId="12459"/>
    <cellStyle name="Input 13 2 2 3 2 4 2" xfId="12460"/>
    <cellStyle name="Input 13 2 2 3 2 5" xfId="12461"/>
    <cellStyle name="Input 13 2 2 3 2 6" xfId="12462"/>
    <cellStyle name="Input 13 2 2 3 2 7" xfId="12463"/>
    <cellStyle name="Input 13 2 2 3 3" xfId="12464"/>
    <cellStyle name="Input 13 2 2 3 3 2" xfId="12465"/>
    <cellStyle name="Input 13 2 2 3 3 2 2" xfId="12466"/>
    <cellStyle name="Input 13 2 2 3 3 3" xfId="12467"/>
    <cellStyle name="Input 13 2 2 3 3 3 2" xfId="12468"/>
    <cellStyle name="Input 13 2 2 3 3 4" xfId="12469"/>
    <cellStyle name="Input 13 2 2 3 3 5" xfId="12470"/>
    <cellStyle name="Input 13 2 2 3 3 6" xfId="12471"/>
    <cellStyle name="Input 13 2 2 3 4" xfId="12472"/>
    <cellStyle name="Input 13 2 2 3 4 2" xfId="12473"/>
    <cellStyle name="Input 13 2 2 3 5" xfId="12474"/>
    <cellStyle name="Input 13 2 2 3 5 2" xfId="12475"/>
    <cellStyle name="Input 13 2 2 3 6" xfId="12476"/>
    <cellStyle name="Input 13 2 2 3 7" xfId="12477"/>
    <cellStyle name="Input 13 2 2 3 8" xfId="12478"/>
    <cellStyle name="Input 13 2 2 4" xfId="12479"/>
    <cellStyle name="Input 13 2 2 4 2" xfId="12480"/>
    <cellStyle name="Input 13 2 2 4 2 2" xfId="12481"/>
    <cellStyle name="Input 13 2 2 4 2 2 2" xfId="12482"/>
    <cellStyle name="Input 13 2 2 4 2 2 2 2" xfId="12483"/>
    <cellStyle name="Input 13 2 2 4 2 2 3" xfId="12484"/>
    <cellStyle name="Input 13 2 2 4 2 2 3 2" xfId="12485"/>
    <cellStyle name="Input 13 2 2 4 2 2 4" xfId="12486"/>
    <cellStyle name="Input 13 2 2 4 2 2 5" xfId="12487"/>
    <cellStyle name="Input 13 2 2 4 2 2 6" xfId="12488"/>
    <cellStyle name="Input 13 2 2 4 2 3" xfId="12489"/>
    <cellStyle name="Input 13 2 2 4 2 3 2" xfId="12490"/>
    <cellStyle name="Input 13 2 2 4 2 4" xfId="12491"/>
    <cellStyle name="Input 13 2 2 4 2 4 2" xfId="12492"/>
    <cellStyle name="Input 13 2 2 4 2 5" xfId="12493"/>
    <cellStyle name="Input 13 2 2 4 2 6" xfId="12494"/>
    <cellStyle name="Input 13 2 2 4 2 7" xfId="12495"/>
    <cellStyle name="Input 13 2 2 4 3" xfId="12496"/>
    <cellStyle name="Input 13 2 2 4 3 2" xfId="12497"/>
    <cellStyle name="Input 13 2 2 4 3 2 2" xfId="12498"/>
    <cellStyle name="Input 13 2 2 4 3 3" xfId="12499"/>
    <cellStyle name="Input 13 2 2 4 3 3 2" xfId="12500"/>
    <cellStyle name="Input 13 2 2 4 3 4" xfId="12501"/>
    <cellStyle name="Input 13 2 2 4 3 5" xfId="12502"/>
    <cellStyle name="Input 13 2 2 4 3 6" xfId="12503"/>
    <cellStyle name="Input 13 2 2 4 4" xfId="12504"/>
    <cellStyle name="Input 13 2 2 4 4 2" xfId="12505"/>
    <cellStyle name="Input 13 2 2 4 5" xfId="12506"/>
    <cellStyle name="Input 13 2 2 4 5 2" xfId="12507"/>
    <cellStyle name="Input 13 2 2 4 6" xfId="12508"/>
    <cellStyle name="Input 13 2 2 4 7" xfId="12509"/>
    <cellStyle name="Input 13 2 2 4 8" xfId="12510"/>
    <cellStyle name="Input 13 2 2 5" xfId="12511"/>
    <cellStyle name="Input 13 2 2 5 2" xfId="12512"/>
    <cellStyle name="Input 13 2 2 5 2 2" xfId="12513"/>
    <cellStyle name="Input 13 2 2 5 2 2 2" xfId="12514"/>
    <cellStyle name="Input 13 2 2 5 2 3" xfId="12515"/>
    <cellStyle name="Input 13 2 2 5 2 3 2" xfId="12516"/>
    <cellStyle name="Input 13 2 2 5 2 4" xfId="12517"/>
    <cellStyle name="Input 13 2 2 5 2 5" xfId="12518"/>
    <cellStyle name="Input 13 2 2 5 2 6" xfId="12519"/>
    <cellStyle name="Input 13 2 2 5 3" xfId="12520"/>
    <cellStyle name="Input 13 2 2 5 3 2" xfId="12521"/>
    <cellStyle name="Input 13 2 2 5 4" xfId="12522"/>
    <cellStyle name="Input 13 2 2 5 4 2" xfId="12523"/>
    <cellStyle name="Input 13 2 2 5 5" xfId="12524"/>
    <cellStyle name="Input 13 2 2 5 6" xfId="12525"/>
    <cellStyle name="Input 13 2 2 5 7" xfId="12526"/>
    <cellStyle name="Input 13 2 2 6" xfId="12527"/>
    <cellStyle name="Input 13 2 2 6 2" xfId="12528"/>
    <cellStyle name="Input 13 2 2 6 2 2" xfId="12529"/>
    <cellStyle name="Input 13 2 2 6 3" xfId="12530"/>
    <cellStyle name="Input 13 2 2 6 3 2" xfId="12531"/>
    <cellStyle name="Input 13 2 2 6 4" xfId="12532"/>
    <cellStyle name="Input 13 2 2 6 5" xfId="12533"/>
    <cellStyle name="Input 13 2 2 6 6" xfId="12534"/>
    <cellStyle name="Input 13 2 2 7" xfId="12535"/>
    <cellStyle name="Input 13 2 2 7 2" xfId="12536"/>
    <cellStyle name="Input 13 2 2 8" xfId="12537"/>
    <cellStyle name="Input 13 2 2 8 2" xfId="12538"/>
    <cellStyle name="Input 13 2 2 9" xfId="12539"/>
    <cellStyle name="Input 13 2 3" xfId="12540"/>
    <cellStyle name="Input 13 2 3 10" xfId="12541"/>
    <cellStyle name="Input 13 2 3 2" xfId="12542"/>
    <cellStyle name="Input 13 2 3 2 10" xfId="12543"/>
    <cellStyle name="Input 13 2 3 2 2" xfId="12544"/>
    <cellStyle name="Input 13 2 3 2 2 2" xfId="12545"/>
    <cellStyle name="Input 13 2 3 2 2 2 2" xfId="12546"/>
    <cellStyle name="Input 13 2 3 2 2 2 2 2" xfId="12547"/>
    <cellStyle name="Input 13 2 3 2 2 2 2 2 2" xfId="12548"/>
    <cellStyle name="Input 13 2 3 2 2 2 2 3" xfId="12549"/>
    <cellStyle name="Input 13 2 3 2 2 2 2 3 2" xfId="12550"/>
    <cellStyle name="Input 13 2 3 2 2 2 2 4" xfId="12551"/>
    <cellStyle name="Input 13 2 3 2 2 2 2 5" xfId="12552"/>
    <cellStyle name="Input 13 2 3 2 2 2 2 6" xfId="12553"/>
    <cellStyle name="Input 13 2 3 2 2 2 3" xfId="12554"/>
    <cellStyle name="Input 13 2 3 2 2 2 3 2" xfId="12555"/>
    <cellStyle name="Input 13 2 3 2 2 2 4" xfId="12556"/>
    <cellStyle name="Input 13 2 3 2 2 2 4 2" xfId="12557"/>
    <cellStyle name="Input 13 2 3 2 2 2 5" xfId="12558"/>
    <cellStyle name="Input 13 2 3 2 2 2 6" xfId="12559"/>
    <cellStyle name="Input 13 2 3 2 2 2 7" xfId="12560"/>
    <cellStyle name="Input 13 2 3 2 2 3" xfId="12561"/>
    <cellStyle name="Input 13 2 3 2 2 3 2" xfId="12562"/>
    <cellStyle name="Input 13 2 3 2 2 3 2 2" xfId="12563"/>
    <cellStyle name="Input 13 2 3 2 2 3 3" xfId="12564"/>
    <cellStyle name="Input 13 2 3 2 2 3 3 2" xfId="12565"/>
    <cellStyle name="Input 13 2 3 2 2 3 4" xfId="12566"/>
    <cellStyle name="Input 13 2 3 2 2 3 5" xfId="12567"/>
    <cellStyle name="Input 13 2 3 2 2 3 6" xfId="12568"/>
    <cellStyle name="Input 13 2 3 2 2 4" xfId="12569"/>
    <cellStyle name="Input 13 2 3 2 2 4 2" xfId="12570"/>
    <cellStyle name="Input 13 2 3 2 2 5" xfId="12571"/>
    <cellStyle name="Input 13 2 3 2 2 5 2" xfId="12572"/>
    <cellStyle name="Input 13 2 3 2 2 6" xfId="12573"/>
    <cellStyle name="Input 13 2 3 2 2 7" xfId="12574"/>
    <cellStyle name="Input 13 2 3 2 2 8" xfId="12575"/>
    <cellStyle name="Input 13 2 3 2 3" xfId="12576"/>
    <cellStyle name="Input 13 2 3 2 3 2" xfId="12577"/>
    <cellStyle name="Input 13 2 3 2 3 2 2" xfId="12578"/>
    <cellStyle name="Input 13 2 3 2 3 2 2 2" xfId="12579"/>
    <cellStyle name="Input 13 2 3 2 3 2 2 2 2" xfId="12580"/>
    <cellStyle name="Input 13 2 3 2 3 2 2 3" xfId="12581"/>
    <cellStyle name="Input 13 2 3 2 3 2 2 3 2" xfId="12582"/>
    <cellStyle name="Input 13 2 3 2 3 2 2 4" xfId="12583"/>
    <cellStyle name="Input 13 2 3 2 3 2 2 5" xfId="12584"/>
    <cellStyle name="Input 13 2 3 2 3 2 2 6" xfId="12585"/>
    <cellStyle name="Input 13 2 3 2 3 2 3" xfId="12586"/>
    <cellStyle name="Input 13 2 3 2 3 2 3 2" xfId="12587"/>
    <cellStyle name="Input 13 2 3 2 3 2 4" xfId="12588"/>
    <cellStyle name="Input 13 2 3 2 3 2 4 2" xfId="12589"/>
    <cellStyle name="Input 13 2 3 2 3 2 5" xfId="12590"/>
    <cellStyle name="Input 13 2 3 2 3 2 6" xfId="12591"/>
    <cellStyle name="Input 13 2 3 2 3 2 7" xfId="12592"/>
    <cellStyle name="Input 13 2 3 2 3 3" xfId="12593"/>
    <cellStyle name="Input 13 2 3 2 3 3 2" xfId="12594"/>
    <cellStyle name="Input 13 2 3 2 3 3 2 2" xfId="12595"/>
    <cellStyle name="Input 13 2 3 2 3 3 3" xfId="12596"/>
    <cellStyle name="Input 13 2 3 2 3 3 3 2" xfId="12597"/>
    <cellStyle name="Input 13 2 3 2 3 3 4" xfId="12598"/>
    <cellStyle name="Input 13 2 3 2 3 3 5" xfId="12599"/>
    <cellStyle name="Input 13 2 3 2 3 3 6" xfId="12600"/>
    <cellStyle name="Input 13 2 3 2 3 4" xfId="12601"/>
    <cellStyle name="Input 13 2 3 2 3 4 2" xfId="12602"/>
    <cellStyle name="Input 13 2 3 2 3 5" xfId="12603"/>
    <cellStyle name="Input 13 2 3 2 3 5 2" xfId="12604"/>
    <cellStyle name="Input 13 2 3 2 3 6" xfId="12605"/>
    <cellStyle name="Input 13 2 3 2 3 7" xfId="12606"/>
    <cellStyle name="Input 13 2 3 2 3 8" xfId="12607"/>
    <cellStyle name="Input 13 2 3 2 4" xfId="12608"/>
    <cellStyle name="Input 13 2 3 2 4 2" xfId="12609"/>
    <cellStyle name="Input 13 2 3 2 4 2 2" xfId="12610"/>
    <cellStyle name="Input 13 2 3 2 4 2 2 2" xfId="12611"/>
    <cellStyle name="Input 13 2 3 2 4 2 3" xfId="12612"/>
    <cellStyle name="Input 13 2 3 2 4 2 3 2" xfId="12613"/>
    <cellStyle name="Input 13 2 3 2 4 2 4" xfId="12614"/>
    <cellStyle name="Input 13 2 3 2 4 2 5" xfId="12615"/>
    <cellStyle name="Input 13 2 3 2 4 2 6" xfId="12616"/>
    <cellStyle name="Input 13 2 3 2 4 3" xfId="12617"/>
    <cellStyle name="Input 13 2 3 2 4 3 2" xfId="12618"/>
    <cellStyle name="Input 13 2 3 2 4 4" xfId="12619"/>
    <cellStyle name="Input 13 2 3 2 4 4 2" xfId="12620"/>
    <cellStyle name="Input 13 2 3 2 4 5" xfId="12621"/>
    <cellStyle name="Input 13 2 3 2 4 6" xfId="12622"/>
    <cellStyle name="Input 13 2 3 2 4 7" xfId="12623"/>
    <cellStyle name="Input 13 2 3 2 5" xfId="12624"/>
    <cellStyle name="Input 13 2 3 2 5 2" xfId="12625"/>
    <cellStyle name="Input 13 2 3 2 5 2 2" xfId="12626"/>
    <cellStyle name="Input 13 2 3 2 5 3" xfId="12627"/>
    <cellStyle name="Input 13 2 3 2 5 3 2" xfId="12628"/>
    <cellStyle name="Input 13 2 3 2 5 4" xfId="12629"/>
    <cellStyle name="Input 13 2 3 2 5 5" xfId="12630"/>
    <cellStyle name="Input 13 2 3 2 5 6" xfId="12631"/>
    <cellStyle name="Input 13 2 3 2 6" xfId="12632"/>
    <cellStyle name="Input 13 2 3 2 6 2" xfId="12633"/>
    <cellStyle name="Input 13 2 3 2 7" xfId="12634"/>
    <cellStyle name="Input 13 2 3 2 7 2" xfId="12635"/>
    <cellStyle name="Input 13 2 3 2 8" xfId="12636"/>
    <cellStyle name="Input 13 2 3 2 9" xfId="12637"/>
    <cellStyle name="Input 13 2 3 3" xfId="12638"/>
    <cellStyle name="Input 13 2 3 3 2" xfId="12639"/>
    <cellStyle name="Input 13 2 3 3 2 2" xfId="12640"/>
    <cellStyle name="Input 13 2 3 3 2 2 2" xfId="12641"/>
    <cellStyle name="Input 13 2 3 3 2 2 2 2" xfId="12642"/>
    <cellStyle name="Input 13 2 3 3 2 2 3" xfId="12643"/>
    <cellStyle name="Input 13 2 3 3 2 2 3 2" xfId="12644"/>
    <cellStyle name="Input 13 2 3 3 2 2 4" xfId="12645"/>
    <cellStyle name="Input 13 2 3 3 2 2 5" xfId="12646"/>
    <cellStyle name="Input 13 2 3 3 2 2 6" xfId="12647"/>
    <cellStyle name="Input 13 2 3 3 2 3" xfId="12648"/>
    <cellStyle name="Input 13 2 3 3 2 3 2" xfId="12649"/>
    <cellStyle name="Input 13 2 3 3 2 4" xfId="12650"/>
    <cellStyle name="Input 13 2 3 3 2 4 2" xfId="12651"/>
    <cellStyle name="Input 13 2 3 3 2 5" xfId="12652"/>
    <cellStyle name="Input 13 2 3 3 2 6" xfId="12653"/>
    <cellStyle name="Input 13 2 3 3 2 7" xfId="12654"/>
    <cellStyle name="Input 13 2 3 3 3" xfId="12655"/>
    <cellStyle name="Input 13 2 3 3 3 2" xfId="12656"/>
    <cellStyle name="Input 13 2 3 3 3 2 2" xfId="12657"/>
    <cellStyle name="Input 13 2 3 3 3 3" xfId="12658"/>
    <cellStyle name="Input 13 2 3 3 3 3 2" xfId="12659"/>
    <cellStyle name="Input 13 2 3 3 3 4" xfId="12660"/>
    <cellStyle name="Input 13 2 3 3 3 5" xfId="12661"/>
    <cellStyle name="Input 13 2 3 3 3 6" xfId="12662"/>
    <cellStyle name="Input 13 2 3 3 4" xfId="12663"/>
    <cellStyle name="Input 13 2 3 3 4 2" xfId="12664"/>
    <cellStyle name="Input 13 2 3 3 5" xfId="12665"/>
    <cellStyle name="Input 13 2 3 3 5 2" xfId="12666"/>
    <cellStyle name="Input 13 2 3 3 6" xfId="12667"/>
    <cellStyle name="Input 13 2 3 3 7" xfId="12668"/>
    <cellStyle name="Input 13 2 3 3 8" xfId="12669"/>
    <cellStyle name="Input 13 2 3 4" xfId="12670"/>
    <cellStyle name="Input 13 2 3 4 2" xfId="12671"/>
    <cellStyle name="Input 13 2 3 4 2 2" xfId="12672"/>
    <cellStyle name="Input 13 2 3 4 2 2 2" xfId="12673"/>
    <cellStyle name="Input 13 2 3 4 2 3" xfId="12674"/>
    <cellStyle name="Input 13 2 3 4 2 3 2" xfId="12675"/>
    <cellStyle name="Input 13 2 3 4 2 4" xfId="12676"/>
    <cellStyle name="Input 13 2 3 4 2 5" xfId="12677"/>
    <cellStyle name="Input 13 2 3 4 2 6" xfId="12678"/>
    <cellStyle name="Input 13 2 3 4 3" xfId="12679"/>
    <cellStyle name="Input 13 2 3 4 3 2" xfId="12680"/>
    <cellStyle name="Input 13 2 3 4 4" xfId="12681"/>
    <cellStyle name="Input 13 2 3 4 4 2" xfId="12682"/>
    <cellStyle name="Input 13 2 3 4 5" xfId="12683"/>
    <cellStyle name="Input 13 2 3 4 6" xfId="12684"/>
    <cellStyle name="Input 13 2 3 4 7" xfId="12685"/>
    <cellStyle name="Input 13 2 3 5" xfId="12686"/>
    <cellStyle name="Input 13 2 3 5 2" xfId="12687"/>
    <cellStyle name="Input 13 2 3 5 2 2" xfId="12688"/>
    <cellStyle name="Input 13 2 3 5 3" xfId="12689"/>
    <cellStyle name="Input 13 2 3 5 3 2" xfId="12690"/>
    <cellStyle name="Input 13 2 3 5 4" xfId="12691"/>
    <cellStyle name="Input 13 2 3 5 5" xfId="12692"/>
    <cellStyle name="Input 13 2 3 5 6" xfId="12693"/>
    <cellStyle name="Input 13 2 3 6" xfId="12694"/>
    <cellStyle name="Input 13 2 3 6 2" xfId="12695"/>
    <cellStyle name="Input 13 2 3 7" xfId="12696"/>
    <cellStyle name="Input 13 2 3 7 2" xfId="12697"/>
    <cellStyle name="Input 13 2 3 8" xfId="12698"/>
    <cellStyle name="Input 13 2 3 9" xfId="12699"/>
    <cellStyle name="Input 13 2 4" xfId="12700"/>
    <cellStyle name="Input 13 2 4 10" xfId="12701"/>
    <cellStyle name="Input 13 2 4 2" xfId="12702"/>
    <cellStyle name="Input 13 2 4 2 2" xfId="12703"/>
    <cellStyle name="Input 13 2 4 2 2 2" xfId="12704"/>
    <cellStyle name="Input 13 2 4 2 2 2 2" xfId="12705"/>
    <cellStyle name="Input 13 2 4 2 2 2 2 2" xfId="12706"/>
    <cellStyle name="Input 13 2 4 2 2 2 3" xfId="12707"/>
    <cellStyle name="Input 13 2 4 2 2 2 3 2" xfId="12708"/>
    <cellStyle name="Input 13 2 4 2 2 2 4" xfId="12709"/>
    <cellStyle name="Input 13 2 4 2 2 2 5" xfId="12710"/>
    <cellStyle name="Input 13 2 4 2 2 2 6" xfId="12711"/>
    <cellStyle name="Input 13 2 4 2 2 3" xfId="12712"/>
    <cellStyle name="Input 13 2 4 2 2 3 2" xfId="12713"/>
    <cellStyle name="Input 13 2 4 2 2 4" xfId="12714"/>
    <cellStyle name="Input 13 2 4 2 2 4 2" xfId="12715"/>
    <cellStyle name="Input 13 2 4 2 2 5" xfId="12716"/>
    <cellStyle name="Input 13 2 4 2 2 6" xfId="12717"/>
    <cellStyle name="Input 13 2 4 2 2 7" xfId="12718"/>
    <cellStyle name="Input 13 2 4 2 3" xfId="12719"/>
    <cellStyle name="Input 13 2 4 2 3 2" xfId="12720"/>
    <cellStyle name="Input 13 2 4 2 3 2 2" xfId="12721"/>
    <cellStyle name="Input 13 2 4 2 3 3" xfId="12722"/>
    <cellStyle name="Input 13 2 4 2 3 3 2" xfId="12723"/>
    <cellStyle name="Input 13 2 4 2 3 4" xfId="12724"/>
    <cellStyle name="Input 13 2 4 2 3 5" xfId="12725"/>
    <cellStyle name="Input 13 2 4 2 3 6" xfId="12726"/>
    <cellStyle name="Input 13 2 4 2 4" xfId="12727"/>
    <cellStyle name="Input 13 2 4 2 4 2" xfId="12728"/>
    <cellStyle name="Input 13 2 4 2 5" xfId="12729"/>
    <cellStyle name="Input 13 2 4 2 5 2" xfId="12730"/>
    <cellStyle name="Input 13 2 4 2 6" xfId="12731"/>
    <cellStyle name="Input 13 2 4 2 7" xfId="12732"/>
    <cellStyle name="Input 13 2 4 2 8" xfId="12733"/>
    <cellStyle name="Input 13 2 4 3" xfId="12734"/>
    <cellStyle name="Input 13 2 4 3 2" xfId="12735"/>
    <cellStyle name="Input 13 2 4 3 2 2" xfId="12736"/>
    <cellStyle name="Input 13 2 4 3 2 2 2" xfId="12737"/>
    <cellStyle name="Input 13 2 4 3 2 2 2 2" xfId="12738"/>
    <cellStyle name="Input 13 2 4 3 2 2 3" xfId="12739"/>
    <cellStyle name="Input 13 2 4 3 2 2 3 2" xfId="12740"/>
    <cellStyle name="Input 13 2 4 3 2 2 4" xfId="12741"/>
    <cellStyle name="Input 13 2 4 3 2 2 5" xfId="12742"/>
    <cellStyle name="Input 13 2 4 3 2 2 6" xfId="12743"/>
    <cellStyle name="Input 13 2 4 3 2 3" xfId="12744"/>
    <cellStyle name="Input 13 2 4 3 2 3 2" xfId="12745"/>
    <cellStyle name="Input 13 2 4 3 2 4" xfId="12746"/>
    <cellStyle name="Input 13 2 4 3 2 4 2" xfId="12747"/>
    <cellStyle name="Input 13 2 4 3 2 5" xfId="12748"/>
    <cellStyle name="Input 13 2 4 3 2 6" xfId="12749"/>
    <cellStyle name="Input 13 2 4 3 2 7" xfId="12750"/>
    <cellStyle name="Input 13 2 4 3 3" xfId="12751"/>
    <cellStyle name="Input 13 2 4 3 3 2" xfId="12752"/>
    <cellStyle name="Input 13 2 4 3 3 2 2" xfId="12753"/>
    <cellStyle name="Input 13 2 4 3 3 3" xfId="12754"/>
    <cellStyle name="Input 13 2 4 3 3 3 2" xfId="12755"/>
    <cellStyle name="Input 13 2 4 3 3 4" xfId="12756"/>
    <cellStyle name="Input 13 2 4 3 3 5" xfId="12757"/>
    <cellStyle name="Input 13 2 4 3 3 6" xfId="12758"/>
    <cellStyle name="Input 13 2 4 3 4" xfId="12759"/>
    <cellStyle name="Input 13 2 4 3 4 2" xfId="12760"/>
    <cellStyle name="Input 13 2 4 3 5" xfId="12761"/>
    <cellStyle name="Input 13 2 4 3 5 2" xfId="12762"/>
    <cellStyle name="Input 13 2 4 3 6" xfId="12763"/>
    <cellStyle name="Input 13 2 4 3 7" xfId="12764"/>
    <cellStyle name="Input 13 2 4 3 8" xfId="12765"/>
    <cellStyle name="Input 13 2 4 4" xfId="12766"/>
    <cellStyle name="Input 13 2 4 4 2" xfId="12767"/>
    <cellStyle name="Input 13 2 4 4 2 2" xfId="12768"/>
    <cellStyle name="Input 13 2 4 4 2 2 2" xfId="12769"/>
    <cellStyle name="Input 13 2 4 4 2 3" xfId="12770"/>
    <cellStyle name="Input 13 2 4 4 2 3 2" xfId="12771"/>
    <cellStyle name="Input 13 2 4 4 2 4" xfId="12772"/>
    <cellStyle name="Input 13 2 4 4 2 5" xfId="12773"/>
    <cellStyle name="Input 13 2 4 4 2 6" xfId="12774"/>
    <cellStyle name="Input 13 2 4 4 3" xfId="12775"/>
    <cellStyle name="Input 13 2 4 4 3 2" xfId="12776"/>
    <cellStyle name="Input 13 2 4 4 4" xfId="12777"/>
    <cellStyle name="Input 13 2 4 4 4 2" xfId="12778"/>
    <cellStyle name="Input 13 2 4 4 5" xfId="12779"/>
    <cellStyle name="Input 13 2 4 4 6" xfId="12780"/>
    <cellStyle name="Input 13 2 4 4 7" xfId="12781"/>
    <cellStyle name="Input 13 2 4 5" xfId="12782"/>
    <cellStyle name="Input 13 2 4 5 2" xfId="12783"/>
    <cellStyle name="Input 13 2 4 5 2 2" xfId="12784"/>
    <cellStyle name="Input 13 2 4 5 3" xfId="12785"/>
    <cellStyle name="Input 13 2 4 5 3 2" xfId="12786"/>
    <cellStyle name="Input 13 2 4 5 4" xfId="12787"/>
    <cellStyle name="Input 13 2 4 5 5" xfId="12788"/>
    <cellStyle name="Input 13 2 4 5 6" xfId="12789"/>
    <cellStyle name="Input 13 2 4 6" xfId="12790"/>
    <cellStyle name="Input 13 2 4 6 2" xfId="12791"/>
    <cellStyle name="Input 13 2 4 7" xfId="12792"/>
    <cellStyle name="Input 13 2 4 7 2" xfId="12793"/>
    <cellStyle name="Input 13 2 4 8" xfId="12794"/>
    <cellStyle name="Input 13 2 4 9" xfId="12795"/>
    <cellStyle name="Input 13 2 5" xfId="12796"/>
    <cellStyle name="Input 13 2 5 2" xfId="12797"/>
    <cellStyle name="Input 13 2 5 2 2" xfId="12798"/>
    <cellStyle name="Input 13 2 5 2 2 2" xfId="12799"/>
    <cellStyle name="Input 13 2 5 2 2 2 2" xfId="12800"/>
    <cellStyle name="Input 13 2 5 2 2 3" xfId="12801"/>
    <cellStyle name="Input 13 2 5 2 2 3 2" xfId="12802"/>
    <cellStyle name="Input 13 2 5 2 2 4" xfId="12803"/>
    <cellStyle name="Input 13 2 5 2 2 5" xfId="12804"/>
    <cellStyle name="Input 13 2 5 2 2 6" xfId="12805"/>
    <cellStyle name="Input 13 2 5 2 3" xfId="12806"/>
    <cellStyle name="Input 13 2 5 2 3 2" xfId="12807"/>
    <cellStyle name="Input 13 2 5 2 4" xfId="12808"/>
    <cellStyle name="Input 13 2 5 2 4 2" xfId="12809"/>
    <cellStyle name="Input 13 2 5 2 5" xfId="12810"/>
    <cellStyle name="Input 13 2 5 2 6" xfId="12811"/>
    <cellStyle name="Input 13 2 5 2 7" xfId="12812"/>
    <cellStyle name="Input 13 2 5 3" xfId="12813"/>
    <cellStyle name="Input 13 2 5 3 2" xfId="12814"/>
    <cellStyle name="Input 13 2 5 3 2 2" xfId="12815"/>
    <cellStyle name="Input 13 2 5 3 3" xfId="12816"/>
    <cellStyle name="Input 13 2 5 3 3 2" xfId="12817"/>
    <cellStyle name="Input 13 2 5 3 4" xfId="12818"/>
    <cellStyle name="Input 13 2 5 3 5" xfId="12819"/>
    <cellStyle name="Input 13 2 5 3 6" xfId="12820"/>
    <cellStyle name="Input 13 2 5 4" xfId="12821"/>
    <cellStyle name="Input 13 2 5 4 2" xfId="12822"/>
    <cellStyle name="Input 13 2 5 5" xfId="12823"/>
    <cellStyle name="Input 13 2 5 5 2" xfId="12824"/>
    <cellStyle name="Input 13 2 5 6" xfId="12825"/>
    <cellStyle name="Input 13 2 5 7" xfId="12826"/>
    <cellStyle name="Input 13 2 5 8" xfId="12827"/>
    <cellStyle name="Input 13 2 6" xfId="12828"/>
    <cellStyle name="Input 13 2 6 2" xfId="12829"/>
    <cellStyle name="Input 13 2 6 2 2" xfId="12830"/>
    <cellStyle name="Input 13 2 6 2 2 2" xfId="12831"/>
    <cellStyle name="Input 13 2 6 2 3" xfId="12832"/>
    <cellStyle name="Input 13 2 6 2 3 2" xfId="12833"/>
    <cellStyle name="Input 13 2 6 2 4" xfId="12834"/>
    <cellStyle name="Input 13 2 6 2 5" xfId="12835"/>
    <cellStyle name="Input 13 2 6 2 6" xfId="12836"/>
    <cellStyle name="Input 13 2 6 3" xfId="12837"/>
    <cellStyle name="Input 13 2 6 3 2" xfId="12838"/>
    <cellStyle name="Input 13 2 6 4" xfId="12839"/>
    <cellStyle name="Input 13 2 6 4 2" xfId="12840"/>
    <cellStyle name="Input 13 2 6 5" xfId="12841"/>
    <cellStyle name="Input 13 2 6 6" xfId="12842"/>
    <cellStyle name="Input 13 2 6 7" xfId="12843"/>
    <cellStyle name="Input 13 2 7" xfId="12844"/>
    <cellStyle name="Input 13 2 7 2" xfId="12845"/>
    <cellStyle name="Input 13 2 7 2 2" xfId="12846"/>
    <cellStyle name="Input 13 2 7 3" xfId="12847"/>
    <cellStyle name="Input 13 2 7 3 2" xfId="12848"/>
    <cellStyle name="Input 13 2 7 4" xfId="12849"/>
    <cellStyle name="Input 13 2 7 5" xfId="12850"/>
    <cellStyle name="Input 13 2 7 6" xfId="12851"/>
    <cellStyle name="Input 13 2 8" xfId="12852"/>
    <cellStyle name="Input 13 2 8 2" xfId="12853"/>
    <cellStyle name="Input 13 2 9" xfId="12854"/>
    <cellStyle name="Input 13 2 9 2" xfId="12855"/>
    <cellStyle name="Input 13 3" xfId="12856"/>
    <cellStyle name="Input 13 3 10" xfId="12857"/>
    <cellStyle name="Input 13 3 11" xfId="12858"/>
    <cellStyle name="Input 13 3 2" xfId="12859"/>
    <cellStyle name="Input 13 3 2 10" xfId="12860"/>
    <cellStyle name="Input 13 3 2 2" xfId="12861"/>
    <cellStyle name="Input 13 3 2 2 10" xfId="12862"/>
    <cellStyle name="Input 13 3 2 2 2" xfId="12863"/>
    <cellStyle name="Input 13 3 2 2 2 2" xfId="12864"/>
    <cellStyle name="Input 13 3 2 2 2 2 2" xfId="12865"/>
    <cellStyle name="Input 13 3 2 2 2 2 2 2" xfId="12866"/>
    <cellStyle name="Input 13 3 2 2 2 2 2 2 2" xfId="12867"/>
    <cellStyle name="Input 13 3 2 2 2 2 2 3" xfId="12868"/>
    <cellStyle name="Input 13 3 2 2 2 2 2 3 2" xfId="12869"/>
    <cellStyle name="Input 13 3 2 2 2 2 2 4" xfId="12870"/>
    <cellStyle name="Input 13 3 2 2 2 2 2 5" xfId="12871"/>
    <cellStyle name="Input 13 3 2 2 2 2 2 6" xfId="12872"/>
    <cellStyle name="Input 13 3 2 2 2 2 3" xfId="12873"/>
    <cellStyle name="Input 13 3 2 2 2 2 3 2" xfId="12874"/>
    <cellStyle name="Input 13 3 2 2 2 2 4" xfId="12875"/>
    <cellStyle name="Input 13 3 2 2 2 2 4 2" xfId="12876"/>
    <cellStyle name="Input 13 3 2 2 2 2 5" xfId="12877"/>
    <cellStyle name="Input 13 3 2 2 2 2 6" xfId="12878"/>
    <cellStyle name="Input 13 3 2 2 2 2 7" xfId="12879"/>
    <cellStyle name="Input 13 3 2 2 2 3" xfId="12880"/>
    <cellStyle name="Input 13 3 2 2 2 3 2" xfId="12881"/>
    <cellStyle name="Input 13 3 2 2 2 3 2 2" xfId="12882"/>
    <cellStyle name="Input 13 3 2 2 2 3 3" xfId="12883"/>
    <cellStyle name="Input 13 3 2 2 2 3 3 2" xfId="12884"/>
    <cellStyle name="Input 13 3 2 2 2 3 4" xfId="12885"/>
    <cellStyle name="Input 13 3 2 2 2 3 5" xfId="12886"/>
    <cellStyle name="Input 13 3 2 2 2 3 6" xfId="12887"/>
    <cellStyle name="Input 13 3 2 2 2 4" xfId="12888"/>
    <cellStyle name="Input 13 3 2 2 2 4 2" xfId="12889"/>
    <cellStyle name="Input 13 3 2 2 2 5" xfId="12890"/>
    <cellStyle name="Input 13 3 2 2 2 5 2" xfId="12891"/>
    <cellStyle name="Input 13 3 2 2 2 6" xfId="12892"/>
    <cellStyle name="Input 13 3 2 2 2 7" xfId="12893"/>
    <cellStyle name="Input 13 3 2 2 2 8" xfId="12894"/>
    <cellStyle name="Input 13 3 2 2 3" xfId="12895"/>
    <cellStyle name="Input 13 3 2 2 3 2" xfId="12896"/>
    <cellStyle name="Input 13 3 2 2 3 2 2" xfId="12897"/>
    <cellStyle name="Input 13 3 2 2 3 2 2 2" xfId="12898"/>
    <cellStyle name="Input 13 3 2 2 3 2 2 2 2" xfId="12899"/>
    <cellStyle name="Input 13 3 2 2 3 2 2 3" xfId="12900"/>
    <cellStyle name="Input 13 3 2 2 3 2 2 3 2" xfId="12901"/>
    <cellStyle name="Input 13 3 2 2 3 2 2 4" xfId="12902"/>
    <cellStyle name="Input 13 3 2 2 3 2 2 5" xfId="12903"/>
    <cellStyle name="Input 13 3 2 2 3 2 2 6" xfId="12904"/>
    <cellStyle name="Input 13 3 2 2 3 2 3" xfId="12905"/>
    <cellStyle name="Input 13 3 2 2 3 2 3 2" xfId="12906"/>
    <cellStyle name="Input 13 3 2 2 3 2 4" xfId="12907"/>
    <cellStyle name="Input 13 3 2 2 3 2 4 2" xfId="12908"/>
    <cellStyle name="Input 13 3 2 2 3 2 5" xfId="12909"/>
    <cellStyle name="Input 13 3 2 2 3 2 6" xfId="12910"/>
    <cellStyle name="Input 13 3 2 2 3 2 7" xfId="12911"/>
    <cellStyle name="Input 13 3 2 2 3 3" xfId="12912"/>
    <cellStyle name="Input 13 3 2 2 3 3 2" xfId="12913"/>
    <cellStyle name="Input 13 3 2 2 3 3 2 2" xfId="12914"/>
    <cellStyle name="Input 13 3 2 2 3 3 3" xfId="12915"/>
    <cellStyle name="Input 13 3 2 2 3 3 3 2" xfId="12916"/>
    <cellStyle name="Input 13 3 2 2 3 3 4" xfId="12917"/>
    <cellStyle name="Input 13 3 2 2 3 3 5" xfId="12918"/>
    <cellStyle name="Input 13 3 2 2 3 3 6" xfId="12919"/>
    <cellStyle name="Input 13 3 2 2 3 4" xfId="12920"/>
    <cellStyle name="Input 13 3 2 2 3 4 2" xfId="12921"/>
    <cellStyle name="Input 13 3 2 2 3 5" xfId="12922"/>
    <cellStyle name="Input 13 3 2 2 3 5 2" xfId="12923"/>
    <cellStyle name="Input 13 3 2 2 3 6" xfId="12924"/>
    <cellStyle name="Input 13 3 2 2 3 7" xfId="12925"/>
    <cellStyle name="Input 13 3 2 2 3 8" xfId="12926"/>
    <cellStyle name="Input 13 3 2 2 4" xfId="12927"/>
    <cellStyle name="Input 13 3 2 2 4 2" xfId="12928"/>
    <cellStyle name="Input 13 3 2 2 4 2 2" xfId="12929"/>
    <cellStyle name="Input 13 3 2 2 4 2 2 2" xfId="12930"/>
    <cellStyle name="Input 13 3 2 2 4 2 3" xfId="12931"/>
    <cellStyle name="Input 13 3 2 2 4 2 3 2" xfId="12932"/>
    <cellStyle name="Input 13 3 2 2 4 2 4" xfId="12933"/>
    <cellStyle name="Input 13 3 2 2 4 2 5" xfId="12934"/>
    <cellStyle name="Input 13 3 2 2 4 2 6" xfId="12935"/>
    <cellStyle name="Input 13 3 2 2 4 3" xfId="12936"/>
    <cellStyle name="Input 13 3 2 2 4 3 2" xfId="12937"/>
    <cellStyle name="Input 13 3 2 2 4 4" xfId="12938"/>
    <cellStyle name="Input 13 3 2 2 4 4 2" xfId="12939"/>
    <cellStyle name="Input 13 3 2 2 4 5" xfId="12940"/>
    <cellStyle name="Input 13 3 2 2 4 6" xfId="12941"/>
    <cellStyle name="Input 13 3 2 2 4 7" xfId="12942"/>
    <cellStyle name="Input 13 3 2 2 5" xfId="12943"/>
    <cellStyle name="Input 13 3 2 2 5 2" xfId="12944"/>
    <cellStyle name="Input 13 3 2 2 5 2 2" xfId="12945"/>
    <cellStyle name="Input 13 3 2 2 5 3" xfId="12946"/>
    <cellStyle name="Input 13 3 2 2 5 3 2" xfId="12947"/>
    <cellStyle name="Input 13 3 2 2 5 4" xfId="12948"/>
    <cellStyle name="Input 13 3 2 2 5 5" xfId="12949"/>
    <cellStyle name="Input 13 3 2 2 5 6" xfId="12950"/>
    <cellStyle name="Input 13 3 2 2 6" xfId="12951"/>
    <cellStyle name="Input 13 3 2 2 6 2" xfId="12952"/>
    <cellStyle name="Input 13 3 2 2 7" xfId="12953"/>
    <cellStyle name="Input 13 3 2 2 7 2" xfId="12954"/>
    <cellStyle name="Input 13 3 2 2 8" xfId="12955"/>
    <cellStyle name="Input 13 3 2 2 9" xfId="12956"/>
    <cellStyle name="Input 13 3 2 3" xfId="12957"/>
    <cellStyle name="Input 13 3 2 3 2" xfId="12958"/>
    <cellStyle name="Input 13 3 2 3 2 2" xfId="12959"/>
    <cellStyle name="Input 13 3 2 3 2 2 2" xfId="12960"/>
    <cellStyle name="Input 13 3 2 3 2 2 2 2" xfId="12961"/>
    <cellStyle name="Input 13 3 2 3 2 2 3" xfId="12962"/>
    <cellStyle name="Input 13 3 2 3 2 2 3 2" xfId="12963"/>
    <cellStyle name="Input 13 3 2 3 2 2 4" xfId="12964"/>
    <cellStyle name="Input 13 3 2 3 2 2 5" xfId="12965"/>
    <cellStyle name="Input 13 3 2 3 2 2 6" xfId="12966"/>
    <cellStyle name="Input 13 3 2 3 2 3" xfId="12967"/>
    <cellStyle name="Input 13 3 2 3 2 3 2" xfId="12968"/>
    <cellStyle name="Input 13 3 2 3 2 4" xfId="12969"/>
    <cellStyle name="Input 13 3 2 3 2 4 2" xfId="12970"/>
    <cellStyle name="Input 13 3 2 3 2 5" xfId="12971"/>
    <cellStyle name="Input 13 3 2 3 2 6" xfId="12972"/>
    <cellStyle name="Input 13 3 2 3 2 7" xfId="12973"/>
    <cellStyle name="Input 13 3 2 3 3" xfId="12974"/>
    <cellStyle name="Input 13 3 2 3 3 2" xfId="12975"/>
    <cellStyle name="Input 13 3 2 3 3 2 2" xfId="12976"/>
    <cellStyle name="Input 13 3 2 3 3 3" xfId="12977"/>
    <cellStyle name="Input 13 3 2 3 3 3 2" xfId="12978"/>
    <cellStyle name="Input 13 3 2 3 3 4" xfId="12979"/>
    <cellStyle name="Input 13 3 2 3 3 5" xfId="12980"/>
    <cellStyle name="Input 13 3 2 3 3 6" xfId="12981"/>
    <cellStyle name="Input 13 3 2 3 4" xfId="12982"/>
    <cellStyle name="Input 13 3 2 3 4 2" xfId="12983"/>
    <cellStyle name="Input 13 3 2 3 5" xfId="12984"/>
    <cellStyle name="Input 13 3 2 3 5 2" xfId="12985"/>
    <cellStyle name="Input 13 3 2 3 6" xfId="12986"/>
    <cellStyle name="Input 13 3 2 3 7" xfId="12987"/>
    <cellStyle name="Input 13 3 2 3 8" xfId="12988"/>
    <cellStyle name="Input 13 3 2 4" xfId="12989"/>
    <cellStyle name="Input 13 3 2 4 2" xfId="12990"/>
    <cellStyle name="Input 13 3 2 4 2 2" xfId="12991"/>
    <cellStyle name="Input 13 3 2 4 2 2 2" xfId="12992"/>
    <cellStyle name="Input 13 3 2 4 2 3" xfId="12993"/>
    <cellStyle name="Input 13 3 2 4 2 3 2" xfId="12994"/>
    <cellStyle name="Input 13 3 2 4 2 4" xfId="12995"/>
    <cellStyle name="Input 13 3 2 4 2 5" xfId="12996"/>
    <cellStyle name="Input 13 3 2 4 2 6" xfId="12997"/>
    <cellStyle name="Input 13 3 2 4 3" xfId="12998"/>
    <cellStyle name="Input 13 3 2 4 3 2" xfId="12999"/>
    <cellStyle name="Input 13 3 2 4 4" xfId="13000"/>
    <cellStyle name="Input 13 3 2 4 4 2" xfId="13001"/>
    <cellStyle name="Input 13 3 2 4 5" xfId="13002"/>
    <cellStyle name="Input 13 3 2 4 6" xfId="13003"/>
    <cellStyle name="Input 13 3 2 4 7" xfId="13004"/>
    <cellStyle name="Input 13 3 2 5" xfId="13005"/>
    <cellStyle name="Input 13 3 2 5 2" xfId="13006"/>
    <cellStyle name="Input 13 3 2 5 2 2" xfId="13007"/>
    <cellStyle name="Input 13 3 2 5 3" xfId="13008"/>
    <cellStyle name="Input 13 3 2 5 3 2" xfId="13009"/>
    <cellStyle name="Input 13 3 2 5 4" xfId="13010"/>
    <cellStyle name="Input 13 3 2 5 5" xfId="13011"/>
    <cellStyle name="Input 13 3 2 5 6" xfId="13012"/>
    <cellStyle name="Input 13 3 2 6" xfId="13013"/>
    <cellStyle name="Input 13 3 2 6 2" xfId="13014"/>
    <cellStyle name="Input 13 3 2 7" xfId="13015"/>
    <cellStyle name="Input 13 3 2 7 2" xfId="13016"/>
    <cellStyle name="Input 13 3 2 8" xfId="13017"/>
    <cellStyle name="Input 13 3 2 9" xfId="13018"/>
    <cellStyle name="Input 13 3 3" xfId="13019"/>
    <cellStyle name="Input 13 3 3 10" xfId="13020"/>
    <cellStyle name="Input 13 3 3 2" xfId="13021"/>
    <cellStyle name="Input 13 3 3 2 2" xfId="13022"/>
    <cellStyle name="Input 13 3 3 2 2 2" xfId="13023"/>
    <cellStyle name="Input 13 3 3 2 2 2 2" xfId="13024"/>
    <cellStyle name="Input 13 3 3 2 2 2 2 2" xfId="13025"/>
    <cellStyle name="Input 13 3 3 2 2 2 3" xfId="13026"/>
    <cellStyle name="Input 13 3 3 2 2 2 3 2" xfId="13027"/>
    <cellStyle name="Input 13 3 3 2 2 2 4" xfId="13028"/>
    <cellStyle name="Input 13 3 3 2 2 2 5" xfId="13029"/>
    <cellStyle name="Input 13 3 3 2 2 2 6" xfId="13030"/>
    <cellStyle name="Input 13 3 3 2 2 3" xfId="13031"/>
    <cellStyle name="Input 13 3 3 2 2 3 2" xfId="13032"/>
    <cellStyle name="Input 13 3 3 2 2 4" xfId="13033"/>
    <cellStyle name="Input 13 3 3 2 2 4 2" xfId="13034"/>
    <cellStyle name="Input 13 3 3 2 2 5" xfId="13035"/>
    <cellStyle name="Input 13 3 3 2 2 6" xfId="13036"/>
    <cellStyle name="Input 13 3 3 2 2 7" xfId="13037"/>
    <cellStyle name="Input 13 3 3 2 3" xfId="13038"/>
    <cellStyle name="Input 13 3 3 2 3 2" xfId="13039"/>
    <cellStyle name="Input 13 3 3 2 3 2 2" xfId="13040"/>
    <cellStyle name="Input 13 3 3 2 3 3" xfId="13041"/>
    <cellStyle name="Input 13 3 3 2 3 3 2" xfId="13042"/>
    <cellStyle name="Input 13 3 3 2 3 4" xfId="13043"/>
    <cellStyle name="Input 13 3 3 2 3 5" xfId="13044"/>
    <cellStyle name="Input 13 3 3 2 3 6" xfId="13045"/>
    <cellStyle name="Input 13 3 3 2 4" xfId="13046"/>
    <cellStyle name="Input 13 3 3 2 4 2" xfId="13047"/>
    <cellStyle name="Input 13 3 3 2 5" xfId="13048"/>
    <cellStyle name="Input 13 3 3 2 5 2" xfId="13049"/>
    <cellStyle name="Input 13 3 3 2 6" xfId="13050"/>
    <cellStyle name="Input 13 3 3 2 7" xfId="13051"/>
    <cellStyle name="Input 13 3 3 2 8" xfId="13052"/>
    <cellStyle name="Input 13 3 3 3" xfId="13053"/>
    <cellStyle name="Input 13 3 3 3 2" xfId="13054"/>
    <cellStyle name="Input 13 3 3 3 2 2" xfId="13055"/>
    <cellStyle name="Input 13 3 3 3 2 2 2" xfId="13056"/>
    <cellStyle name="Input 13 3 3 3 2 2 2 2" xfId="13057"/>
    <cellStyle name="Input 13 3 3 3 2 2 3" xfId="13058"/>
    <cellStyle name="Input 13 3 3 3 2 2 3 2" xfId="13059"/>
    <cellStyle name="Input 13 3 3 3 2 2 4" xfId="13060"/>
    <cellStyle name="Input 13 3 3 3 2 2 5" xfId="13061"/>
    <cellStyle name="Input 13 3 3 3 2 2 6" xfId="13062"/>
    <cellStyle name="Input 13 3 3 3 2 3" xfId="13063"/>
    <cellStyle name="Input 13 3 3 3 2 3 2" xfId="13064"/>
    <cellStyle name="Input 13 3 3 3 2 4" xfId="13065"/>
    <cellStyle name="Input 13 3 3 3 2 4 2" xfId="13066"/>
    <cellStyle name="Input 13 3 3 3 2 5" xfId="13067"/>
    <cellStyle name="Input 13 3 3 3 2 6" xfId="13068"/>
    <cellStyle name="Input 13 3 3 3 2 7" xfId="13069"/>
    <cellStyle name="Input 13 3 3 3 3" xfId="13070"/>
    <cellStyle name="Input 13 3 3 3 3 2" xfId="13071"/>
    <cellStyle name="Input 13 3 3 3 3 2 2" xfId="13072"/>
    <cellStyle name="Input 13 3 3 3 3 3" xfId="13073"/>
    <cellStyle name="Input 13 3 3 3 3 3 2" xfId="13074"/>
    <cellStyle name="Input 13 3 3 3 3 4" xfId="13075"/>
    <cellStyle name="Input 13 3 3 3 3 5" xfId="13076"/>
    <cellStyle name="Input 13 3 3 3 3 6" xfId="13077"/>
    <cellStyle name="Input 13 3 3 3 4" xfId="13078"/>
    <cellStyle name="Input 13 3 3 3 4 2" xfId="13079"/>
    <cellStyle name="Input 13 3 3 3 5" xfId="13080"/>
    <cellStyle name="Input 13 3 3 3 5 2" xfId="13081"/>
    <cellStyle name="Input 13 3 3 3 6" xfId="13082"/>
    <cellStyle name="Input 13 3 3 3 7" xfId="13083"/>
    <cellStyle name="Input 13 3 3 3 8" xfId="13084"/>
    <cellStyle name="Input 13 3 3 4" xfId="13085"/>
    <cellStyle name="Input 13 3 3 4 2" xfId="13086"/>
    <cellStyle name="Input 13 3 3 4 2 2" xfId="13087"/>
    <cellStyle name="Input 13 3 3 4 2 2 2" xfId="13088"/>
    <cellStyle name="Input 13 3 3 4 2 3" xfId="13089"/>
    <cellStyle name="Input 13 3 3 4 2 3 2" xfId="13090"/>
    <cellStyle name="Input 13 3 3 4 2 4" xfId="13091"/>
    <cellStyle name="Input 13 3 3 4 2 5" xfId="13092"/>
    <cellStyle name="Input 13 3 3 4 2 6" xfId="13093"/>
    <cellStyle name="Input 13 3 3 4 3" xfId="13094"/>
    <cellStyle name="Input 13 3 3 4 3 2" xfId="13095"/>
    <cellStyle name="Input 13 3 3 4 4" xfId="13096"/>
    <cellStyle name="Input 13 3 3 4 4 2" xfId="13097"/>
    <cellStyle name="Input 13 3 3 4 5" xfId="13098"/>
    <cellStyle name="Input 13 3 3 4 6" xfId="13099"/>
    <cellStyle name="Input 13 3 3 4 7" xfId="13100"/>
    <cellStyle name="Input 13 3 3 5" xfId="13101"/>
    <cellStyle name="Input 13 3 3 5 2" xfId="13102"/>
    <cellStyle name="Input 13 3 3 5 2 2" xfId="13103"/>
    <cellStyle name="Input 13 3 3 5 3" xfId="13104"/>
    <cellStyle name="Input 13 3 3 5 3 2" xfId="13105"/>
    <cellStyle name="Input 13 3 3 5 4" xfId="13106"/>
    <cellStyle name="Input 13 3 3 5 5" xfId="13107"/>
    <cellStyle name="Input 13 3 3 5 6" xfId="13108"/>
    <cellStyle name="Input 13 3 3 6" xfId="13109"/>
    <cellStyle name="Input 13 3 3 6 2" xfId="13110"/>
    <cellStyle name="Input 13 3 3 7" xfId="13111"/>
    <cellStyle name="Input 13 3 3 7 2" xfId="13112"/>
    <cellStyle name="Input 13 3 3 8" xfId="13113"/>
    <cellStyle name="Input 13 3 3 9" xfId="13114"/>
    <cellStyle name="Input 13 3 4" xfId="13115"/>
    <cellStyle name="Input 13 3 4 2" xfId="13116"/>
    <cellStyle name="Input 13 3 4 2 2" xfId="13117"/>
    <cellStyle name="Input 13 3 4 2 2 2" xfId="13118"/>
    <cellStyle name="Input 13 3 4 2 2 2 2" xfId="13119"/>
    <cellStyle name="Input 13 3 4 2 2 3" xfId="13120"/>
    <cellStyle name="Input 13 3 4 2 2 3 2" xfId="13121"/>
    <cellStyle name="Input 13 3 4 2 2 4" xfId="13122"/>
    <cellStyle name="Input 13 3 4 2 2 5" xfId="13123"/>
    <cellStyle name="Input 13 3 4 2 2 6" xfId="13124"/>
    <cellStyle name="Input 13 3 4 2 3" xfId="13125"/>
    <cellStyle name="Input 13 3 4 2 3 2" xfId="13126"/>
    <cellStyle name="Input 13 3 4 2 4" xfId="13127"/>
    <cellStyle name="Input 13 3 4 2 4 2" xfId="13128"/>
    <cellStyle name="Input 13 3 4 2 5" xfId="13129"/>
    <cellStyle name="Input 13 3 4 2 6" xfId="13130"/>
    <cellStyle name="Input 13 3 4 2 7" xfId="13131"/>
    <cellStyle name="Input 13 3 4 3" xfId="13132"/>
    <cellStyle name="Input 13 3 4 3 2" xfId="13133"/>
    <cellStyle name="Input 13 3 4 3 2 2" xfId="13134"/>
    <cellStyle name="Input 13 3 4 3 3" xfId="13135"/>
    <cellStyle name="Input 13 3 4 3 3 2" xfId="13136"/>
    <cellStyle name="Input 13 3 4 3 4" xfId="13137"/>
    <cellStyle name="Input 13 3 4 3 5" xfId="13138"/>
    <cellStyle name="Input 13 3 4 3 6" xfId="13139"/>
    <cellStyle name="Input 13 3 4 4" xfId="13140"/>
    <cellStyle name="Input 13 3 4 4 2" xfId="13141"/>
    <cellStyle name="Input 13 3 4 5" xfId="13142"/>
    <cellStyle name="Input 13 3 4 5 2" xfId="13143"/>
    <cellStyle name="Input 13 3 4 6" xfId="13144"/>
    <cellStyle name="Input 13 3 4 7" xfId="13145"/>
    <cellStyle name="Input 13 3 4 8" xfId="13146"/>
    <cellStyle name="Input 13 3 5" xfId="13147"/>
    <cellStyle name="Input 13 3 5 2" xfId="13148"/>
    <cellStyle name="Input 13 3 5 2 2" xfId="13149"/>
    <cellStyle name="Input 13 3 5 2 2 2" xfId="13150"/>
    <cellStyle name="Input 13 3 5 2 3" xfId="13151"/>
    <cellStyle name="Input 13 3 5 2 3 2" xfId="13152"/>
    <cellStyle name="Input 13 3 5 2 4" xfId="13153"/>
    <cellStyle name="Input 13 3 5 2 5" xfId="13154"/>
    <cellStyle name="Input 13 3 5 2 6" xfId="13155"/>
    <cellStyle name="Input 13 3 5 3" xfId="13156"/>
    <cellStyle name="Input 13 3 5 3 2" xfId="13157"/>
    <cellStyle name="Input 13 3 5 4" xfId="13158"/>
    <cellStyle name="Input 13 3 5 4 2" xfId="13159"/>
    <cellStyle name="Input 13 3 5 5" xfId="13160"/>
    <cellStyle name="Input 13 3 5 6" xfId="13161"/>
    <cellStyle name="Input 13 3 5 7" xfId="13162"/>
    <cellStyle name="Input 13 3 6" xfId="13163"/>
    <cellStyle name="Input 13 3 6 2" xfId="13164"/>
    <cellStyle name="Input 13 3 6 2 2" xfId="13165"/>
    <cellStyle name="Input 13 3 6 3" xfId="13166"/>
    <cellStyle name="Input 13 3 6 3 2" xfId="13167"/>
    <cellStyle name="Input 13 3 6 4" xfId="13168"/>
    <cellStyle name="Input 13 3 6 5" xfId="13169"/>
    <cellStyle name="Input 13 3 6 6" xfId="13170"/>
    <cellStyle name="Input 13 3 7" xfId="13171"/>
    <cellStyle name="Input 13 3 7 2" xfId="13172"/>
    <cellStyle name="Input 13 3 8" xfId="13173"/>
    <cellStyle name="Input 13 3 8 2" xfId="13174"/>
    <cellStyle name="Input 13 3 9" xfId="13175"/>
    <cellStyle name="Input 13 4" xfId="13176"/>
    <cellStyle name="Input 13 4 10" xfId="13177"/>
    <cellStyle name="Input 13 4 11" xfId="13178"/>
    <cellStyle name="Input 13 4 2" xfId="13179"/>
    <cellStyle name="Input 13 4 2 10" xfId="13180"/>
    <cellStyle name="Input 13 4 2 2" xfId="13181"/>
    <cellStyle name="Input 13 4 2 2 2" xfId="13182"/>
    <cellStyle name="Input 13 4 2 2 2 2" xfId="13183"/>
    <cellStyle name="Input 13 4 2 2 2 2 2" xfId="13184"/>
    <cellStyle name="Input 13 4 2 2 2 2 2 2" xfId="13185"/>
    <cellStyle name="Input 13 4 2 2 2 2 3" xfId="13186"/>
    <cellStyle name="Input 13 4 2 2 2 2 3 2" xfId="13187"/>
    <cellStyle name="Input 13 4 2 2 2 2 4" xfId="13188"/>
    <cellStyle name="Input 13 4 2 2 2 2 5" xfId="13189"/>
    <cellStyle name="Input 13 4 2 2 2 2 6" xfId="13190"/>
    <cellStyle name="Input 13 4 2 2 2 3" xfId="13191"/>
    <cellStyle name="Input 13 4 2 2 2 3 2" xfId="13192"/>
    <cellStyle name="Input 13 4 2 2 2 4" xfId="13193"/>
    <cellStyle name="Input 13 4 2 2 2 4 2" xfId="13194"/>
    <cellStyle name="Input 13 4 2 2 2 5" xfId="13195"/>
    <cellStyle name="Input 13 4 2 2 2 6" xfId="13196"/>
    <cellStyle name="Input 13 4 2 2 2 7" xfId="13197"/>
    <cellStyle name="Input 13 4 2 2 3" xfId="13198"/>
    <cellStyle name="Input 13 4 2 2 3 2" xfId="13199"/>
    <cellStyle name="Input 13 4 2 2 3 2 2" xfId="13200"/>
    <cellStyle name="Input 13 4 2 2 3 3" xfId="13201"/>
    <cellStyle name="Input 13 4 2 2 3 3 2" xfId="13202"/>
    <cellStyle name="Input 13 4 2 2 3 4" xfId="13203"/>
    <cellStyle name="Input 13 4 2 2 3 5" xfId="13204"/>
    <cellStyle name="Input 13 4 2 2 3 6" xfId="13205"/>
    <cellStyle name="Input 13 4 2 2 4" xfId="13206"/>
    <cellStyle name="Input 13 4 2 2 4 2" xfId="13207"/>
    <cellStyle name="Input 13 4 2 2 5" xfId="13208"/>
    <cellStyle name="Input 13 4 2 2 5 2" xfId="13209"/>
    <cellStyle name="Input 13 4 2 2 6" xfId="13210"/>
    <cellStyle name="Input 13 4 2 2 7" xfId="13211"/>
    <cellStyle name="Input 13 4 2 2 8" xfId="13212"/>
    <cellStyle name="Input 13 4 2 3" xfId="13213"/>
    <cellStyle name="Input 13 4 2 3 2" xfId="13214"/>
    <cellStyle name="Input 13 4 2 3 2 2" xfId="13215"/>
    <cellStyle name="Input 13 4 2 3 2 2 2" xfId="13216"/>
    <cellStyle name="Input 13 4 2 3 2 2 2 2" xfId="13217"/>
    <cellStyle name="Input 13 4 2 3 2 2 3" xfId="13218"/>
    <cellStyle name="Input 13 4 2 3 2 2 3 2" xfId="13219"/>
    <cellStyle name="Input 13 4 2 3 2 2 4" xfId="13220"/>
    <cellStyle name="Input 13 4 2 3 2 2 5" xfId="13221"/>
    <cellStyle name="Input 13 4 2 3 2 2 6" xfId="13222"/>
    <cellStyle name="Input 13 4 2 3 2 3" xfId="13223"/>
    <cellStyle name="Input 13 4 2 3 2 3 2" xfId="13224"/>
    <cellStyle name="Input 13 4 2 3 2 4" xfId="13225"/>
    <cellStyle name="Input 13 4 2 3 2 4 2" xfId="13226"/>
    <cellStyle name="Input 13 4 2 3 2 5" xfId="13227"/>
    <cellStyle name="Input 13 4 2 3 2 6" xfId="13228"/>
    <cellStyle name="Input 13 4 2 3 2 7" xfId="13229"/>
    <cellStyle name="Input 13 4 2 3 3" xfId="13230"/>
    <cellStyle name="Input 13 4 2 3 3 2" xfId="13231"/>
    <cellStyle name="Input 13 4 2 3 3 2 2" xfId="13232"/>
    <cellStyle name="Input 13 4 2 3 3 3" xfId="13233"/>
    <cellStyle name="Input 13 4 2 3 3 3 2" xfId="13234"/>
    <cellStyle name="Input 13 4 2 3 3 4" xfId="13235"/>
    <cellStyle name="Input 13 4 2 3 3 5" xfId="13236"/>
    <cellStyle name="Input 13 4 2 3 3 6" xfId="13237"/>
    <cellStyle name="Input 13 4 2 3 4" xfId="13238"/>
    <cellStyle name="Input 13 4 2 3 4 2" xfId="13239"/>
    <cellStyle name="Input 13 4 2 3 5" xfId="13240"/>
    <cellStyle name="Input 13 4 2 3 5 2" xfId="13241"/>
    <cellStyle name="Input 13 4 2 3 6" xfId="13242"/>
    <cellStyle name="Input 13 4 2 3 7" xfId="13243"/>
    <cellStyle name="Input 13 4 2 3 8" xfId="13244"/>
    <cellStyle name="Input 13 4 2 4" xfId="13245"/>
    <cellStyle name="Input 13 4 2 4 2" xfId="13246"/>
    <cellStyle name="Input 13 4 2 4 2 2" xfId="13247"/>
    <cellStyle name="Input 13 4 2 4 2 2 2" xfId="13248"/>
    <cellStyle name="Input 13 4 2 4 2 3" xfId="13249"/>
    <cellStyle name="Input 13 4 2 4 2 3 2" xfId="13250"/>
    <cellStyle name="Input 13 4 2 4 2 4" xfId="13251"/>
    <cellStyle name="Input 13 4 2 4 2 5" xfId="13252"/>
    <cellStyle name="Input 13 4 2 4 2 6" xfId="13253"/>
    <cellStyle name="Input 13 4 2 4 3" xfId="13254"/>
    <cellStyle name="Input 13 4 2 4 3 2" xfId="13255"/>
    <cellStyle name="Input 13 4 2 4 4" xfId="13256"/>
    <cellStyle name="Input 13 4 2 4 4 2" xfId="13257"/>
    <cellStyle name="Input 13 4 2 4 5" xfId="13258"/>
    <cellStyle name="Input 13 4 2 4 6" xfId="13259"/>
    <cellStyle name="Input 13 4 2 4 7" xfId="13260"/>
    <cellStyle name="Input 13 4 2 5" xfId="13261"/>
    <cellStyle name="Input 13 4 2 5 2" xfId="13262"/>
    <cellStyle name="Input 13 4 2 5 2 2" xfId="13263"/>
    <cellStyle name="Input 13 4 2 5 3" xfId="13264"/>
    <cellStyle name="Input 13 4 2 5 3 2" xfId="13265"/>
    <cellStyle name="Input 13 4 2 5 4" xfId="13266"/>
    <cellStyle name="Input 13 4 2 5 5" xfId="13267"/>
    <cellStyle name="Input 13 4 2 5 6" xfId="13268"/>
    <cellStyle name="Input 13 4 2 6" xfId="13269"/>
    <cellStyle name="Input 13 4 2 6 2" xfId="13270"/>
    <cellStyle name="Input 13 4 2 7" xfId="13271"/>
    <cellStyle name="Input 13 4 2 7 2" xfId="13272"/>
    <cellStyle name="Input 13 4 2 8" xfId="13273"/>
    <cellStyle name="Input 13 4 2 9" xfId="13274"/>
    <cellStyle name="Input 13 4 3" xfId="13275"/>
    <cellStyle name="Input 13 4 3 2" xfId="13276"/>
    <cellStyle name="Input 13 4 3 2 2" xfId="13277"/>
    <cellStyle name="Input 13 4 3 2 2 2" xfId="13278"/>
    <cellStyle name="Input 13 4 3 2 2 2 2" xfId="13279"/>
    <cellStyle name="Input 13 4 3 2 2 3" xfId="13280"/>
    <cellStyle name="Input 13 4 3 2 2 3 2" xfId="13281"/>
    <cellStyle name="Input 13 4 3 2 2 4" xfId="13282"/>
    <cellStyle name="Input 13 4 3 2 2 5" xfId="13283"/>
    <cellStyle name="Input 13 4 3 2 2 6" xfId="13284"/>
    <cellStyle name="Input 13 4 3 2 3" xfId="13285"/>
    <cellStyle name="Input 13 4 3 2 3 2" xfId="13286"/>
    <cellStyle name="Input 13 4 3 2 4" xfId="13287"/>
    <cellStyle name="Input 13 4 3 2 4 2" xfId="13288"/>
    <cellStyle name="Input 13 4 3 2 5" xfId="13289"/>
    <cellStyle name="Input 13 4 3 2 6" xfId="13290"/>
    <cellStyle name="Input 13 4 3 2 7" xfId="13291"/>
    <cellStyle name="Input 13 4 3 3" xfId="13292"/>
    <cellStyle name="Input 13 4 3 3 2" xfId="13293"/>
    <cellStyle name="Input 13 4 3 3 2 2" xfId="13294"/>
    <cellStyle name="Input 13 4 3 3 3" xfId="13295"/>
    <cellStyle name="Input 13 4 3 3 3 2" xfId="13296"/>
    <cellStyle name="Input 13 4 3 3 4" xfId="13297"/>
    <cellStyle name="Input 13 4 3 3 5" xfId="13298"/>
    <cellStyle name="Input 13 4 3 3 6" xfId="13299"/>
    <cellStyle name="Input 13 4 3 4" xfId="13300"/>
    <cellStyle name="Input 13 4 3 4 2" xfId="13301"/>
    <cellStyle name="Input 13 4 3 5" xfId="13302"/>
    <cellStyle name="Input 13 4 3 5 2" xfId="13303"/>
    <cellStyle name="Input 13 4 3 6" xfId="13304"/>
    <cellStyle name="Input 13 4 3 7" xfId="13305"/>
    <cellStyle name="Input 13 4 3 8" xfId="13306"/>
    <cellStyle name="Input 13 4 4" xfId="13307"/>
    <cellStyle name="Input 13 4 4 2" xfId="13308"/>
    <cellStyle name="Input 13 4 4 2 2" xfId="13309"/>
    <cellStyle name="Input 13 4 4 2 2 2" xfId="13310"/>
    <cellStyle name="Input 13 4 4 2 2 2 2" xfId="13311"/>
    <cellStyle name="Input 13 4 4 2 2 3" xfId="13312"/>
    <cellStyle name="Input 13 4 4 2 2 3 2" xfId="13313"/>
    <cellStyle name="Input 13 4 4 2 2 4" xfId="13314"/>
    <cellStyle name="Input 13 4 4 2 2 5" xfId="13315"/>
    <cellStyle name="Input 13 4 4 2 2 6" xfId="13316"/>
    <cellStyle name="Input 13 4 4 2 3" xfId="13317"/>
    <cellStyle name="Input 13 4 4 2 3 2" xfId="13318"/>
    <cellStyle name="Input 13 4 4 2 4" xfId="13319"/>
    <cellStyle name="Input 13 4 4 2 4 2" xfId="13320"/>
    <cellStyle name="Input 13 4 4 2 5" xfId="13321"/>
    <cellStyle name="Input 13 4 4 2 6" xfId="13322"/>
    <cellStyle name="Input 13 4 4 2 7" xfId="13323"/>
    <cellStyle name="Input 13 4 4 3" xfId="13324"/>
    <cellStyle name="Input 13 4 4 3 2" xfId="13325"/>
    <cellStyle name="Input 13 4 4 3 2 2" xfId="13326"/>
    <cellStyle name="Input 13 4 4 3 3" xfId="13327"/>
    <cellStyle name="Input 13 4 4 3 3 2" xfId="13328"/>
    <cellStyle name="Input 13 4 4 3 4" xfId="13329"/>
    <cellStyle name="Input 13 4 4 3 5" xfId="13330"/>
    <cellStyle name="Input 13 4 4 3 6" xfId="13331"/>
    <cellStyle name="Input 13 4 4 4" xfId="13332"/>
    <cellStyle name="Input 13 4 4 4 2" xfId="13333"/>
    <cellStyle name="Input 13 4 4 5" xfId="13334"/>
    <cellStyle name="Input 13 4 4 5 2" xfId="13335"/>
    <cellStyle name="Input 13 4 4 6" xfId="13336"/>
    <cellStyle name="Input 13 4 4 7" xfId="13337"/>
    <cellStyle name="Input 13 4 4 8" xfId="13338"/>
    <cellStyle name="Input 13 4 5" xfId="13339"/>
    <cellStyle name="Input 13 4 5 2" xfId="13340"/>
    <cellStyle name="Input 13 4 5 2 2" xfId="13341"/>
    <cellStyle name="Input 13 4 5 2 2 2" xfId="13342"/>
    <cellStyle name="Input 13 4 5 2 3" xfId="13343"/>
    <cellStyle name="Input 13 4 5 2 3 2" xfId="13344"/>
    <cellStyle name="Input 13 4 5 2 4" xfId="13345"/>
    <cellStyle name="Input 13 4 5 2 5" xfId="13346"/>
    <cellStyle name="Input 13 4 5 2 6" xfId="13347"/>
    <cellStyle name="Input 13 4 5 3" xfId="13348"/>
    <cellStyle name="Input 13 4 5 3 2" xfId="13349"/>
    <cellStyle name="Input 13 4 5 4" xfId="13350"/>
    <cellStyle name="Input 13 4 5 4 2" xfId="13351"/>
    <cellStyle name="Input 13 4 5 5" xfId="13352"/>
    <cellStyle name="Input 13 4 5 6" xfId="13353"/>
    <cellStyle name="Input 13 4 5 7" xfId="13354"/>
    <cellStyle name="Input 13 4 6" xfId="13355"/>
    <cellStyle name="Input 13 4 6 2" xfId="13356"/>
    <cellStyle name="Input 13 4 6 2 2" xfId="13357"/>
    <cellStyle name="Input 13 4 6 3" xfId="13358"/>
    <cellStyle name="Input 13 4 6 3 2" xfId="13359"/>
    <cellStyle name="Input 13 4 6 4" xfId="13360"/>
    <cellStyle name="Input 13 4 6 5" xfId="13361"/>
    <cellStyle name="Input 13 4 6 6" xfId="13362"/>
    <cellStyle name="Input 13 4 7" xfId="13363"/>
    <cellStyle name="Input 13 4 7 2" xfId="13364"/>
    <cellStyle name="Input 13 4 8" xfId="13365"/>
    <cellStyle name="Input 13 4 8 2" xfId="13366"/>
    <cellStyle name="Input 13 4 9" xfId="13367"/>
    <cellStyle name="Input 13 5" xfId="13368"/>
    <cellStyle name="Input 13 5 10" xfId="13369"/>
    <cellStyle name="Input 13 5 2" xfId="13370"/>
    <cellStyle name="Input 13 5 2 2" xfId="13371"/>
    <cellStyle name="Input 13 5 2 2 2" xfId="13372"/>
    <cellStyle name="Input 13 5 2 2 2 2" xfId="13373"/>
    <cellStyle name="Input 13 5 2 2 2 2 2" xfId="13374"/>
    <cellStyle name="Input 13 5 2 2 2 3" xfId="13375"/>
    <cellStyle name="Input 13 5 2 2 2 3 2" xfId="13376"/>
    <cellStyle name="Input 13 5 2 2 2 4" xfId="13377"/>
    <cellStyle name="Input 13 5 2 2 2 5" xfId="13378"/>
    <cellStyle name="Input 13 5 2 2 2 6" xfId="13379"/>
    <cellStyle name="Input 13 5 2 2 3" xfId="13380"/>
    <cellStyle name="Input 13 5 2 2 3 2" xfId="13381"/>
    <cellStyle name="Input 13 5 2 2 4" xfId="13382"/>
    <cellStyle name="Input 13 5 2 2 4 2" xfId="13383"/>
    <cellStyle name="Input 13 5 2 2 5" xfId="13384"/>
    <cellStyle name="Input 13 5 2 2 6" xfId="13385"/>
    <cellStyle name="Input 13 5 2 2 7" xfId="13386"/>
    <cellStyle name="Input 13 5 2 3" xfId="13387"/>
    <cellStyle name="Input 13 5 2 3 2" xfId="13388"/>
    <cellStyle name="Input 13 5 2 3 2 2" xfId="13389"/>
    <cellStyle name="Input 13 5 2 3 3" xfId="13390"/>
    <cellStyle name="Input 13 5 2 3 3 2" xfId="13391"/>
    <cellStyle name="Input 13 5 2 3 4" xfId="13392"/>
    <cellStyle name="Input 13 5 2 3 5" xfId="13393"/>
    <cellStyle name="Input 13 5 2 3 6" xfId="13394"/>
    <cellStyle name="Input 13 5 2 4" xfId="13395"/>
    <cellStyle name="Input 13 5 2 4 2" xfId="13396"/>
    <cellStyle name="Input 13 5 2 5" xfId="13397"/>
    <cellStyle name="Input 13 5 2 5 2" xfId="13398"/>
    <cellStyle name="Input 13 5 2 6" xfId="13399"/>
    <cellStyle name="Input 13 5 2 7" xfId="13400"/>
    <cellStyle name="Input 13 5 2 8" xfId="13401"/>
    <cellStyle name="Input 13 5 3" xfId="13402"/>
    <cellStyle name="Input 13 5 3 2" xfId="13403"/>
    <cellStyle name="Input 13 5 3 2 2" xfId="13404"/>
    <cellStyle name="Input 13 5 3 2 2 2" xfId="13405"/>
    <cellStyle name="Input 13 5 3 2 2 2 2" xfId="13406"/>
    <cellStyle name="Input 13 5 3 2 2 3" xfId="13407"/>
    <cellStyle name="Input 13 5 3 2 2 3 2" xfId="13408"/>
    <cellStyle name="Input 13 5 3 2 2 4" xfId="13409"/>
    <cellStyle name="Input 13 5 3 2 2 5" xfId="13410"/>
    <cellStyle name="Input 13 5 3 2 2 6" xfId="13411"/>
    <cellStyle name="Input 13 5 3 2 3" xfId="13412"/>
    <cellStyle name="Input 13 5 3 2 3 2" xfId="13413"/>
    <cellStyle name="Input 13 5 3 2 4" xfId="13414"/>
    <cellStyle name="Input 13 5 3 2 4 2" xfId="13415"/>
    <cellStyle name="Input 13 5 3 2 5" xfId="13416"/>
    <cellStyle name="Input 13 5 3 2 6" xfId="13417"/>
    <cellStyle name="Input 13 5 3 2 7" xfId="13418"/>
    <cellStyle name="Input 13 5 3 3" xfId="13419"/>
    <cellStyle name="Input 13 5 3 3 2" xfId="13420"/>
    <cellStyle name="Input 13 5 3 3 2 2" xfId="13421"/>
    <cellStyle name="Input 13 5 3 3 3" xfId="13422"/>
    <cellStyle name="Input 13 5 3 3 3 2" xfId="13423"/>
    <cellStyle name="Input 13 5 3 3 4" xfId="13424"/>
    <cellStyle name="Input 13 5 3 3 5" xfId="13425"/>
    <cellStyle name="Input 13 5 3 3 6" xfId="13426"/>
    <cellStyle name="Input 13 5 3 4" xfId="13427"/>
    <cellStyle name="Input 13 5 3 4 2" xfId="13428"/>
    <cellStyle name="Input 13 5 3 5" xfId="13429"/>
    <cellStyle name="Input 13 5 3 5 2" xfId="13430"/>
    <cellStyle name="Input 13 5 3 6" xfId="13431"/>
    <cellStyle name="Input 13 5 3 7" xfId="13432"/>
    <cellStyle name="Input 13 5 3 8" xfId="13433"/>
    <cellStyle name="Input 13 5 4" xfId="13434"/>
    <cellStyle name="Input 13 5 4 2" xfId="13435"/>
    <cellStyle name="Input 13 5 4 2 2" xfId="13436"/>
    <cellStyle name="Input 13 5 4 2 2 2" xfId="13437"/>
    <cellStyle name="Input 13 5 4 2 3" xfId="13438"/>
    <cellStyle name="Input 13 5 4 2 3 2" xfId="13439"/>
    <cellStyle name="Input 13 5 4 2 4" xfId="13440"/>
    <cellStyle name="Input 13 5 4 2 5" xfId="13441"/>
    <cellStyle name="Input 13 5 4 2 6" xfId="13442"/>
    <cellStyle name="Input 13 5 4 3" xfId="13443"/>
    <cellStyle name="Input 13 5 4 3 2" xfId="13444"/>
    <cellStyle name="Input 13 5 4 4" xfId="13445"/>
    <cellStyle name="Input 13 5 4 4 2" xfId="13446"/>
    <cellStyle name="Input 13 5 4 5" xfId="13447"/>
    <cellStyle name="Input 13 5 4 6" xfId="13448"/>
    <cellStyle name="Input 13 5 4 7" xfId="13449"/>
    <cellStyle name="Input 13 5 5" xfId="13450"/>
    <cellStyle name="Input 13 5 5 2" xfId="13451"/>
    <cellStyle name="Input 13 5 5 2 2" xfId="13452"/>
    <cellStyle name="Input 13 5 5 3" xfId="13453"/>
    <cellStyle name="Input 13 5 5 3 2" xfId="13454"/>
    <cellStyle name="Input 13 5 5 4" xfId="13455"/>
    <cellStyle name="Input 13 5 5 5" xfId="13456"/>
    <cellStyle name="Input 13 5 5 6" xfId="13457"/>
    <cellStyle name="Input 13 5 6" xfId="13458"/>
    <cellStyle name="Input 13 5 6 2" xfId="13459"/>
    <cellStyle name="Input 13 5 7" xfId="13460"/>
    <cellStyle name="Input 13 5 7 2" xfId="13461"/>
    <cellStyle name="Input 13 5 8" xfId="13462"/>
    <cellStyle name="Input 13 5 9" xfId="13463"/>
    <cellStyle name="Input 13 6" xfId="13464"/>
    <cellStyle name="Input 13 6 2" xfId="13465"/>
    <cellStyle name="Input 13 6 2 2" xfId="13466"/>
    <cellStyle name="Input 13 6 2 2 2" xfId="13467"/>
    <cellStyle name="Input 13 6 2 2 2 2" xfId="13468"/>
    <cellStyle name="Input 13 6 2 2 3" xfId="13469"/>
    <cellStyle name="Input 13 6 2 2 3 2" xfId="13470"/>
    <cellStyle name="Input 13 6 2 2 4" xfId="13471"/>
    <cellStyle name="Input 13 6 2 2 5" xfId="13472"/>
    <cellStyle name="Input 13 6 2 2 6" xfId="13473"/>
    <cellStyle name="Input 13 6 2 3" xfId="13474"/>
    <cellStyle name="Input 13 6 2 3 2" xfId="13475"/>
    <cellStyle name="Input 13 6 2 4" xfId="13476"/>
    <cellStyle name="Input 13 6 2 4 2" xfId="13477"/>
    <cellStyle name="Input 13 6 2 5" xfId="13478"/>
    <cellStyle name="Input 13 6 2 6" xfId="13479"/>
    <cellStyle name="Input 13 6 2 7" xfId="13480"/>
    <cellStyle name="Input 13 6 3" xfId="13481"/>
    <cellStyle name="Input 13 6 3 2" xfId="13482"/>
    <cellStyle name="Input 13 6 3 2 2" xfId="13483"/>
    <cellStyle name="Input 13 6 3 3" xfId="13484"/>
    <cellStyle name="Input 13 6 3 3 2" xfId="13485"/>
    <cellStyle name="Input 13 6 3 4" xfId="13486"/>
    <cellStyle name="Input 13 6 3 5" xfId="13487"/>
    <cellStyle name="Input 13 6 3 6" xfId="13488"/>
    <cellStyle name="Input 13 6 4" xfId="13489"/>
    <cellStyle name="Input 13 6 4 2" xfId="13490"/>
    <cellStyle name="Input 13 6 5" xfId="13491"/>
    <cellStyle name="Input 13 6 5 2" xfId="13492"/>
    <cellStyle name="Input 13 6 6" xfId="13493"/>
    <cellStyle name="Input 13 6 7" xfId="13494"/>
    <cellStyle name="Input 13 6 8" xfId="13495"/>
    <cellStyle name="Input 13 7" xfId="13496"/>
    <cellStyle name="Input 13 7 2" xfId="13497"/>
    <cellStyle name="Input 13 7 2 2" xfId="13498"/>
    <cellStyle name="Input 13 7 2 2 2" xfId="13499"/>
    <cellStyle name="Input 13 7 2 3" xfId="13500"/>
    <cellStyle name="Input 13 7 2 3 2" xfId="13501"/>
    <cellStyle name="Input 13 7 2 4" xfId="13502"/>
    <cellStyle name="Input 13 7 2 5" xfId="13503"/>
    <cellStyle name="Input 13 7 2 6" xfId="13504"/>
    <cellStyle name="Input 13 7 3" xfId="13505"/>
    <cellStyle name="Input 13 7 3 2" xfId="13506"/>
    <cellStyle name="Input 13 7 4" xfId="13507"/>
    <cellStyle name="Input 13 7 4 2" xfId="13508"/>
    <cellStyle name="Input 13 7 5" xfId="13509"/>
    <cellStyle name="Input 13 7 6" xfId="13510"/>
    <cellStyle name="Input 13 7 7" xfId="13511"/>
    <cellStyle name="Input 13 8" xfId="13512"/>
    <cellStyle name="Input 13 8 2" xfId="13513"/>
    <cellStyle name="Input 13 9" xfId="13514"/>
    <cellStyle name="Input 13 9 2" xfId="13515"/>
    <cellStyle name="Input 14" xfId="13516"/>
    <cellStyle name="Input 14 10" xfId="13517"/>
    <cellStyle name="Input 14 11" xfId="13518"/>
    <cellStyle name="Input 14 12" xfId="13519"/>
    <cellStyle name="Input 14 2" xfId="13520"/>
    <cellStyle name="Input 14 2 10" xfId="13521"/>
    <cellStyle name="Input 14 2 11" xfId="13522"/>
    <cellStyle name="Input 14 2 12" xfId="13523"/>
    <cellStyle name="Input 14 2 2" xfId="13524"/>
    <cellStyle name="Input 14 2 2 10" xfId="13525"/>
    <cellStyle name="Input 14 2 2 11" xfId="13526"/>
    <cellStyle name="Input 14 2 2 2" xfId="13527"/>
    <cellStyle name="Input 14 2 2 2 10" xfId="13528"/>
    <cellStyle name="Input 14 2 2 2 2" xfId="13529"/>
    <cellStyle name="Input 14 2 2 2 2 2" xfId="13530"/>
    <cellStyle name="Input 14 2 2 2 2 2 2" xfId="13531"/>
    <cellStyle name="Input 14 2 2 2 2 2 2 2" xfId="13532"/>
    <cellStyle name="Input 14 2 2 2 2 2 2 2 2" xfId="13533"/>
    <cellStyle name="Input 14 2 2 2 2 2 2 3" xfId="13534"/>
    <cellStyle name="Input 14 2 2 2 2 2 2 3 2" xfId="13535"/>
    <cellStyle name="Input 14 2 2 2 2 2 2 4" xfId="13536"/>
    <cellStyle name="Input 14 2 2 2 2 2 2 5" xfId="13537"/>
    <cellStyle name="Input 14 2 2 2 2 2 2 6" xfId="13538"/>
    <cellStyle name="Input 14 2 2 2 2 2 3" xfId="13539"/>
    <cellStyle name="Input 14 2 2 2 2 2 3 2" xfId="13540"/>
    <cellStyle name="Input 14 2 2 2 2 2 4" xfId="13541"/>
    <cellStyle name="Input 14 2 2 2 2 2 4 2" xfId="13542"/>
    <cellStyle name="Input 14 2 2 2 2 2 5" xfId="13543"/>
    <cellStyle name="Input 14 2 2 2 2 2 6" xfId="13544"/>
    <cellStyle name="Input 14 2 2 2 2 2 7" xfId="13545"/>
    <cellStyle name="Input 14 2 2 2 2 3" xfId="13546"/>
    <cellStyle name="Input 14 2 2 2 2 3 2" xfId="13547"/>
    <cellStyle name="Input 14 2 2 2 2 3 2 2" xfId="13548"/>
    <cellStyle name="Input 14 2 2 2 2 3 3" xfId="13549"/>
    <cellStyle name="Input 14 2 2 2 2 3 3 2" xfId="13550"/>
    <cellStyle name="Input 14 2 2 2 2 3 4" xfId="13551"/>
    <cellStyle name="Input 14 2 2 2 2 3 5" xfId="13552"/>
    <cellStyle name="Input 14 2 2 2 2 3 6" xfId="13553"/>
    <cellStyle name="Input 14 2 2 2 2 4" xfId="13554"/>
    <cellStyle name="Input 14 2 2 2 2 4 2" xfId="13555"/>
    <cellStyle name="Input 14 2 2 2 2 5" xfId="13556"/>
    <cellStyle name="Input 14 2 2 2 2 5 2" xfId="13557"/>
    <cellStyle name="Input 14 2 2 2 2 6" xfId="13558"/>
    <cellStyle name="Input 14 2 2 2 2 7" xfId="13559"/>
    <cellStyle name="Input 14 2 2 2 2 8" xfId="13560"/>
    <cellStyle name="Input 14 2 2 2 3" xfId="13561"/>
    <cellStyle name="Input 14 2 2 2 3 2" xfId="13562"/>
    <cellStyle name="Input 14 2 2 2 3 2 2" xfId="13563"/>
    <cellStyle name="Input 14 2 2 2 3 2 2 2" xfId="13564"/>
    <cellStyle name="Input 14 2 2 2 3 2 2 2 2" xfId="13565"/>
    <cellStyle name="Input 14 2 2 2 3 2 2 3" xfId="13566"/>
    <cellStyle name="Input 14 2 2 2 3 2 2 3 2" xfId="13567"/>
    <cellStyle name="Input 14 2 2 2 3 2 2 4" xfId="13568"/>
    <cellStyle name="Input 14 2 2 2 3 2 2 5" xfId="13569"/>
    <cellStyle name="Input 14 2 2 2 3 2 2 6" xfId="13570"/>
    <cellStyle name="Input 14 2 2 2 3 2 3" xfId="13571"/>
    <cellStyle name="Input 14 2 2 2 3 2 3 2" xfId="13572"/>
    <cellStyle name="Input 14 2 2 2 3 2 4" xfId="13573"/>
    <cellStyle name="Input 14 2 2 2 3 2 4 2" xfId="13574"/>
    <cellStyle name="Input 14 2 2 2 3 2 5" xfId="13575"/>
    <cellStyle name="Input 14 2 2 2 3 2 6" xfId="13576"/>
    <cellStyle name="Input 14 2 2 2 3 2 7" xfId="13577"/>
    <cellStyle name="Input 14 2 2 2 3 3" xfId="13578"/>
    <cellStyle name="Input 14 2 2 2 3 3 2" xfId="13579"/>
    <cellStyle name="Input 14 2 2 2 3 3 2 2" xfId="13580"/>
    <cellStyle name="Input 14 2 2 2 3 3 3" xfId="13581"/>
    <cellStyle name="Input 14 2 2 2 3 3 3 2" xfId="13582"/>
    <cellStyle name="Input 14 2 2 2 3 3 4" xfId="13583"/>
    <cellStyle name="Input 14 2 2 2 3 3 5" xfId="13584"/>
    <cellStyle name="Input 14 2 2 2 3 3 6" xfId="13585"/>
    <cellStyle name="Input 14 2 2 2 3 4" xfId="13586"/>
    <cellStyle name="Input 14 2 2 2 3 4 2" xfId="13587"/>
    <cellStyle name="Input 14 2 2 2 3 5" xfId="13588"/>
    <cellStyle name="Input 14 2 2 2 3 5 2" xfId="13589"/>
    <cellStyle name="Input 14 2 2 2 3 6" xfId="13590"/>
    <cellStyle name="Input 14 2 2 2 3 7" xfId="13591"/>
    <cellStyle name="Input 14 2 2 2 3 8" xfId="13592"/>
    <cellStyle name="Input 14 2 2 2 4" xfId="13593"/>
    <cellStyle name="Input 14 2 2 2 4 2" xfId="13594"/>
    <cellStyle name="Input 14 2 2 2 4 2 2" xfId="13595"/>
    <cellStyle name="Input 14 2 2 2 4 2 2 2" xfId="13596"/>
    <cellStyle name="Input 14 2 2 2 4 2 3" xfId="13597"/>
    <cellStyle name="Input 14 2 2 2 4 2 3 2" xfId="13598"/>
    <cellStyle name="Input 14 2 2 2 4 2 4" xfId="13599"/>
    <cellStyle name="Input 14 2 2 2 4 2 5" xfId="13600"/>
    <cellStyle name="Input 14 2 2 2 4 2 6" xfId="13601"/>
    <cellStyle name="Input 14 2 2 2 4 3" xfId="13602"/>
    <cellStyle name="Input 14 2 2 2 4 3 2" xfId="13603"/>
    <cellStyle name="Input 14 2 2 2 4 4" xfId="13604"/>
    <cellStyle name="Input 14 2 2 2 4 4 2" xfId="13605"/>
    <cellStyle name="Input 14 2 2 2 4 5" xfId="13606"/>
    <cellStyle name="Input 14 2 2 2 4 6" xfId="13607"/>
    <cellStyle name="Input 14 2 2 2 4 7" xfId="13608"/>
    <cellStyle name="Input 14 2 2 2 5" xfId="13609"/>
    <cellStyle name="Input 14 2 2 2 5 2" xfId="13610"/>
    <cellStyle name="Input 14 2 2 2 5 2 2" xfId="13611"/>
    <cellStyle name="Input 14 2 2 2 5 3" xfId="13612"/>
    <cellStyle name="Input 14 2 2 2 5 3 2" xfId="13613"/>
    <cellStyle name="Input 14 2 2 2 5 4" xfId="13614"/>
    <cellStyle name="Input 14 2 2 2 5 5" xfId="13615"/>
    <cellStyle name="Input 14 2 2 2 5 6" xfId="13616"/>
    <cellStyle name="Input 14 2 2 2 6" xfId="13617"/>
    <cellStyle name="Input 14 2 2 2 6 2" xfId="13618"/>
    <cellStyle name="Input 14 2 2 2 7" xfId="13619"/>
    <cellStyle name="Input 14 2 2 2 7 2" xfId="13620"/>
    <cellStyle name="Input 14 2 2 2 8" xfId="13621"/>
    <cellStyle name="Input 14 2 2 2 9" xfId="13622"/>
    <cellStyle name="Input 14 2 2 3" xfId="13623"/>
    <cellStyle name="Input 14 2 2 3 2" xfId="13624"/>
    <cellStyle name="Input 14 2 2 3 2 2" xfId="13625"/>
    <cellStyle name="Input 14 2 2 3 2 2 2" xfId="13626"/>
    <cellStyle name="Input 14 2 2 3 2 2 2 2" xfId="13627"/>
    <cellStyle name="Input 14 2 2 3 2 2 3" xfId="13628"/>
    <cellStyle name="Input 14 2 2 3 2 2 3 2" xfId="13629"/>
    <cellStyle name="Input 14 2 2 3 2 2 4" xfId="13630"/>
    <cellStyle name="Input 14 2 2 3 2 2 5" xfId="13631"/>
    <cellStyle name="Input 14 2 2 3 2 2 6" xfId="13632"/>
    <cellStyle name="Input 14 2 2 3 2 3" xfId="13633"/>
    <cellStyle name="Input 14 2 2 3 2 3 2" xfId="13634"/>
    <cellStyle name="Input 14 2 2 3 2 4" xfId="13635"/>
    <cellStyle name="Input 14 2 2 3 2 4 2" xfId="13636"/>
    <cellStyle name="Input 14 2 2 3 2 5" xfId="13637"/>
    <cellStyle name="Input 14 2 2 3 2 6" xfId="13638"/>
    <cellStyle name="Input 14 2 2 3 2 7" xfId="13639"/>
    <cellStyle name="Input 14 2 2 3 3" xfId="13640"/>
    <cellStyle name="Input 14 2 2 3 3 2" xfId="13641"/>
    <cellStyle name="Input 14 2 2 3 3 2 2" xfId="13642"/>
    <cellStyle name="Input 14 2 2 3 3 3" xfId="13643"/>
    <cellStyle name="Input 14 2 2 3 3 3 2" xfId="13644"/>
    <cellStyle name="Input 14 2 2 3 3 4" xfId="13645"/>
    <cellStyle name="Input 14 2 2 3 3 5" xfId="13646"/>
    <cellStyle name="Input 14 2 2 3 3 6" xfId="13647"/>
    <cellStyle name="Input 14 2 2 3 4" xfId="13648"/>
    <cellStyle name="Input 14 2 2 3 4 2" xfId="13649"/>
    <cellStyle name="Input 14 2 2 3 5" xfId="13650"/>
    <cellStyle name="Input 14 2 2 3 5 2" xfId="13651"/>
    <cellStyle name="Input 14 2 2 3 6" xfId="13652"/>
    <cellStyle name="Input 14 2 2 3 7" xfId="13653"/>
    <cellStyle name="Input 14 2 2 3 8" xfId="13654"/>
    <cellStyle name="Input 14 2 2 4" xfId="13655"/>
    <cellStyle name="Input 14 2 2 4 2" xfId="13656"/>
    <cellStyle name="Input 14 2 2 4 2 2" xfId="13657"/>
    <cellStyle name="Input 14 2 2 4 2 2 2" xfId="13658"/>
    <cellStyle name="Input 14 2 2 4 2 2 2 2" xfId="13659"/>
    <cellStyle name="Input 14 2 2 4 2 2 3" xfId="13660"/>
    <cellStyle name="Input 14 2 2 4 2 2 3 2" xfId="13661"/>
    <cellStyle name="Input 14 2 2 4 2 2 4" xfId="13662"/>
    <cellStyle name="Input 14 2 2 4 2 2 5" xfId="13663"/>
    <cellStyle name="Input 14 2 2 4 2 2 6" xfId="13664"/>
    <cellStyle name="Input 14 2 2 4 2 3" xfId="13665"/>
    <cellStyle name="Input 14 2 2 4 2 3 2" xfId="13666"/>
    <cellStyle name="Input 14 2 2 4 2 4" xfId="13667"/>
    <cellStyle name="Input 14 2 2 4 2 4 2" xfId="13668"/>
    <cellStyle name="Input 14 2 2 4 2 5" xfId="13669"/>
    <cellStyle name="Input 14 2 2 4 2 6" xfId="13670"/>
    <cellStyle name="Input 14 2 2 4 2 7" xfId="13671"/>
    <cellStyle name="Input 14 2 2 4 3" xfId="13672"/>
    <cellStyle name="Input 14 2 2 4 3 2" xfId="13673"/>
    <cellStyle name="Input 14 2 2 4 3 2 2" xfId="13674"/>
    <cellStyle name="Input 14 2 2 4 3 3" xfId="13675"/>
    <cellStyle name="Input 14 2 2 4 3 3 2" xfId="13676"/>
    <cellStyle name="Input 14 2 2 4 3 4" xfId="13677"/>
    <cellStyle name="Input 14 2 2 4 3 5" xfId="13678"/>
    <cellStyle name="Input 14 2 2 4 3 6" xfId="13679"/>
    <cellStyle name="Input 14 2 2 4 4" xfId="13680"/>
    <cellStyle name="Input 14 2 2 4 4 2" xfId="13681"/>
    <cellStyle name="Input 14 2 2 4 5" xfId="13682"/>
    <cellStyle name="Input 14 2 2 4 5 2" xfId="13683"/>
    <cellStyle name="Input 14 2 2 4 6" xfId="13684"/>
    <cellStyle name="Input 14 2 2 4 7" xfId="13685"/>
    <cellStyle name="Input 14 2 2 4 8" xfId="13686"/>
    <cellStyle name="Input 14 2 2 5" xfId="13687"/>
    <cellStyle name="Input 14 2 2 5 2" xfId="13688"/>
    <cellStyle name="Input 14 2 2 5 2 2" xfId="13689"/>
    <cellStyle name="Input 14 2 2 5 2 2 2" xfId="13690"/>
    <cellStyle name="Input 14 2 2 5 2 3" xfId="13691"/>
    <cellStyle name="Input 14 2 2 5 2 3 2" xfId="13692"/>
    <cellStyle name="Input 14 2 2 5 2 4" xfId="13693"/>
    <cellStyle name="Input 14 2 2 5 2 5" xfId="13694"/>
    <cellStyle name="Input 14 2 2 5 2 6" xfId="13695"/>
    <cellStyle name="Input 14 2 2 5 3" xfId="13696"/>
    <cellStyle name="Input 14 2 2 5 3 2" xfId="13697"/>
    <cellStyle name="Input 14 2 2 5 4" xfId="13698"/>
    <cellStyle name="Input 14 2 2 5 4 2" xfId="13699"/>
    <cellStyle name="Input 14 2 2 5 5" xfId="13700"/>
    <cellStyle name="Input 14 2 2 5 6" xfId="13701"/>
    <cellStyle name="Input 14 2 2 5 7" xfId="13702"/>
    <cellStyle name="Input 14 2 2 6" xfId="13703"/>
    <cellStyle name="Input 14 2 2 6 2" xfId="13704"/>
    <cellStyle name="Input 14 2 2 6 2 2" xfId="13705"/>
    <cellStyle name="Input 14 2 2 6 3" xfId="13706"/>
    <cellStyle name="Input 14 2 2 6 3 2" xfId="13707"/>
    <cellStyle name="Input 14 2 2 6 4" xfId="13708"/>
    <cellStyle name="Input 14 2 2 6 5" xfId="13709"/>
    <cellStyle name="Input 14 2 2 6 6" xfId="13710"/>
    <cellStyle name="Input 14 2 2 7" xfId="13711"/>
    <cellStyle name="Input 14 2 2 7 2" xfId="13712"/>
    <cellStyle name="Input 14 2 2 8" xfId="13713"/>
    <cellStyle name="Input 14 2 2 8 2" xfId="13714"/>
    <cellStyle name="Input 14 2 2 9" xfId="13715"/>
    <cellStyle name="Input 14 2 3" xfId="13716"/>
    <cellStyle name="Input 14 2 3 10" xfId="13717"/>
    <cellStyle name="Input 14 2 3 2" xfId="13718"/>
    <cellStyle name="Input 14 2 3 2 10" xfId="13719"/>
    <cellStyle name="Input 14 2 3 2 2" xfId="13720"/>
    <cellStyle name="Input 14 2 3 2 2 2" xfId="13721"/>
    <cellStyle name="Input 14 2 3 2 2 2 2" xfId="13722"/>
    <cellStyle name="Input 14 2 3 2 2 2 2 2" xfId="13723"/>
    <cellStyle name="Input 14 2 3 2 2 2 2 2 2" xfId="13724"/>
    <cellStyle name="Input 14 2 3 2 2 2 2 3" xfId="13725"/>
    <cellStyle name="Input 14 2 3 2 2 2 2 3 2" xfId="13726"/>
    <cellStyle name="Input 14 2 3 2 2 2 2 4" xfId="13727"/>
    <cellStyle name="Input 14 2 3 2 2 2 2 5" xfId="13728"/>
    <cellStyle name="Input 14 2 3 2 2 2 2 6" xfId="13729"/>
    <cellStyle name="Input 14 2 3 2 2 2 3" xfId="13730"/>
    <cellStyle name="Input 14 2 3 2 2 2 3 2" xfId="13731"/>
    <cellStyle name="Input 14 2 3 2 2 2 4" xfId="13732"/>
    <cellStyle name="Input 14 2 3 2 2 2 4 2" xfId="13733"/>
    <cellStyle name="Input 14 2 3 2 2 2 5" xfId="13734"/>
    <cellStyle name="Input 14 2 3 2 2 2 6" xfId="13735"/>
    <cellStyle name="Input 14 2 3 2 2 2 7" xfId="13736"/>
    <cellStyle name="Input 14 2 3 2 2 3" xfId="13737"/>
    <cellStyle name="Input 14 2 3 2 2 3 2" xfId="13738"/>
    <cellStyle name="Input 14 2 3 2 2 3 2 2" xfId="13739"/>
    <cellStyle name="Input 14 2 3 2 2 3 3" xfId="13740"/>
    <cellStyle name="Input 14 2 3 2 2 3 3 2" xfId="13741"/>
    <cellStyle name="Input 14 2 3 2 2 3 4" xfId="13742"/>
    <cellStyle name="Input 14 2 3 2 2 3 5" xfId="13743"/>
    <cellStyle name="Input 14 2 3 2 2 3 6" xfId="13744"/>
    <cellStyle name="Input 14 2 3 2 2 4" xfId="13745"/>
    <cellStyle name="Input 14 2 3 2 2 4 2" xfId="13746"/>
    <cellStyle name="Input 14 2 3 2 2 5" xfId="13747"/>
    <cellStyle name="Input 14 2 3 2 2 5 2" xfId="13748"/>
    <cellStyle name="Input 14 2 3 2 2 6" xfId="13749"/>
    <cellStyle name="Input 14 2 3 2 2 7" xfId="13750"/>
    <cellStyle name="Input 14 2 3 2 2 8" xfId="13751"/>
    <cellStyle name="Input 14 2 3 2 3" xfId="13752"/>
    <cellStyle name="Input 14 2 3 2 3 2" xfId="13753"/>
    <cellStyle name="Input 14 2 3 2 3 2 2" xfId="13754"/>
    <cellStyle name="Input 14 2 3 2 3 2 2 2" xfId="13755"/>
    <cellStyle name="Input 14 2 3 2 3 2 2 2 2" xfId="13756"/>
    <cellStyle name="Input 14 2 3 2 3 2 2 3" xfId="13757"/>
    <cellStyle name="Input 14 2 3 2 3 2 2 3 2" xfId="13758"/>
    <cellStyle name="Input 14 2 3 2 3 2 2 4" xfId="13759"/>
    <cellStyle name="Input 14 2 3 2 3 2 2 5" xfId="13760"/>
    <cellStyle name="Input 14 2 3 2 3 2 2 6" xfId="13761"/>
    <cellStyle name="Input 14 2 3 2 3 2 3" xfId="13762"/>
    <cellStyle name="Input 14 2 3 2 3 2 3 2" xfId="13763"/>
    <cellStyle name="Input 14 2 3 2 3 2 4" xfId="13764"/>
    <cellStyle name="Input 14 2 3 2 3 2 4 2" xfId="13765"/>
    <cellStyle name="Input 14 2 3 2 3 2 5" xfId="13766"/>
    <cellStyle name="Input 14 2 3 2 3 2 6" xfId="13767"/>
    <cellStyle name="Input 14 2 3 2 3 2 7" xfId="13768"/>
    <cellStyle name="Input 14 2 3 2 3 3" xfId="13769"/>
    <cellStyle name="Input 14 2 3 2 3 3 2" xfId="13770"/>
    <cellStyle name="Input 14 2 3 2 3 3 2 2" xfId="13771"/>
    <cellStyle name="Input 14 2 3 2 3 3 3" xfId="13772"/>
    <cellStyle name="Input 14 2 3 2 3 3 3 2" xfId="13773"/>
    <cellStyle name="Input 14 2 3 2 3 3 4" xfId="13774"/>
    <cellStyle name="Input 14 2 3 2 3 3 5" xfId="13775"/>
    <cellStyle name="Input 14 2 3 2 3 3 6" xfId="13776"/>
    <cellStyle name="Input 14 2 3 2 3 4" xfId="13777"/>
    <cellStyle name="Input 14 2 3 2 3 4 2" xfId="13778"/>
    <cellStyle name="Input 14 2 3 2 3 5" xfId="13779"/>
    <cellStyle name="Input 14 2 3 2 3 5 2" xfId="13780"/>
    <cellStyle name="Input 14 2 3 2 3 6" xfId="13781"/>
    <cellStyle name="Input 14 2 3 2 3 7" xfId="13782"/>
    <cellStyle name="Input 14 2 3 2 3 8" xfId="13783"/>
    <cellStyle name="Input 14 2 3 2 4" xfId="13784"/>
    <cellStyle name="Input 14 2 3 2 4 2" xfId="13785"/>
    <cellStyle name="Input 14 2 3 2 4 2 2" xfId="13786"/>
    <cellStyle name="Input 14 2 3 2 4 2 2 2" xfId="13787"/>
    <cellStyle name="Input 14 2 3 2 4 2 3" xfId="13788"/>
    <cellStyle name="Input 14 2 3 2 4 2 3 2" xfId="13789"/>
    <cellStyle name="Input 14 2 3 2 4 2 4" xfId="13790"/>
    <cellStyle name="Input 14 2 3 2 4 2 5" xfId="13791"/>
    <cellStyle name="Input 14 2 3 2 4 2 6" xfId="13792"/>
    <cellStyle name="Input 14 2 3 2 4 3" xfId="13793"/>
    <cellStyle name="Input 14 2 3 2 4 3 2" xfId="13794"/>
    <cellStyle name="Input 14 2 3 2 4 4" xfId="13795"/>
    <cellStyle name="Input 14 2 3 2 4 4 2" xfId="13796"/>
    <cellStyle name="Input 14 2 3 2 4 5" xfId="13797"/>
    <cellStyle name="Input 14 2 3 2 4 6" xfId="13798"/>
    <cellStyle name="Input 14 2 3 2 4 7" xfId="13799"/>
    <cellStyle name="Input 14 2 3 2 5" xfId="13800"/>
    <cellStyle name="Input 14 2 3 2 5 2" xfId="13801"/>
    <cellStyle name="Input 14 2 3 2 5 2 2" xfId="13802"/>
    <cellStyle name="Input 14 2 3 2 5 3" xfId="13803"/>
    <cellStyle name="Input 14 2 3 2 5 3 2" xfId="13804"/>
    <cellStyle name="Input 14 2 3 2 5 4" xfId="13805"/>
    <cellStyle name="Input 14 2 3 2 5 5" xfId="13806"/>
    <cellStyle name="Input 14 2 3 2 5 6" xfId="13807"/>
    <cellStyle name="Input 14 2 3 2 6" xfId="13808"/>
    <cellStyle name="Input 14 2 3 2 6 2" xfId="13809"/>
    <cellStyle name="Input 14 2 3 2 7" xfId="13810"/>
    <cellStyle name="Input 14 2 3 2 7 2" xfId="13811"/>
    <cellStyle name="Input 14 2 3 2 8" xfId="13812"/>
    <cellStyle name="Input 14 2 3 2 9" xfId="13813"/>
    <cellStyle name="Input 14 2 3 3" xfId="13814"/>
    <cellStyle name="Input 14 2 3 3 2" xfId="13815"/>
    <cellStyle name="Input 14 2 3 3 2 2" xfId="13816"/>
    <cellStyle name="Input 14 2 3 3 2 2 2" xfId="13817"/>
    <cellStyle name="Input 14 2 3 3 2 2 2 2" xfId="13818"/>
    <cellStyle name="Input 14 2 3 3 2 2 3" xfId="13819"/>
    <cellStyle name="Input 14 2 3 3 2 2 3 2" xfId="13820"/>
    <cellStyle name="Input 14 2 3 3 2 2 4" xfId="13821"/>
    <cellStyle name="Input 14 2 3 3 2 2 5" xfId="13822"/>
    <cellStyle name="Input 14 2 3 3 2 2 6" xfId="13823"/>
    <cellStyle name="Input 14 2 3 3 2 3" xfId="13824"/>
    <cellStyle name="Input 14 2 3 3 2 3 2" xfId="13825"/>
    <cellStyle name="Input 14 2 3 3 2 4" xfId="13826"/>
    <cellStyle name="Input 14 2 3 3 2 4 2" xfId="13827"/>
    <cellStyle name="Input 14 2 3 3 2 5" xfId="13828"/>
    <cellStyle name="Input 14 2 3 3 2 6" xfId="13829"/>
    <cellStyle name="Input 14 2 3 3 2 7" xfId="13830"/>
    <cellStyle name="Input 14 2 3 3 3" xfId="13831"/>
    <cellStyle name="Input 14 2 3 3 3 2" xfId="13832"/>
    <cellStyle name="Input 14 2 3 3 3 2 2" xfId="13833"/>
    <cellStyle name="Input 14 2 3 3 3 3" xfId="13834"/>
    <cellStyle name="Input 14 2 3 3 3 3 2" xfId="13835"/>
    <cellStyle name="Input 14 2 3 3 3 4" xfId="13836"/>
    <cellStyle name="Input 14 2 3 3 3 5" xfId="13837"/>
    <cellStyle name="Input 14 2 3 3 3 6" xfId="13838"/>
    <cellStyle name="Input 14 2 3 3 4" xfId="13839"/>
    <cellStyle name="Input 14 2 3 3 4 2" xfId="13840"/>
    <cellStyle name="Input 14 2 3 3 5" xfId="13841"/>
    <cellStyle name="Input 14 2 3 3 5 2" xfId="13842"/>
    <cellStyle name="Input 14 2 3 3 6" xfId="13843"/>
    <cellStyle name="Input 14 2 3 3 7" xfId="13844"/>
    <cellStyle name="Input 14 2 3 3 8" xfId="13845"/>
    <cellStyle name="Input 14 2 3 4" xfId="13846"/>
    <cellStyle name="Input 14 2 3 4 2" xfId="13847"/>
    <cellStyle name="Input 14 2 3 4 2 2" xfId="13848"/>
    <cellStyle name="Input 14 2 3 4 2 2 2" xfId="13849"/>
    <cellStyle name="Input 14 2 3 4 2 3" xfId="13850"/>
    <cellStyle name="Input 14 2 3 4 2 3 2" xfId="13851"/>
    <cellStyle name="Input 14 2 3 4 2 4" xfId="13852"/>
    <cellStyle name="Input 14 2 3 4 2 5" xfId="13853"/>
    <cellStyle name="Input 14 2 3 4 2 6" xfId="13854"/>
    <cellStyle name="Input 14 2 3 4 3" xfId="13855"/>
    <cellStyle name="Input 14 2 3 4 3 2" xfId="13856"/>
    <cellStyle name="Input 14 2 3 4 4" xfId="13857"/>
    <cellStyle name="Input 14 2 3 4 4 2" xfId="13858"/>
    <cellStyle name="Input 14 2 3 4 5" xfId="13859"/>
    <cellStyle name="Input 14 2 3 4 6" xfId="13860"/>
    <cellStyle name="Input 14 2 3 4 7" xfId="13861"/>
    <cellStyle name="Input 14 2 3 5" xfId="13862"/>
    <cellStyle name="Input 14 2 3 5 2" xfId="13863"/>
    <cellStyle name="Input 14 2 3 5 2 2" xfId="13864"/>
    <cellStyle name="Input 14 2 3 5 3" xfId="13865"/>
    <cellStyle name="Input 14 2 3 5 3 2" xfId="13866"/>
    <cellStyle name="Input 14 2 3 5 4" xfId="13867"/>
    <cellStyle name="Input 14 2 3 5 5" xfId="13868"/>
    <cellStyle name="Input 14 2 3 5 6" xfId="13869"/>
    <cellStyle name="Input 14 2 3 6" xfId="13870"/>
    <cellStyle name="Input 14 2 3 6 2" xfId="13871"/>
    <cellStyle name="Input 14 2 3 7" xfId="13872"/>
    <cellStyle name="Input 14 2 3 7 2" xfId="13873"/>
    <cellStyle name="Input 14 2 3 8" xfId="13874"/>
    <cellStyle name="Input 14 2 3 9" xfId="13875"/>
    <cellStyle name="Input 14 2 4" xfId="13876"/>
    <cellStyle name="Input 14 2 4 10" xfId="13877"/>
    <cellStyle name="Input 14 2 4 2" xfId="13878"/>
    <cellStyle name="Input 14 2 4 2 2" xfId="13879"/>
    <cellStyle name="Input 14 2 4 2 2 2" xfId="13880"/>
    <cellStyle name="Input 14 2 4 2 2 2 2" xfId="13881"/>
    <cellStyle name="Input 14 2 4 2 2 2 2 2" xfId="13882"/>
    <cellStyle name="Input 14 2 4 2 2 2 3" xfId="13883"/>
    <cellStyle name="Input 14 2 4 2 2 2 3 2" xfId="13884"/>
    <cellStyle name="Input 14 2 4 2 2 2 4" xfId="13885"/>
    <cellStyle name="Input 14 2 4 2 2 2 5" xfId="13886"/>
    <cellStyle name="Input 14 2 4 2 2 2 6" xfId="13887"/>
    <cellStyle name="Input 14 2 4 2 2 3" xfId="13888"/>
    <cellStyle name="Input 14 2 4 2 2 3 2" xfId="13889"/>
    <cellStyle name="Input 14 2 4 2 2 4" xfId="13890"/>
    <cellStyle name="Input 14 2 4 2 2 4 2" xfId="13891"/>
    <cellStyle name="Input 14 2 4 2 2 5" xfId="13892"/>
    <cellStyle name="Input 14 2 4 2 2 6" xfId="13893"/>
    <cellStyle name="Input 14 2 4 2 2 7" xfId="13894"/>
    <cellStyle name="Input 14 2 4 2 3" xfId="13895"/>
    <cellStyle name="Input 14 2 4 2 3 2" xfId="13896"/>
    <cellStyle name="Input 14 2 4 2 3 2 2" xfId="13897"/>
    <cellStyle name="Input 14 2 4 2 3 3" xfId="13898"/>
    <cellStyle name="Input 14 2 4 2 3 3 2" xfId="13899"/>
    <cellStyle name="Input 14 2 4 2 3 4" xfId="13900"/>
    <cellStyle name="Input 14 2 4 2 3 5" xfId="13901"/>
    <cellStyle name="Input 14 2 4 2 3 6" xfId="13902"/>
    <cellStyle name="Input 14 2 4 2 4" xfId="13903"/>
    <cellStyle name="Input 14 2 4 2 4 2" xfId="13904"/>
    <cellStyle name="Input 14 2 4 2 5" xfId="13905"/>
    <cellStyle name="Input 14 2 4 2 5 2" xfId="13906"/>
    <cellStyle name="Input 14 2 4 2 6" xfId="13907"/>
    <cellStyle name="Input 14 2 4 2 7" xfId="13908"/>
    <cellStyle name="Input 14 2 4 2 8" xfId="13909"/>
    <cellStyle name="Input 14 2 4 3" xfId="13910"/>
    <cellStyle name="Input 14 2 4 3 2" xfId="13911"/>
    <cellStyle name="Input 14 2 4 3 2 2" xfId="13912"/>
    <cellStyle name="Input 14 2 4 3 2 2 2" xfId="13913"/>
    <cellStyle name="Input 14 2 4 3 2 2 2 2" xfId="13914"/>
    <cellStyle name="Input 14 2 4 3 2 2 3" xfId="13915"/>
    <cellStyle name="Input 14 2 4 3 2 2 3 2" xfId="13916"/>
    <cellStyle name="Input 14 2 4 3 2 2 4" xfId="13917"/>
    <cellStyle name="Input 14 2 4 3 2 2 5" xfId="13918"/>
    <cellStyle name="Input 14 2 4 3 2 2 6" xfId="13919"/>
    <cellStyle name="Input 14 2 4 3 2 3" xfId="13920"/>
    <cellStyle name="Input 14 2 4 3 2 3 2" xfId="13921"/>
    <cellStyle name="Input 14 2 4 3 2 4" xfId="13922"/>
    <cellStyle name="Input 14 2 4 3 2 4 2" xfId="13923"/>
    <cellStyle name="Input 14 2 4 3 2 5" xfId="13924"/>
    <cellStyle name="Input 14 2 4 3 2 6" xfId="13925"/>
    <cellStyle name="Input 14 2 4 3 2 7" xfId="13926"/>
    <cellStyle name="Input 14 2 4 3 3" xfId="13927"/>
    <cellStyle name="Input 14 2 4 3 3 2" xfId="13928"/>
    <cellStyle name="Input 14 2 4 3 3 2 2" xfId="13929"/>
    <cellStyle name="Input 14 2 4 3 3 3" xfId="13930"/>
    <cellStyle name="Input 14 2 4 3 3 3 2" xfId="13931"/>
    <cellStyle name="Input 14 2 4 3 3 4" xfId="13932"/>
    <cellStyle name="Input 14 2 4 3 3 5" xfId="13933"/>
    <cellStyle name="Input 14 2 4 3 3 6" xfId="13934"/>
    <cellStyle name="Input 14 2 4 3 4" xfId="13935"/>
    <cellStyle name="Input 14 2 4 3 4 2" xfId="13936"/>
    <cellStyle name="Input 14 2 4 3 5" xfId="13937"/>
    <cellStyle name="Input 14 2 4 3 5 2" xfId="13938"/>
    <cellStyle name="Input 14 2 4 3 6" xfId="13939"/>
    <cellStyle name="Input 14 2 4 3 7" xfId="13940"/>
    <cellStyle name="Input 14 2 4 3 8" xfId="13941"/>
    <cellStyle name="Input 14 2 4 4" xfId="13942"/>
    <cellStyle name="Input 14 2 4 4 2" xfId="13943"/>
    <cellStyle name="Input 14 2 4 4 2 2" xfId="13944"/>
    <cellStyle name="Input 14 2 4 4 2 2 2" xfId="13945"/>
    <cellStyle name="Input 14 2 4 4 2 3" xfId="13946"/>
    <cellStyle name="Input 14 2 4 4 2 3 2" xfId="13947"/>
    <cellStyle name="Input 14 2 4 4 2 4" xfId="13948"/>
    <cellStyle name="Input 14 2 4 4 2 5" xfId="13949"/>
    <cellStyle name="Input 14 2 4 4 2 6" xfId="13950"/>
    <cellStyle name="Input 14 2 4 4 3" xfId="13951"/>
    <cellStyle name="Input 14 2 4 4 3 2" xfId="13952"/>
    <cellStyle name="Input 14 2 4 4 4" xfId="13953"/>
    <cellStyle name="Input 14 2 4 4 4 2" xfId="13954"/>
    <cellStyle name="Input 14 2 4 4 5" xfId="13955"/>
    <cellStyle name="Input 14 2 4 4 6" xfId="13956"/>
    <cellStyle name="Input 14 2 4 4 7" xfId="13957"/>
    <cellStyle name="Input 14 2 4 5" xfId="13958"/>
    <cellStyle name="Input 14 2 4 5 2" xfId="13959"/>
    <cellStyle name="Input 14 2 4 5 2 2" xfId="13960"/>
    <cellStyle name="Input 14 2 4 5 3" xfId="13961"/>
    <cellStyle name="Input 14 2 4 5 3 2" xfId="13962"/>
    <cellStyle name="Input 14 2 4 5 4" xfId="13963"/>
    <cellStyle name="Input 14 2 4 5 5" xfId="13964"/>
    <cellStyle name="Input 14 2 4 5 6" xfId="13965"/>
    <cellStyle name="Input 14 2 4 6" xfId="13966"/>
    <cellStyle name="Input 14 2 4 6 2" xfId="13967"/>
    <cellStyle name="Input 14 2 4 7" xfId="13968"/>
    <cellStyle name="Input 14 2 4 7 2" xfId="13969"/>
    <cellStyle name="Input 14 2 4 8" xfId="13970"/>
    <cellStyle name="Input 14 2 4 9" xfId="13971"/>
    <cellStyle name="Input 14 2 5" xfId="13972"/>
    <cellStyle name="Input 14 2 5 2" xfId="13973"/>
    <cellStyle name="Input 14 2 5 2 2" xfId="13974"/>
    <cellStyle name="Input 14 2 5 2 2 2" xfId="13975"/>
    <cellStyle name="Input 14 2 5 2 2 2 2" xfId="13976"/>
    <cellStyle name="Input 14 2 5 2 2 3" xfId="13977"/>
    <cellStyle name="Input 14 2 5 2 2 3 2" xfId="13978"/>
    <cellStyle name="Input 14 2 5 2 2 4" xfId="13979"/>
    <cellStyle name="Input 14 2 5 2 2 5" xfId="13980"/>
    <cellStyle name="Input 14 2 5 2 2 6" xfId="13981"/>
    <cellStyle name="Input 14 2 5 2 3" xfId="13982"/>
    <cellStyle name="Input 14 2 5 2 3 2" xfId="13983"/>
    <cellStyle name="Input 14 2 5 2 4" xfId="13984"/>
    <cellStyle name="Input 14 2 5 2 4 2" xfId="13985"/>
    <cellStyle name="Input 14 2 5 2 5" xfId="13986"/>
    <cellStyle name="Input 14 2 5 2 6" xfId="13987"/>
    <cellStyle name="Input 14 2 5 2 7" xfId="13988"/>
    <cellStyle name="Input 14 2 5 3" xfId="13989"/>
    <cellStyle name="Input 14 2 5 3 2" xfId="13990"/>
    <cellStyle name="Input 14 2 5 3 2 2" xfId="13991"/>
    <cellStyle name="Input 14 2 5 3 3" xfId="13992"/>
    <cellStyle name="Input 14 2 5 3 3 2" xfId="13993"/>
    <cellStyle name="Input 14 2 5 3 4" xfId="13994"/>
    <cellStyle name="Input 14 2 5 3 5" xfId="13995"/>
    <cellStyle name="Input 14 2 5 3 6" xfId="13996"/>
    <cellStyle name="Input 14 2 5 4" xfId="13997"/>
    <cellStyle name="Input 14 2 5 4 2" xfId="13998"/>
    <cellStyle name="Input 14 2 5 5" xfId="13999"/>
    <cellStyle name="Input 14 2 5 5 2" xfId="14000"/>
    <cellStyle name="Input 14 2 5 6" xfId="14001"/>
    <cellStyle name="Input 14 2 5 7" xfId="14002"/>
    <cellStyle name="Input 14 2 5 8" xfId="14003"/>
    <cellStyle name="Input 14 2 6" xfId="14004"/>
    <cellStyle name="Input 14 2 6 2" xfId="14005"/>
    <cellStyle name="Input 14 2 6 2 2" xfId="14006"/>
    <cellStyle name="Input 14 2 6 2 2 2" xfId="14007"/>
    <cellStyle name="Input 14 2 6 2 3" xfId="14008"/>
    <cellStyle name="Input 14 2 6 2 3 2" xfId="14009"/>
    <cellStyle name="Input 14 2 6 2 4" xfId="14010"/>
    <cellStyle name="Input 14 2 6 2 5" xfId="14011"/>
    <cellStyle name="Input 14 2 6 2 6" xfId="14012"/>
    <cellStyle name="Input 14 2 6 3" xfId="14013"/>
    <cellStyle name="Input 14 2 6 3 2" xfId="14014"/>
    <cellStyle name="Input 14 2 6 4" xfId="14015"/>
    <cellStyle name="Input 14 2 6 4 2" xfId="14016"/>
    <cellStyle name="Input 14 2 6 5" xfId="14017"/>
    <cellStyle name="Input 14 2 6 6" xfId="14018"/>
    <cellStyle name="Input 14 2 6 7" xfId="14019"/>
    <cellStyle name="Input 14 2 7" xfId="14020"/>
    <cellStyle name="Input 14 2 7 2" xfId="14021"/>
    <cellStyle name="Input 14 2 7 2 2" xfId="14022"/>
    <cellStyle name="Input 14 2 7 3" xfId="14023"/>
    <cellStyle name="Input 14 2 7 3 2" xfId="14024"/>
    <cellStyle name="Input 14 2 7 4" xfId="14025"/>
    <cellStyle name="Input 14 2 7 5" xfId="14026"/>
    <cellStyle name="Input 14 2 7 6" xfId="14027"/>
    <cellStyle name="Input 14 2 8" xfId="14028"/>
    <cellStyle name="Input 14 2 8 2" xfId="14029"/>
    <cellStyle name="Input 14 2 9" xfId="14030"/>
    <cellStyle name="Input 14 2 9 2" xfId="14031"/>
    <cellStyle name="Input 14 3" xfId="14032"/>
    <cellStyle name="Input 14 3 10" xfId="14033"/>
    <cellStyle name="Input 14 3 11" xfId="14034"/>
    <cellStyle name="Input 14 3 2" xfId="14035"/>
    <cellStyle name="Input 14 3 2 10" xfId="14036"/>
    <cellStyle name="Input 14 3 2 2" xfId="14037"/>
    <cellStyle name="Input 14 3 2 2 10" xfId="14038"/>
    <cellStyle name="Input 14 3 2 2 2" xfId="14039"/>
    <cellStyle name="Input 14 3 2 2 2 2" xfId="14040"/>
    <cellStyle name="Input 14 3 2 2 2 2 2" xfId="14041"/>
    <cellStyle name="Input 14 3 2 2 2 2 2 2" xfId="14042"/>
    <cellStyle name="Input 14 3 2 2 2 2 2 2 2" xfId="14043"/>
    <cellStyle name="Input 14 3 2 2 2 2 2 3" xfId="14044"/>
    <cellStyle name="Input 14 3 2 2 2 2 2 3 2" xfId="14045"/>
    <cellStyle name="Input 14 3 2 2 2 2 2 4" xfId="14046"/>
    <cellStyle name="Input 14 3 2 2 2 2 2 5" xfId="14047"/>
    <cellStyle name="Input 14 3 2 2 2 2 2 6" xfId="14048"/>
    <cellStyle name="Input 14 3 2 2 2 2 3" xfId="14049"/>
    <cellStyle name="Input 14 3 2 2 2 2 3 2" xfId="14050"/>
    <cellStyle name="Input 14 3 2 2 2 2 4" xfId="14051"/>
    <cellStyle name="Input 14 3 2 2 2 2 4 2" xfId="14052"/>
    <cellStyle name="Input 14 3 2 2 2 2 5" xfId="14053"/>
    <cellStyle name="Input 14 3 2 2 2 2 6" xfId="14054"/>
    <cellStyle name="Input 14 3 2 2 2 2 7" xfId="14055"/>
    <cellStyle name="Input 14 3 2 2 2 3" xfId="14056"/>
    <cellStyle name="Input 14 3 2 2 2 3 2" xfId="14057"/>
    <cellStyle name="Input 14 3 2 2 2 3 2 2" xfId="14058"/>
    <cellStyle name="Input 14 3 2 2 2 3 3" xfId="14059"/>
    <cellStyle name="Input 14 3 2 2 2 3 3 2" xfId="14060"/>
    <cellStyle name="Input 14 3 2 2 2 3 4" xfId="14061"/>
    <cellStyle name="Input 14 3 2 2 2 3 5" xfId="14062"/>
    <cellStyle name="Input 14 3 2 2 2 3 6" xfId="14063"/>
    <cellStyle name="Input 14 3 2 2 2 4" xfId="14064"/>
    <cellStyle name="Input 14 3 2 2 2 4 2" xfId="14065"/>
    <cellStyle name="Input 14 3 2 2 2 5" xfId="14066"/>
    <cellStyle name="Input 14 3 2 2 2 5 2" xfId="14067"/>
    <cellStyle name="Input 14 3 2 2 2 6" xfId="14068"/>
    <cellStyle name="Input 14 3 2 2 2 7" xfId="14069"/>
    <cellStyle name="Input 14 3 2 2 2 8" xfId="14070"/>
    <cellStyle name="Input 14 3 2 2 3" xfId="14071"/>
    <cellStyle name="Input 14 3 2 2 3 2" xfId="14072"/>
    <cellStyle name="Input 14 3 2 2 3 2 2" xfId="14073"/>
    <cellStyle name="Input 14 3 2 2 3 2 2 2" xfId="14074"/>
    <cellStyle name="Input 14 3 2 2 3 2 2 2 2" xfId="14075"/>
    <cellStyle name="Input 14 3 2 2 3 2 2 3" xfId="14076"/>
    <cellStyle name="Input 14 3 2 2 3 2 2 3 2" xfId="14077"/>
    <cellStyle name="Input 14 3 2 2 3 2 2 4" xfId="14078"/>
    <cellStyle name="Input 14 3 2 2 3 2 2 5" xfId="14079"/>
    <cellStyle name="Input 14 3 2 2 3 2 2 6" xfId="14080"/>
    <cellStyle name="Input 14 3 2 2 3 2 3" xfId="14081"/>
    <cellStyle name="Input 14 3 2 2 3 2 3 2" xfId="14082"/>
    <cellStyle name="Input 14 3 2 2 3 2 4" xfId="14083"/>
    <cellStyle name="Input 14 3 2 2 3 2 4 2" xfId="14084"/>
    <cellStyle name="Input 14 3 2 2 3 2 5" xfId="14085"/>
    <cellStyle name="Input 14 3 2 2 3 2 6" xfId="14086"/>
    <cellStyle name="Input 14 3 2 2 3 2 7" xfId="14087"/>
    <cellStyle name="Input 14 3 2 2 3 3" xfId="14088"/>
    <cellStyle name="Input 14 3 2 2 3 3 2" xfId="14089"/>
    <cellStyle name="Input 14 3 2 2 3 3 2 2" xfId="14090"/>
    <cellStyle name="Input 14 3 2 2 3 3 3" xfId="14091"/>
    <cellStyle name="Input 14 3 2 2 3 3 3 2" xfId="14092"/>
    <cellStyle name="Input 14 3 2 2 3 3 4" xfId="14093"/>
    <cellStyle name="Input 14 3 2 2 3 3 5" xfId="14094"/>
    <cellStyle name="Input 14 3 2 2 3 3 6" xfId="14095"/>
    <cellStyle name="Input 14 3 2 2 3 4" xfId="14096"/>
    <cellStyle name="Input 14 3 2 2 3 4 2" xfId="14097"/>
    <cellStyle name="Input 14 3 2 2 3 5" xfId="14098"/>
    <cellStyle name="Input 14 3 2 2 3 5 2" xfId="14099"/>
    <cellStyle name="Input 14 3 2 2 3 6" xfId="14100"/>
    <cellStyle name="Input 14 3 2 2 3 7" xfId="14101"/>
    <cellStyle name="Input 14 3 2 2 3 8" xfId="14102"/>
    <cellStyle name="Input 14 3 2 2 4" xfId="14103"/>
    <cellStyle name="Input 14 3 2 2 4 2" xfId="14104"/>
    <cellStyle name="Input 14 3 2 2 4 2 2" xfId="14105"/>
    <cellStyle name="Input 14 3 2 2 4 2 2 2" xfId="14106"/>
    <cellStyle name="Input 14 3 2 2 4 2 3" xfId="14107"/>
    <cellStyle name="Input 14 3 2 2 4 2 3 2" xfId="14108"/>
    <cellStyle name="Input 14 3 2 2 4 2 4" xfId="14109"/>
    <cellStyle name="Input 14 3 2 2 4 2 5" xfId="14110"/>
    <cellStyle name="Input 14 3 2 2 4 2 6" xfId="14111"/>
    <cellStyle name="Input 14 3 2 2 4 3" xfId="14112"/>
    <cellStyle name="Input 14 3 2 2 4 3 2" xfId="14113"/>
    <cellStyle name="Input 14 3 2 2 4 4" xfId="14114"/>
    <cellStyle name="Input 14 3 2 2 4 4 2" xfId="14115"/>
    <cellStyle name="Input 14 3 2 2 4 5" xfId="14116"/>
    <cellStyle name="Input 14 3 2 2 4 6" xfId="14117"/>
    <cellStyle name="Input 14 3 2 2 4 7" xfId="14118"/>
    <cellStyle name="Input 14 3 2 2 5" xfId="14119"/>
    <cellStyle name="Input 14 3 2 2 5 2" xfId="14120"/>
    <cellStyle name="Input 14 3 2 2 5 2 2" xfId="14121"/>
    <cellStyle name="Input 14 3 2 2 5 3" xfId="14122"/>
    <cellStyle name="Input 14 3 2 2 5 3 2" xfId="14123"/>
    <cellStyle name="Input 14 3 2 2 5 4" xfId="14124"/>
    <cellStyle name="Input 14 3 2 2 5 5" xfId="14125"/>
    <cellStyle name="Input 14 3 2 2 5 6" xfId="14126"/>
    <cellStyle name="Input 14 3 2 2 6" xfId="14127"/>
    <cellStyle name="Input 14 3 2 2 6 2" xfId="14128"/>
    <cellStyle name="Input 14 3 2 2 7" xfId="14129"/>
    <cellStyle name="Input 14 3 2 2 7 2" xfId="14130"/>
    <cellStyle name="Input 14 3 2 2 8" xfId="14131"/>
    <cellStyle name="Input 14 3 2 2 9" xfId="14132"/>
    <cellStyle name="Input 14 3 2 3" xfId="14133"/>
    <cellStyle name="Input 14 3 2 3 2" xfId="14134"/>
    <cellStyle name="Input 14 3 2 3 2 2" xfId="14135"/>
    <cellStyle name="Input 14 3 2 3 2 2 2" xfId="14136"/>
    <cellStyle name="Input 14 3 2 3 2 2 2 2" xfId="14137"/>
    <cellStyle name="Input 14 3 2 3 2 2 3" xfId="14138"/>
    <cellStyle name="Input 14 3 2 3 2 2 3 2" xfId="14139"/>
    <cellStyle name="Input 14 3 2 3 2 2 4" xfId="14140"/>
    <cellStyle name="Input 14 3 2 3 2 2 5" xfId="14141"/>
    <cellStyle name="Input 14 3 2 3 2 2 6" xfId="14142"/>
    <cellStyle name="Input 14 3 2 3 2 3" xfId="14143"/>
    <cellStyle name="Input 14 3 2 3 2 3 2" xfId="14144"/>
    <cellStyle name="Input 14 3 2 3 2 4" xfId="14145"/>
    <cellStyle name="Input 14 3 2 3 2 4 2" xfId="14146"/>
    <cellStyle name="Input 14 3 2 3 2 5" xfId="14147"/>
    <cellStyle name="Input 14 3 2 3 2 6" xfId="14148"/>
    <cellStyle name="Input 14 3 2 3 2 7" xfId="14149"/>
    <cellStyle name="Input 14 3 2 3 3" xfId="14150"/>
    <cellStyle name="Input 14 3 2 3 3 2" xfId="14151"/>
    <cellStyle name="Input 14 3 2 3 3 2 2" xfId="14152"/>
    <cellStyle name="Input 14 3 2 3 3 3" xfId="14153"/>
    <cellStyle name="Input 14 3 2 3 3 3 2" xfId="14154"/>
    <cellStyle name="Input 14 3 2 3 3 4" xfId="14155"/>
    <cellStyle name="Input 14 3 2 3 3 5" xfId="14156"/>
    <cellStyle name="Input 14 3 2 3 3 6" xfId="14157"/>
    <cellStyle name="Input 14 3 2 3 4" xfId="14158"/>
    <cellStyle name="Input 14 3 2 3 4 2" xfId="14159"/>
    <cellStyle name="Input 14 3 2 3 5" xfId="14160"/>
    <cellStyle name="Input 14 3 2 3 5 2" xfId="14161"/>
    <cellStyle name="Input 14 3 2 3 6" xfId="14162"/>
    <cellStyle name="Input 14 3 2 3 7" xfId="14163"/>
    <cellStyle name="Input 14 3 2 3 8" xfId="14164"/>
    <cellStyle name="Input 14 3 2 4" xfId="14165"/>
    <cellStyle name="Input 14 3 2 4 2" xfId="14166"/>
    <cellStyle name="Input 14 3 2 4 2 2" xfId="14167"/>
    <cellStyle name="Input 14 3 2 4 2 2 2" xfId="14168"/>
    <cellStyle name="Input 14 3 2 4 2 3" xfId="14169"/>
    <cellStyle name="Input 14 3 2 4 2 3 2" xfId="14170"/>
    <cellStyle name="Input 14 3 2 4 2 4" xfId="14171"/>
    <cellStyle name="Input 14 3 2 4 2 5" xfId="14172"/>
    <cellStyle name="Input 14 3 2 4 2 6" xfId="14173"/>
    <cellStyle name="Input 14 3 2 4 3" xfId="14174"/>
    <cellStyle name="Input 14 3 2 4 3 2" xfId="14175"/>
    <cellStyle name="Input 14 3 2 4 4" xfId="14176"/>
    <cellStyle name="Input 14 3 2 4 4 2" xfId="14177"/>
    <cellStyle name="Input 14 3 2 4 5" xfId="14178"/>
    <cellStyle name="Input 14 3 2 4 6" xfId="14179"/>
    <cellStyle name="Input 14 3 2 4 7" xfId="14180"/>
    <cellStyle name="Input 14 3 2 5" xfId="14181"/>
    <cellStyle name="Input 14 3 2 5 2" xfId="14182"/>
    <cellStyle name="Input 14 3 2 5 2 2" xfId="14183"/>
    <cellStyle name="Input 14 3 2 5 3" xfId="14184"/>
    <cellStyle name="Input 14 3 2 5 3 2" xfId="14185"/>
    <cellStyle name="Input 14 3 2 5 4" xfId="14186"/>
    <cellStyle name="Input 14 3 2 5 5" xfId="14187"/>
    <cellStyle name="Input 14 3 2 5 6" xfId="14188"/>
    <cellStyle name="Input 14 3 2 6" xfId="14189"/>
    <cellStyle name="Input 14 3 2 6 2" xfId="14190"/>
    <cellStyle name="Input 14 3 2 7" xfId="14191"/>
    <cellStyle name="Input 14 3 2 7 2" xfId="14192"/>
    <cellStyle name="Input 14 3 2 8" xfId="14193"/>
    <cellStyle name="Input 14 3 2 9" xfId="14194"/>
    <cellStyle name="Input 14 3 3" xfId="14195"/>
    <cellStyle name="Input 14 3 3 10" xfId="14196"/>
    <cellStyle name="Input 14 3 3 2" xfId="14197"/>
    <cellStyle name="Input 14 3 3 2 2" xfId="14198"/>
    <cellStyle name="Input 14 3 3 2 2 2" xfId="14199"/>
    <cellStyle name="Input 14 3 3 2 2 2 2" xfId="14200"/>
    <cellStyle name="Input 14 3 3 2 2 2 2 2" xfId="14201"/>
    <cellStyle name="Input 14 3 3 2 2 2 3" xfId="14202"/>
    <cellStyle name="Input 14 3 3 2 2 2 3 2" xfId="14203"/>
    <cellStyle name="Input 14 3 3 2 2 2 4" xfId="14204"/>
    <cellStyle name="Input 14 3 3 2 2 2 5" xfId="14205"/>
    <cellStyle name="Input 14 3 3 2 2 2 6" xfId="14206"/>
    <cellStyle name="Input 14 3 3 2 2 3" xfId="14207"/>
    <cellStyle name="Input 14 3 3 2 2 3 2" xfId="14208"/>
    <cellStyle name="Input 14 3 3 2 2 4" xfId="14209"/>
    <cellStyle name="Input 14 3 3 2 2 4 2" xfId="14210"/>
    <cellStyle name="Input 14 3 3 2 2 5" xfId="14211"/>
    <cellStyle name="Input 14 3 3 2 2 6" xfId="14212"/>
    <cellStyle name="Input 14 3 3 2 2 7" xfId="14213"/>
    <cellStyle name="Input 14 3 3 2 3" xfId="14214"/>
    <cellStyle name="Input 14 3 3 2 3 2" xfId="14215"/>
    <cellStyle name="Input 14 3 3 2 3 2 2" xfId="14216"/>
    <cellStyle name="Input 14 3 3 2 3 3" xfId="14217"/>
    <cellStyle name="Input 14 3 3 2 3 3 2" xfId="14218"/>
    <cellStyle name="Input 14 3 3 2 3 4" xfId="14219"/>
    <cellStyle name="Input 14 3 3 2 3 5" xfId="14220"/>
    <cellStyle name="Input 14 3 3 2 3 6" xfId="14221"/>
    <cellStyle name="Input 14 3 3 2 4" xfId="14222"/>
    <cellStyle name="Input 14 3 3 2 4 2" xfId="14223"/>
    <cellStyle name="Input 14 3 3 2 5" xfId="14224"/>
    <cellStyle name="Input 14 3 3 2 5 2" xfId="14225"/>
    <cellStyle name="Input 14 3 3 2 6" xfId="14226"/>
    <cellStyle name="Input 14 3 3 2 7" xfId="14227"/>
    <cellStyle name="Input 14 3 3 2 8" xfId="14228"/>
    <cellStyle name="Input 14 3 3 3" xfId="14229"/>
    <cellStyle name="Input 14 3 3 3 2" xfId="14230"/>
    <cellStyle name="Input 14 3 3 3 2 2" xfId="14231"/>
    <cellStyle name="Input 14 3 3 3 2 2 2" xfId="14232"/>
    <cellStyle name="Input 14 3 3 3 2 2 2 2" xfId="14233"/>
    <cellStyle name="Input 14 3 3 3 2 2 3" xfId="14234"/>
    <cellStyle name="Input 14 3 3 3 2 2 3 2" xfId="14235"/>
    <cellStyle name="Input 14 3 3 3 2 2 4" xfId="14236"/>
    <cellStyle name="Input 14 3 3 3 2 2 5" xfId="14237"/>
    <cellStyle name="Input 14 3 3 3 2 2 6" xfId="14238"/>
    <cellStyle name="Input 14 3 3 3 2 3" xfId="14239"/>
    <cellStyle name="Input 14 3 3 3 2 3 2" xfId="14240"/>
    <cellStyle name="Input 14 3 3 3 2 4" xfId="14241"/>
    <cellStyle name="Input 14 3 3 3 2 4 2" xfId="14242"/>
    <cellStyle name="Input 14 3 3 3 2 5" xfId="14243"/>
    <cellStyle name="Input 14 3 3 3 2 6" xfId="14244"/>
    <cellStyle name="Input 14 3 3 3 2 7" xfId="14245"/>
    <cellStyle name="Input 14 3 3 3 3" xfId="14246"/>
    <cellStyle name="Input 14 3 3 3 3 2" xfId="14247"/>
    <cellStyle name="Input 14 3 3 3 3 2 2" xfId="14248"/>
    <cellStyle name="Input 14 3 3 3 3 3" xfId="14249"/>
    <cellStyle name="Input 14 3 3 3 3 3 2" xfId="14250"/>
    <cellStyle name="Input 14 3 3 3 3 4" xfId="14251"/>
    <cellStyle name="Input 14 3 3 3 3 5" xfId="14252"/>
    <cellStyle name="Input 14 3 3 3 3 6" xfId="14253"/>
    <cellStyle name="Input 14 3 3 3 4" xfId="14254"/>
    <cellStyle name="Input 14 3 3 3 4 2" xfId="14255"/>
    <cellStyle name="Input 14 3 3 3 5" xfId="14256"/>
    <cellStyle name="Input 14 3 3 3 5 2" xfId="14257"/>
    <cellStyle name="Input 14 3 3 3 6" xfId="14258"/>
    <cellStyle name="Input 14 3 3 3 7" xfId="14259"/>
    <cellStyle name="Input 14 3 3 3 8" xfId="14260"/>
    <cellStyle name="Input 14 3 3 4" xfId="14261"/>
    <cellStyle name="Input 14 3 3 4 2" xfId="14262"/>
    <cellStyle name="Input 14 3 3 4 2 2" xfId="14263"/>
    <cellStyle name="Input 14 3 3 4 2 2 2" xfId="14264"/>
    <cellStyle name="Input 14 3 3 4 2 3" xfId="14265"/>
    <cellStyle name="Input 14 3 3 4 2 3 2" xfId="14266"/>
    <cellStyle name="Input 14 3 3 4 2 4" xfId="14267"/>
    <cellStyle name="Input 14 3 3 4 2 5" xfId="14268"/>
    <cellStyle name="Input 14 3 3 4 2 6" xfId="14269"/>
    <cellStyle name="Input 14 3 3 4 3" xfId="14270"/>
    <cellStyle name="Input 14 3 3 4 3 2" xfId="14271"/>
    <cellStyle name="Input 14 3 3 4 4" xfId="14272"/>
    <cellStyle name="Input 14 3 3 4 4 2" xfId="14273"/>
    <cellStyle name="Input 14 3 3 4 5" xfId="14274"/>
    <cellStyle name="Input 14 3 3 4 6" xfId="14275"/>
    <cellStyle name="Input 14 3 3 4 7" xfId="14276"/>
    <cellStyle name="Input 14 3 3 5" xfId="14277"/>
    <cellStyle name="Input 14 3 3 5 2" xfId="14278"/>
    <cellStyle name="Input 14 3 3 5 2 2" xfId="14279"/>
    <cellStyle name="Input 14 3 3 5 3" xfId="14280"/>
    <cellStyle name="Input 14 3 3 5 3 2" xfId="14281"/>
    <cellStyle name="Input 14 3 3 5 4" xfId="14282"/>
    <cellStyle name="Input 14 3 3 5 5" xfId="14283"/>
    <cellStyle name="Input 14 3 3 5 6" xfId="14284"/>
    <cellStyle name="Input 14 3 3 6" xfId="14285"/>
    <cellStyle name="Input 14 3 3 6 2" xfId="14286"/>
    <cellStyle name="Input 14 3 3 7" xfId="14287"/>
    <cellStyle name="Input 14 3 3 7 2" xfId="14288"/>
    <cellStyle name="Input 14 3 3 8" xfId="14289"/>
    <cellStyle name="Input 14 3 3 9" xfId="14290"/>
    <cellStyle name="Input 14 3 4" xfId="14291"/>
    <cellStyle name="Input 14 3 4 2" xfId="14292"/>
    <cellStyle name="Input 14 3 4 2 2" xfId="14293"/>
    <cellStyle name="Input 14 3 4 2 2 2" xfId="14294"/>
    <cellStyle name="Input 14 3 4 2 2 2 2" xfId="14295"/>
    <cellStyle name="Input 14 3 4 2 2 3" xfId="14296"/>
    <cellStyle name="Input 14 3 4 2 2 3 2" xfId="14297"/>
    <cellStyle name="Input 14 3 4 2 2 4" xfId="14298"/>
    <cellStyle name="Input 14 3 4 2 2 5" xfId="14299"/>
    <cellStyle name="Input 14 3 4 2 2 6" xfId="14300"/>
    <cellStyle name="Input 14 3 4 2 3" xfId="14301"/>
    <cellStyle name="Input 14 3 4 2 3 2" xfId="14302"/>
    <cellStyle name="Input 14 3 4 2 4" xfId="14303"/>
    <cellStyle name="Input 14 3 4 2 4 2" xfId="14304"/>
    <cellStyle name="Input 14 3 4 2 5" xfId="14305"/>
    <cellStyle name="Input 14 3 4 2 6" xfId="14306"/>
    <cellStyle name="Input 14 3 4 2 7" xfId="14307"/>
    <cellStyle name="Input 14 3 4 3" xfId="14308"/>
    <cellStyle name="Input 14 3 4 3 2" xfId="14309"/>
    <cellStyle name="Input 14 3 4 3 2 2" xfId="14310"/>
    <cellStyle name="Input 14 3 4 3 3" xfId="14311"/>
    <cellStyle name="Input 14 3 4 3 3 2" xfId="14312"/>
    <cellStyle name="Input 14 3 4 3 4" xfId="14313"/>
    <cellStyle name="Input 14 3 4 3 5" xfId="14314"/>
    <cellStyle name="Input 14 3 4 3 6" xfId="14315"/>
    <cellStyle name="Input 14 3 4 4" xfId="14316"/>
    <cellStyle name="Input 14 3 4 4 2" xfId="14317"/>
    <cellStyle name="Input 14 3 4 5" xfId="14318"/>
    <cellStyle name="Input 14 3 4 5 2" xfId="14319"/>
    <cellStyle name="Input 14 3 4 6" xfId="14320"/>
    <cellStyle name="Input 14 3 4 7" xfId="14321"/>
    <cellStyle name="Input 14 3 4 8" xfId="14322"/>
    <cellStyle name="Input 14 3 5" xfId="14323"/>
    <cellStyle name="Input 14 3 5 2" xfId="14324"/>
    <cellStyle name="Input 14 3 5 2 2" xfId="14325"/>
    <cellStyle name="Input 14 3 5 2 2 2" xfId="14326"/>
    <cellStyle name="Input 14 3 5 2 3" xfId="14327"/>
    <cellStyle name="Input 14 3 5 2 3 2" xfId="14328"/>
    <cellStyle name="Input 14 3 5 2 4" xfId="14329"/>
    <cellStyle name="Input 14 3 5 2 5" xfId="14330"/>
    <cellStyle name="Input 14 3 5 2 6" xfId="14331"/>
    <cellStyle name="Input 14 3 5 3" xfId="14332"/>
    <cellStyle name="Input 14 3 5 3 2" xfId="14333"/>
    <cellStyle name="Input 14 3 5 4" xfId="14334"/>
    <cellStyle name="Input 14 3 5 4 2" xfId="14335"/>
    <cellStyle name="Input 14 3 5 5" xfId="14336"/>
    <cellStyle name="Input 14 3 5 6" xfId="14337"/>
    <cellStyle name="Input 14 3 5 7" xfId="14338"/>
    <cellStyle name="Input 14 3 6" xfId="14339"/>
    <cellStyle name="Input 14 3 6 2" xfId="14340"/>
    <cellStyle name="Input 14 3 6 2 2" xfId="14341"/>
    <cellStyle name="Input 14 3 6 3" xfId="14342"/>
    <cellStyle name="Input 14 3 6 3 2" xfId="14343"/>
    <cellStyle name="Input 14 3 6 4" xfId="14344"/>
    <cellStyle name="Input 14 3 6 5" xfId="14345"/>
    <cellStyle name="Input 14 3 6 6" xfId="14346"/>
    <cellStyle name="Input 14 3 7" xfId="14347"/>
    <cellStyle name="Input 14 3 7 2" xfId="14348"/>
    <cellStyle name="Input 14 3 8" xfId="14349"/>
    <cellStyle name="Input 14 3 8 2" xfId="14350"/>
    <cellStyle name="Input 14 3 9" xfId="14351"/>
    <cellStyle name="Input 14 4" xfId="14352"/>
    <cellStyle name="Input 14 4 10" xfId="14353"/>
    <cellStyle name="Input 14 4 11" xfId="14354"/>
    <cellStyle name="Input 14 4 2" xfId="14355"/>
    <cellStyle name="Input 14 4 2 10" xfId="14356"/>
    <cellStyle name="Input 14 4 2 2" xfId="14357"/>
    <cellStyle name="Input 14 4 2 2 2" xfId="14358"/>
    <cellStyle name="Input 14 4 2 2 2 2" xfId="14359"/>
    <cellStyle name="Input 14 4 2 2 2 2 2" xfId="14360"/>
    <cellStyle name="Input 14 4 2 2 2 2 2 2" xfId="14361"/>
    <cellStyle name="Input 14 4 2 2 2 2 3" xfId="14362"/>
    <cellStyle name="Input 14 4 2 2 2 2 3 2" xfId="14363"/>
    <cellStyle name="Input 14 4 2 2 2 2 4" xfId="14364"/>
    <cellStyle name="Input 14 4 2 2 2 2 5" xfId="14365"/>
    <cellStyle name="Input 14 4 2 2 2 2 6" xfId="14366"/>
    <cellStyle name="Input 14 4 2 2 2 3" xfId="14367"/>
    <cellStyle name="Input 14 4 2 2 2 3 2" xfId="14368"/>
    <cellStyle name="Input 14 4 2 2 2 4" xfId="14369"/>
    <cellStyle name="Input 14 4 2 2 2 4 2" xfId="14370"/>
    <cellStyle name="Input 14 4 2 2 2 5" xfId="14371"/>
    <cellStyle name="Input 14 4 2 2 2 6" xfId="14372"/>
    <cellStyle name="Input 14 4 2 2 2 7" xfId="14373"/>
    <cellStyle name="Input 14 4 2 2 3" xfId="14374"/>
    <cellStyle name="Input 14 4 2 2 3 2" xfId="14375"/>
    <cellStyle name="Input 14 4 2 2 3 2 2" xfId="14376"/>
    <cellStyle name="Input 14 4 2 2 3 3" xfId="14377"/>
    <cellStyle name="Input 14 4 2 2 3 3 2" xfId="14378"/>
    <cellStyle name="Input 14 4 2 2 3 4" xfId="14379"/>
    <cellStyle name="Input 14 4 2 2 3 5" xfId="14380"/>
    <cellStyle name="Input 14 4 2 2 3 6" xfId="14381"/>
    <cellStyle name="Input 14 4 2 2 4" xfId="14382"/>
    <cellStyle name="Input 14 4 2 2 4 2" xfId="14383"/>
    <cellStyle name="Input 14 4 2 2 5" xfId="14384"/>
    <cellStyle name="Input 14 4 2 2 5 2" xfId="14385"/>
    <cellStyle name="Input 14 4 2 2 6" xfId="14386"/>
    <cellStyle name="Input 14 4 2 2 7" xfId="14387"/>
    <cellStyle name="Input 14 4 2 2 8" xfId="14388"/>
    <cellStyle name="Input 14 4 2 3" xfId="14389"/>
    <cellStyle name="Input 14 4 2 3 2" xfId="14390"/>
    <cellStyle name="Input 14 4 2 3 2 2" xfId="14391"/>
    <cellStyle name="Input 14 4 2 3 2 2 2" xfId="14392"/>
    <cellStyle name="Input 14 4 2 3 2 2 2 2" xfId="14393"/>
    <cellStyle name="Input 14 4 2 3 2 2 3" xfId="14394"/>
    <cellStyle name="Input 14 4 2 3 2 2 3 2" xfId="14395"/>
    <cellStyle name="Input 14 4 2 3 2 2 4" xfId="14396"/>
    <cellStyle name="Input 14 4 2 3 2 2 5" xfId="14397"/>
    <cellStyle name="Input 14 4 2 3 2 2 6" xfId="14398"/>
    <cellStyle name="Input 14 4 2 3 2 3" xfId="14399"/>
    <cellStyle name="Input 14 4 2 3 2 3 2" xfId="14400"/>
    <cellStyle name="Input 14 4 2 3 2 4" xfId="14401"/>
    <cellStyle name="Input 14 4 2 3 2 4 2" xfId="14402"/>
    <cellStyle name="Input 14 4 2 3 2 5" xfId="14403"/>
    <cellStyle name="Input 14 4 2 3 2 6" xfId="14404"/>
    <cellStyle name="Input 14 4 2 3 2 7" xfId="14405"/>
    <cellStyle name="Input 14 4 2 3 3" xfId="14406"/>
    <cellStyle name="Input 14 4 2 3 3 2" xfId="14407"/>
    <cellStyle name="Input 14 4 2 3 3 2 2" xfId="14408"/>
    <cellStyle name="Input 14 4 2 3 3 3" xfId="14409"/>
    <cellStyle name="Input 14 4 2 3 3 3 2" xfId="14410"/>
    <cellStyle name="Input 14 4 2 3 3 4" xfId="14411"/>
    <cellStyle name="Input 14 4 2 3 3 5" xfId="14412"/>
    <cellStyle name="Input 14 4 2 3 3 6" xfId="14413"/>
    <cellStyle name="Input 14 4 2 3 4" xfId="14414"/>
    <cellStyle name="Input 14 4 2 3 4 2" xfId="14415"/>
    <cellStyle name="Input 14 4 2 3 5" xfId="14416"/>
    <cellStyle name="Input 14 4 2 3 5 2" xfId="14417"/>
    <cellStyle name="Input 14 4 2 3 6" xfId="14418"/>
    <cellStyle name="Input 14 4 2 3 7" xfId="14419"/>
    <cellStyle name="Input 14 4 2 3 8" xfId="14420"/>
    <cellStyle name="Input 14 4 2 4" xfId="14421"/>
    <cellStyle name="Input 14 4 2 4 2" xfId="14422"/>
    <cellStyle name="Input 14 4 2 4 2 2" xfId="14423"/>
    <cellStyle name="Input 14 4 2 4 2 2 2" xfId="14424"/>
    <cellStyle name="Input 14 4 2 4 2 3" xfId="14425"/>
    <cellStyle name="Input 14 4 2 4 2 3 2" xfId="14426"/>
    <cellStyle name="Input 14 4 2 4 2 4" xfId="14427"/>
    <cellStyle name="Input 14 4 2 4 2 5" xfId="14428"/>
    <cellStyle name="Input 14 4 2 4 2 6" xfId="14429"/>
    <cellStyle name="Input 14 4 2 4 3" xfId="14430"/>
    <cellStyle name="Input 14 4 2 4 3 2" xfId="14431"/>
    <cellStyle name="Input 14 4 2 4 4" xfId="14432"/>
    <cellStyle name="Input 14 4 2 4 4 2" xfId="14433"/>
    <cellStyle name="Input 14 4 2 4 5" xfId="14434"/>
    <cellStyle name="Input 14 4 2 4 6" xfId="14435"/>
    <cellStyle name="Input 14 4 2 4 7" xfId="14436"/>
    <cellStyle name="Input 14 4 2 5" xfId="14437"/>
    <cellStyle name="Input 14 4 2 5 2" xfId="14438"/>
    <cellStyle name="Input 14 4 2 5 2 2" xfId="14439"/>
    <cellStyle name="Input 14 4 2 5 3" xfId="14440"/>
    <cellStyle name="Input 14 4 2 5 3 2" xfId="14441"/>
    <cellStyle name="Input 14 4 2 5 4" xfId="14442"/>
    <cellStyle name="Input 14 4 2 5 5" xfId="14443"/>
    <cellStyle name="Input 14 4 2 5 6" xfId="14444"/>
    <cellStyle name="Input 14 4 2 6" xfId="14445"/>
    <cellStyle name="Input 14 4 2 6 2" xfId="14446"/>
    <cellStyle name="Input 14 4 2 7" xfId="14447"/>
    <cellStyle name="Input 14 4 2 7 2" xfId="14448"/>
    <cellStyle name="Input 14 4 2 8" xfId="14449"/>
    <cellStyle name="Input 14 4 2 9" xfId="14450"/>
    <cellStyle name="Input 14 4 3" xfId="14451"/>
    <cellStyle name="Input 14 4 3 2" xfId="14452"/>
    <cellStyle name="Input 14 4 3 2 2" xfId="14453"/>
    <cellStyle name="Input 14 4 3 2 2 2" xfId="14454"/>
    <cellStyle name="Input 14 4 3 2 2 2 2" xfId="14455"/>
    <cellStyle name="Input 14 4 3 2 2 3" xfId="14456"/>
    <cellStyle name="Input 14 4 3 2 2 3 2" xfId="14457"/>
    <cellStyle name="Input 14 4 3 2 2 4" xfId="14458"/>
    <cellStyle name="Input 14 4 3 2 2 5" xfId="14459"/>
    <cellStyle name="Input 14 4 3 2 2 6" xfId="14460"/>
    <cellStyle name="Input 14 4 3 2 3" xfId="14461"/>
    <cellStyle name="Input 14 4 3 2 3 2" xfId="14462"/>
    <cellStyle name="Input 14 4 3 2 4" xfId="14463"/>
    <cellStyle name="Input 14 4 3 2 4 2" xfId="14464"/>
    <cellStyle name="Input 14 4 3 2 5" xfId="14465"/>
    <cellStyle name="Input 14 4 3 2 6" xfId="14466"/>
    <cellStyle name="Input 14 4 3 2 7" xfId="14467"/>
    <cellStyle name="Input 14 4 3 3" xfId="14468"/>
    <cellStyle name="Input 14 4 3 3 2" xfId="14469"/>
    <cellStyle name="Input 14 4 3 3 2 2" xfId="14470"/>
    <cellStyle name="Input 14 4 3 3 3" xfId="14471"/>
    <cellStyle name="Input 14 4 3 3 3 2" xfId="14472"/>
    <cellStyle name="Input 14 4 3 3 4" xfId="14473"/>
    <cellStyle name="Input 14 4 3 3 5" xfId="14474"/>
    <cellStyle name="Input 14 4 3 3 6" xfId="14475"/>
    <cellStyle name="Input 14 4 3 4" xfId="14476"/>
    <cellStyle name="Input 14 4 3 4 2" xfId="14477"/>
    <cellStyle name="Input 14 4 3 5" xfId="14478"/>
    <cellStyle name="Input 14 4 3 5 2" xfId="14479"/>
    <cellStyle name="Input 14 4 3 6" xfId="14480"/>
    <cellStyle name="Input 14 4 3 7" xfId="14481"/>
    <cellStyle name="Input 14 4 3 8" xfId="14482"/>
    <cellStyle name="Input 14 4 4" xfId="14483"/>
    <cellStyle name="Input 14 4 4 2" xfId="14484"/>
    <cellStyle name="Input 14 4 4 2 2" xfId="14485"/>
    <cellStyle name="Input 14 4 4 2 2 2" xfId="14486"/>
    <cellStyle name="Input 14 4 4 2 2 2 2" xfId="14487"/>
    <cellStyle name="Input 14 4 4 2 2 3" xfId="14488"/>
    <cellStyle name="Input 14 4 4 2 2 3 2" xfId="14489"/>
    <cellStyle name="Input 14 4 4 2 2 4" xfId="14490"/>
    <cellStyle name="Input 14 4 4 2 2 5" xfId="14491"/>
    <cellStyle name="Input 14 4 4 2 2 6" xfId="14492"/>
    <cellStyle name="Input 14 4 4 2 3" xfId="14493"/>
    <cellStyle name="Input 14 4 4 2 3 2" xfId="14494"/>
    <cellStyle name="Input 14 4 4 2 4" xfId="14495"/>
    <cellStyle name="Input 14 4 4 2 4 2" xfId="14496"/>
    <cellStyle name="Input 14 4 4 2 5" xfId="14497"/>
    <cellStyle name="Input 14 4 4 2 6" xfId="14498"/>
    <cellStyle name="Input 14 4 4 2 7" xfId="14499"/>
    <cellStyle name="Input 14 4 4 3" xfId="14500"/>
    <cellStyle name="Input 14 4 4 3 2" xfId="14501"/>
    <cellStyle name="Input 14 4 4 3 2 2" xfId="14502"/>
    <cellStyle name="Input 14 4 4 3 3" xfId="14503"/>
    <cellStyle name="Input 14 4 4 3 3 2" xfId="14504"/>
    <cellStyle name="Input 14 4 4 3 4" xfId="14505"/>
    <cellStyle name="Input 14 4 4 3 5" xfId="14506"/>
    <cellStyle name="Input 14 4 4 3 6" xfId="14507"/>
    <cellStyle name="Input 14 4 4 4" xfId="14508"/>
    <cellStyle name="Input 14 4 4 4 2" xfId="14509"/>
    <cellStyle name="Input 14 4 4 5" xfId="14510"/>
    <cellStyle name="Input 14 4 4 5 2" xfId="14511"/>
    <cellStyle name="Input 14 4 4 6" xfId="14512"/>
    <cellStyle name="Input 14 4 4 7" xfId="14513"/>
    <cellStyle name="Input 14 4 4 8" xfId="14514"/>
    <cellStyle name="Input 14 4 5" xfId="14515"/>
    <cellStyle name="Input 14 4 5 2" xfId="14516"/>
    <cellStyle name="Input 14 4 5 2 2" xfId="14517"/>
    <cellStyle name="Input 14 4 5 2 2 2" xfId="14518"/>
    <cellStyle name="Input 14 4 5 2 3" xfId="14519"/>
    <cellStyle name="Input 14 4 5 2 3 2" xfId="14520"/>
    <cellStyle name="Input 14 4 5 2 4" xfId="14521"/>
    <cellStyle name="Input 14 4 5 2 5" xfId="14522"/>
    <cellStyle name="Input 14 4 5 2 6" xfId="14523"/>
    <cellStyle name="Input 14 4 5 3" xfId="14524"/>
    <cellStyle name="Input 14 4 5 3 2" xfId="14525"/>
    <cellStyle name="Input 14 4 5 4" xfId="14526"/>
    <cellStyle name="Input 14 4 5 4 2" xfId="14527"/>
    <cellStyle name="Input 14 4 5 5" xfId="14528"/>
    <cellStyle name="Input 14 4 5 6" xfId="14529"/>
    <cellStyle name="Input 14 4 5 7" xfId="14530"/>
    <cellStyle name="Input 14 4 6" xfId="14531"/>
    <cellStyle name="Input 14 4 6 2" xfId="14532"/>
    <cellStyle name="Input 14 4 6 2 2" xfId="14533"/>
    <cellStyle name="Input 14 4 6 3" xfId="14534"/>
    <cellStyle name="Input 14 4 6 3 2" xfId="14535"/>
    <cellStyle name="Input 14 4 6 4" xfId="14536"/>
    <cellStyle name="Input 14 4 6 5" xfId="14537"/>
    <cellStyle name="Input 14 4 6 6" xfId="14538"/>
    <cellStyle name="Input 14 4 7" xfId="14539"/>
    <cellStyle name="Input 14 4 7 2" xfId="14540"/>
    <cellStyle name="Input 14 4 8" xfId="14541"/>
    <cellStyle name="Input 14 4 8 2" xfId="14542"/>
    <cellStyle name="Input 14 4 9" xfId="14543"/>
    <cellStyle name="Input 14 5" xfId="14544"/>
    <cellStyle name="Input 14 5 10" xfId="14545"/>
    <cellStyle name="Input 14 5 2" xfId="14546"/>
    <cellStyle name="Input 14 5 2 2" xfId="14547"/>
    <cellStyle name="Input 14 5 2 2 2" xfId="14548"/>
    <cellStyle name="Input 14 5 2 2 2 2" xfId="14549"/>
    <cellStyle name="Input 14 5 2 2 2 2 2" xfId="14550"/>
    <cellStyle name="Input 14 5 2 2 2 3" xfId="14551"/>
    <cellStyle name="Input 14 5 2 2 2 3 2" xfId="14552"/>
    <cellStyle name="Input 14 5 2 2 2 4" xfId="14553"/>
    <cellStyle name="Input 14 5 2 2 2 5" xfId="14554"/>
    <cellStyle name="Input 14 5 2 2 2 6" xfId="14555"/>
    <cellStyle name="Input 14 5 2 2 3" xfId="14556"/>
    <cellStyle name="Input 14 5 2 2 3 2" xfId="14557"/>
    <cellStyle name="Input 14 5 2 2 4" xfId="14558"/>
    <cellStyle name="Input 14 5 2 2 4 2" xfId="14559"/>
    <cellStyle name="Input 14 5 2 2 5" xfId="14560"/>
    <cellStyle name="Input 14 5 2 2 6" xfId="14561"/>
    <cellStyle name="Input 14 5 2 2 7" xfId="14562"/>
    <cellStyle name="Input 14 5 2 3" xfId="14563"/>
    <cellStyle name="Input 14 5 2 3 2" xfId="14564"/>
    <cellStyle name="Input 14 5 2 3 2 2" xfId="14565"/>
    <cellStyle name="Input 14 5 2 3 3" xfId="14566"/>
    <cellStyle name="Input 14 5 2 3 3 2" xfId="14567"/>
    <cellStyle name="Input 14 5 2 3 4" xfId="14568"/>
    <cellStyle name="Input 14 5 2 3 5" xfId="14569"/>
    <cellStyle name="Input 14 5 2 3 6" xfId="14570"/>
    <cellStyle name="Input 14 5 2 4" xfId="14571"/>
    <cellStyle name="Input 14 5 2 4 2" xfId="14572"/>
    <cellStyle name="Input 14 5 2 5" xfId="14573"/>
    <cellStyle name="Input 14 5 2 5 2" xfId="14574"/>
    <cellStyle name="Input 14 5 2 6" xfId="14575"/>
    <cellStyle name="Input 14 5 2 7" xfId="14576"/>
    <cellStyle name="Input 14 5 2 8" xfId="14577"/>
    <cellStyle name="Input 14 5 3" xfId="14578"/>
    <cellStyle name="Input 14 5 3 2" xfId="14579"/>
    <cellStyle name="Input 14 5 3 2 2" xfId="14580"/>
    <cellStyle name="Input 14 5 3 2 2 2" xfId="14581"/>
    <cellStyle name="Input 14 5 3 2 2 2 2" xfId="14582"/>
    <cellStyle name="Input 14 5 3 2 2 3" xfId="14583"/>
    <cellStyle name="Input 14 5 3 2 2 3 2" xfId="14584"/>
    <cellStyle name="Input 14 5 3 2 2 4" xfId="14585"/>
    <cellStyle name="Input 14 5 3 2 2 5" xfId="14586"/>
    <cellStyle name="Input 14 5 3 2 2 6" xfId="14587"/>
    <cellStyle name="Input 14 5 3 2 3" xfId="14588"/>
    <cellStyle name="Input 14 5 3 2 3 2" xfId="14589"/>
    <cellStyle name="Input 14 5 3 2 4" xfId="14590"/>
    <cellStyle name="Input 14 5 3 2 4 2" xfId="14591"/>
    <cellStyle name="Input 14 5 3 2 5" xfId="14592"/>
    <cellStyle name="Input 14 5 3 2 6" xfId="14593"/>
    <cellStyle name="Input 14 5 3 2 7" xfId="14594"/>
    <cellStyle name="Input 14 5 3 3" xfId="14595"/>
    <cellStyle name="Input 14 5 3 3 2" xfId="14596"/>
    <cellStyle name="Input 14 5 3 3 2 2" xfId="14597"/>
    <cellStyle name="Input 14 5 3 3 3" xfId="14598"/>
    <cellStyle name="Input 14 5 3 3 3 2" xfId="14599"/>
    <cellStyle name="Input 14 5 3 3 4" xfId="14600"/>
    <cellStyle name="Input 14 5 3 3 5" xfId="14601"/>
    <cellStyle name="Input 14 5 3 3 6" xfId="14602"/>
    <cellStyle name="Input 14 5 3 4" xfId="14603"/>
    <cellStyle name="Input 14 5 3 4 2" xfId="14604"/>
    <cellStyle name="Input 14 5 3 5" xfId="14605"/>
    <cellStyle name="Input 14 5 3 5 2" xfId="14606"/>
    <cellStyle name="Input 14 5 3 6" xfId="14607"/>
    <cellStyle name="Input 14 5 3 7" xfId="14608"/>
    <cellStyle name="Input 14 5 3 8" xfId="14609"/>
    <cellStyle name="Input 14 5 4" xfId="14610"/>
    <cellStyle name="Input 14 5 4 2" xfId="14611"/>
    <cellStyle name="Input 14 5 4 2 2" xfId="14612"/>
    <cellStyle name="Input 14 5 4 2 2 2" xfId="14613"/>
    <cellStyle name="Input 14 5 4 2 3" xfId="14614"/>
    <cellStyle name="Input 14 5 4 2 3 2" xfId="14615"/>
    <cellStyle name="Input 14 5 4 2 4" xfId="14616"/>
    <cellStyle name="Input 14 5 4 2 5" xfId="14617"/>
    <cellStyle name="Input 14 5 4 2 6" xfId="14618"/>
    <cellStyle name="Input 14 5 4 3" xfId="14619"/>
    <cellStyle name="Input 14 5 4 3 2" xfId="14620"/>
    <cellStyle name="Input 14 5 4 4" xfId="14621"/>
    <cellStyle name="Input 14 5 4 4 2" xfId="14622"/>
    <cellStyle name="Input 14 5 4 5" xfId="14623"/>
    <cellStyle name="Input 14 5 4 6" xfId="14624"/>
    <cellStyle name="Input 14 5 4 7" xfId="14625"/>
    <cellStyle name="Input 14 5 5" xfId="14626"/>
    <cellStyle name="Input 14 5 5 2" xfId="14627"/>
    <cellStyle name="Input 14 5 5 2 2" xfId="14628"/>
    <cellStyle name="Input 14 5 5 3" xfId="14629"/>
    <cellStyle name="Input 14 5 5 3 2" xfId="14630"/>
    <cellStyle name="Input 14 5 5 4" xfId="14631"/>
    <cellStyle name="Input 14 5 5 5" xfId="14632"/>
    <cellStyle name="Input 14 5 5 6" xfId="14633"/>
    <cellStyle name="Input 14 5 6" xfId="14634"/>
    <cellStyle name="Input 14 5 6 2" xfId="14635"/>
    <cellStyle name="Input 14 5 7" xfId="14636"/>
    <cellStyle name="Input 14 5 7 2" xfId="14637"/>
    <cellStyle name="Input 14 5 8" xfId="14638"/>
    <cellStyle name="Input 14 5 9" xfId="14639"/>
    <cellStyle name="Input 14 6" xfId="14640"/>
    <cellStyle name="Input 14 6 2" xfId="14641"/>
    <cellStyle name="Input 14 6 2 2" xfId="14642"/>
    <cellStyle name="Input 14 6 2 2 2" xfId="14643"/>
    <cellStyle name="Input 14 6 2 2 2 2" xfId="14644"/>
    <cellStyle name="Input 14 6 2 2 3" xfId="14645"/>
    <cellStyle name="Input 14 6 2 2 3 2" xfId="14646"/>
    <cellStyle name="Input 14 6 2 2 4" xfId="14647"/>
    <cellStyle name="Input 14 6 2 2 5" xfId="14648"/>
    <cellStyle name="Input 14 6 2 2 6" xfId="14649"/>
    <cellStyle name="Input 14 6 2 3" xfId="14650"/>
    <cellStyle name="Input 14 6 2 3 2" xfId="14651"/>
    <cellStyle name="Input 14 6 2 4" xfId="14652"/>
    <cellStyle name="Input 14 6 2 4 2" xfId="14653"/>
    <cellStyle name="Input 14 6 2 5" xfId="14654"/>
    <cellStyle name="Input 14 6 2 6" xfId="14655"/>
    <cellStyle name="Input 14 6 2 7" xfId="14656"/>
    <cellStyle name="Input 14 6 3" xfId="14657"/>
    <cellStyle name="Input 14 6 3 2" xfId="14658"/>
    <cellStyle name="Input 14 6 3 2 2" xfId="14659"/>
    <cellStyle name="Input 14 6 3 3" xfId="14660"/>
    <cellStyle name="Input 14 6 3 3 2" xfId="14661"/>
    <cellStyle name="Input 14 6 3 4" xfId="14662"/>
    <cellStyle name="Input 14 6 3 5" xfId="14663"/>
    <cellStyle name="Input 14 6 3 6" xfId="14664"/>
    <cellStyle name="Input 14 6 4" xfId="14665"/>
    <cellStyle name="Input 14 6 4 2" xfId="14666"/>
    <cellStyle name="Input 14 6 5" xfId="14667"/>
    <cellStyle name="Input 14 6 5 2" xfId="14668"/>
    <cellStyle name="Input 14 6 6" xfId="14669"/>
    <cellStyle name="Input 14 6 7" xfId="14670"/>
    <cellStyle name="Input 14 6 8" xfId="14671"/>
    <cellStyle name="Input 14 7" xfId="14672"/>
    <cellStyle name="Input 14 7 2" xfId="14673"/>
    <cellStyle name="Input 14 7 2 2" xfId="14674"/>
    <cellStyle name="Input 14 7 2 2 2" xfId="14675"/>
    <cellStyle name="Input 14 7 2 3" xfId="14676"/>
    <cellStyle name="Input 14 7 2 3 2" xfId="14677"/>
    <cellStyle name="Input 14 7 2 4" xfId="14678"/>
    <cellStyle name="Input 14 7 2 5" xfId="14679"/>
    <cellStyle name="Input 14 7 2 6" xfId="14680"/>
    <cellStyle name="Input 14 7 3" xfId="14681"/>
    <cellStyle name="Input 14 7 3 2" xfId="14682"/>
    <cellStyle name="Input 14 7 4" xfId="14683"/>
    <cellStyle name="Input 14 7 4 2" xfId="14684"/>
    <cellStyle name="Input 14 7 5" xfId="14685"/>
    <cellStyle name="Input 14 7 6" xfId="14686"/>
    <cellStyle name="Input 14 7 7" xfId="14687"/>
    <cellStyle name="Input 14 8" xfId="14688"/>
    <cellStyle name="Input 14 8 2" xfId="14689"/>
    <cellStyle name="Input 14 9" xfId="14690"/>
    <cellStyle name="Input 14 9 2" xfId="14691"/>
    <cellStyle name="Input 15" xfId="14692"/>
    <cellStyle name="Input 15 10" xfId="14693"/>
    <cellStyle name="Input 15 11" xfId="14694"/>
    <cellStyle name="Input 15 12" xfId="14695"/>
    <cellStyle name="Input 15 2" xfId="14696"/>
    <cellStyle name="Input 15 2 10" xfId="14697"/>
    <cellStyle name="Input 15 2 11" xfId="14698"/>
    <cellStyle name="Input 15 2 12" xfId="14699"/>
    <cellStyle name="Input 15 2 2" xfId="14700"/>
    <cellStyle name="Input 15 2 2 10" xfId="14701"/>
    <cellStyle name="Input 15 2 2 11" xfId="14702"/>
    <cellStyle name="Input 15 2 2 2" xfId="14703"/>
    <cellStyle name="Input 15 2 2 2 10" xfId="14704"/>
    <cellStyle name="Input 15 2 2 2 2" xfId="14705"/>
    <cellStyle name="Input 15 2 2 2 2 2" xfId="14706"/>
    <cellStyle name="Input 15 2 2 2 2 2 2" xfId="14707"/>
    <cellStyle name="Input 15 2 2 2 2 2 2 2" xfId="14708"/>
    <cellStyle name="Input 15 2 2 2 2 2 2 2 2" xfId="14709"/>
    <cellStyle name="Input 15 2 2 2 2 2 2 3" xfId="14710"/>
    <cellStyle name="Input 15 2 2 2 2 2 2 3 2" xfId="14711"/>
    <cellStyle name="Input 15 2 2 2 2 2 2 4" xfId="14712"/>
    <cellStyle name="Input 15 2 2 2 2 2 2 5" xfId="14713"/>
    <cellStyle name="Input 15 2 2 2 2 2 2 6" xfId="14714"/>
    <cellStyle name="Input 15 2 2 2 2 2 3" xfId="14715"/>
    <cellStyle name="Input 15 2 2 2 2 2 3 2" xfId="14716"/>
    <cellStyle name="Input 15 2 2 2 2 2 4" xfId="14717"/>
    <cellStyle name="Input 15 2 2 2 2 2 4 2" xfId="14718"/>
    <cellStyle name="Input 15 2 2 2 2 2 5" xfId="14719"/>
    <cellStyle name="Input 15 2 2 2 2 2 6" xfId="14720"/>
    <cellStyle name="Input 15 2 2 2 2 2 7" xfId="14721"/>
    <cellStyle name="Input 15 2 2 2 2 3" xfId="14722"/>
    <cellStyle name="Input 15 2 2 2 2 3 2" xfId="14723"/>
    <cellStyle name="Input 15 2 2 2 2 3 2 2" xfId="14724"/>
    <cellStyle name="Input 15 2 2 2 2 3 3" xfId="14725"/>
    <cellStyle name="Input 15 2 2 2 2 3 3 2" xfId="14726"/>
    <cellStyle name="Input 15 2 2 2 2 3 4" xfId="14727"/>
    <cellStyle name="Input 15 2 2 2 2 3 5" xfId="14728"/>
    <cellStyle name="Input 15 2 2 2 2 3 6" xfId="14729"/>
    <cellStyle name="Input 15 2 2 2 2 4" xfId="14730"/>
    <cellStyle name="Input 15 2 2 2 2 4 2" xfId="14731"/>
    <cellStyle name="Input 15 2 2 2 2 5" xfId="14732"/>
    <cellStyle name="Input 15 2 2 2 2 5 2" xfId="14733"/>
    <cellStyle name="Input 15 2 2 2 2 6" xfId="14734"/>
    <cellStyle name="Input 15 2 2 2 2 7" xfId="14735"/>
    <cellStyle name="Input 15 2 2 2 2 8" xfId="14736"/>
    <cellStyle name="Input 15 2 2 2 3" xfId="14737"/>
    <cellStyle name="Input 15 2 2 2 3 2" xfId="14738"/>
    <cellStyle name="Input 15 2 2 2 3 2 2" xfId="14739"/>
    <cellStyle name="Input 15 2 2 2 3 2 2 2" xfId="14740"/>
    <cellStyle name="Input 15 2 2 2 3 2 2 2 2" xfId="14741"/>
    <cellStyle name="Input 15 2 2 2 3 2 2 3" xfId="14742"/>
    <cellStyle name="Input 15 2 2 2 3 2 2 3 2" xfId="14743"/>
    <cellStyle name="Input 15 2 2 2 3 2 2 4" xfId="14744"/>
    <cellStyle name="Input 15 2 2 2 3 2 2 5" xfId="14745"/>
    <cellStyle name="Input 15 2 2 2 3 2 2 6" xfId="14746"/>
    <cellStyle name="Input 15 2 2 2 3 2 3" xfId="14747"/>
    <cellStyle name="Input 15 2 2 2 3 2 3 2" xfId="14748"/>
    <cellStyle name="Input 15 2 2 2 3 2 4" xfId="14749"/>
    <cellStyle name="Input 15 2 2 2 3 2 4 2" xfId="14750"/>
    <cellStyle name="Input 15 2 2 2 3 2 5" xfId="14751"/>
    <cellStyle name="Input 15 2 2 2 3 2 6" xfId="14752"/>
    <cellStyle name="Input 15 2 2 2 3 2 7" xfId="14753"/>
    <cellStyle name="Input 15 2 2 2 3 3" xfId="14754"/>
    <cellStyle name="Input 15 2 2 2 3 3 2" xfId="14755"/>
    <cellStyle name="Input 15 2 2 2 3 3 2 2" xfId="14756"/>
    <cellStyle name="Input 15 2 2 2 3 3 3" xfId="14757"/>
    <cellStyle name="Input 15 2 2 2 3 3 3 2" xfId="14758"/>
    <cellStyle name="Input 15 2 2 2 3 3 4" xfId="14759"/>
    <cellStyle name="Input 15 2 2 2 3 3 5" xfId="14760"/>
    <cellStyle name="Input 15 2 2 2 3 3 6" xfId="14761"/>
    <cellStyle name="Input 15 2 2 2 3 4" xfId="14762"/>
    <cellStyle name="Input 15 2 2 2 3 4 2" xfId="14763"/>
    <cellStyle name="Input 15 2 2 2 3 5" xfId="14764"/>
    <cellStyle name="Input 15 2 2 2 3 5 2" xfId="14765"/>
    <cellStyle name="Input 15 2 2 2 3 6" xfId="14766"/>
    <cellStyle name="Input 15 2 2 2 3 7" xfId="14767"/>
    <cellStyle name="Input 15 2 2 2 3 8" xfId="14768"/>
    <cellStyle name="Input 15 2 2 2 4" xfId="14769"/>
    <cellStyle name="Input 15 2 2 2 4 2" xfId="14770"/>
    <cellStyle name="Input 15 2 2 2 4 2 2" xfId="14771"/>
    <cellStyle name="Input 15 2 2 2 4 2 2 2" xfId="14772"/>
    <cellStyle name="Input 15 2 2 2 4 2 3" xfId="14773"/>
    <cellStyle name="Input 15 2 2 2 4 2 3 2" xfId="14774"/>
    <cellStyle name="Input 15 2 2 2 4 2 4" xfId="14775"/>
    <cellStyle name="Input 15 2 2 2 4 2 5" xfId="14776"/>
    <cellStyle name="Input 15 2 2 2 4 2 6" xfId="14777"/>
    <cellStyle name="Input 15 2 2 2 4 3" xfId="14778"/>
    <cellStyle name="Input 15 2 2 2 4 3 2" xfId="14779"/>
    <cellStyle name="Input 15 2 2 2 4 4" xfId="14780"/>
    <cellStyle name="Input 15 2 2 2 4 4 2" xfId="14781"/>
    <cellStyle name="Input 15 2 2 2 4 5" xfId="14782"/>
    <cellStyle name="Input 15 2 2 2 4 6" xfId="14783"/>
    <cellStyle name="Input 15 2 2 2 4 7" xfId="14784"/>
    <cellStyle name="Input 15 2 2 2 5" xfId="14785"/>
    <cellStyle name="Input 15 2 2 2 5 2" xfId="14786"/>
    <cellStyle name="Input 15 2 2 2 5 2 2" xfId="14787"/>
    <cellStyle name="Input 15 2 2 2 5 3" xfId="14788"/>
    <cellStyle name="Input 15 2 2 2 5 3 2" xfId="14789"/>
    <cellStyle name="Input 15 2 2 2 5 4" xfId="14790"/>
    <cellStyle name="Input 15 2 2 2 5 5" xfId="14791"/>
    <cellStyle name="Input 15 2 2 2 5 6" xfId="14792"/>
    <cellStyle name="Input 15 2 2 2 6" xfId="14793"/>
    <cellStyle name="Input 15 2 2 2 6 2" xfId="14794"/>
    <cellStyle name="Input 15 2 2 2 7" xfId="14795"/>
    <cellStyle name="Input 15 2 2 2 7 2" xfId="14796"/>
    <cellStyle name="Input 15 2 2 2 8" xfId="14797"/>
    <cellStyle name="Input 15 2 2 2 9" xfId="14798"/>
    <cellStyle name="Input 15 2 2 3" xfId="14799"/>
    <cellStyle name="Input 15 2 2 3 2" xfId="14800"/>
    <cellStyle name="Input 15 2 2 3 2 2" xfId="14801"/>
    <cellStyle name="Input 15 2 2 3 2 2 2" xfId="14802"/>
    <cellStyle name="Input 15 2 2 3 2 2 2 2" xfId="14803"/>
    <cellStyle name="Input 15 2 2 3 2 2 3" xfId="14804"/>
    <cellStyle name="Input 15 2 2 3 2 2 3 2" xfId="14805"/>
    <cellStyle name="Input 15 2 2 3 2 2 4" xfId="14806"/>
    <cellStyle name="Input 15 2 2 3 2 2 5" xfId="14807"/>
    <cellStyle name="Input 15 2 2 3 2 2 6" xfId="14808"/>
    <cellStyle name="Input 15 2 2 3 2 3" xfId="14809"/>
    <cellStyle name="Input 15 2 2 3 2 3 2" xfId="14810"/>
    <cellStyle name="Input 15 2 2 3 2 4" xfId="14811"/>
    <cellStyle name="Input 15 2 2 3 2 4 2" xfId="14812"/>
    <cellStyle name="Input 15 2 2 3 2 5" xfId="14813"/>
    <cellStyle name="Input 15 2 2 3 2 6" xfId="14814"/>
    <cellStyle name="Input 15 2 2 3 2 7" xfId="14815"/>
    <cellStyle name="Input 15 2 2 3 3" xfId="14816"/>
    <cellStyle name="Input 15 2 2 3 3 2" xfId="14817"/>
    <cellStyle name="Input 15 2 2 3 3 2 2" xfId="14818"/>
    <cellStyle name="Input 15 2 2 3 3 3" xfId="14819"/>
    <cellStyle name="Input 15 2 2 3 3 3 2" xfId="14820"/>
    <cellStyle name="Input 15 2 2 3 3 4" xfId="14821"/>
    <cellStyle name="Input 15 2 2 3 3 5" xfId="14822"/>
    <cellStyle name="Input 15 2 2 3 3 6" xfId="14823"/>
    <cellStyle name="Input 15 2 2 3 4" xfId="14824"/>
    <cellStyle name="Input 15 2 2 3 4 2" xfId="14825"/>
    <cellStyle name="Input 15 2 2 3 5" xfId="14826"/>
    <cellStyle name="Input 15 2 2 3 5 2" xfId="14827"/>
    <cellStyle name="Input 15 2 2 3 6" xfId="14828"/>
    <cellStyle name="Input 15 2 2 3 7" xfId="14829"/>
    <cellStyle name="Input 15 2 2 3 8" xfId="14830"/>
    <cellStyle name="Input 15 2 2 4" xfId="14831"/>
    <cellStyle name="Input 15 2 2 4 2" xfId="14832"/>
    <cellStyle name="Input 15 2 2 4 2 2" xfId="14833"/>
    <cellStyle name="Input 15 2 2 4 2 2 2" xfId="14834"/>
    <cellStyle name="Input 15 2 2 4 2 2 2 2" xfId="14835"/>
    <cellStyle name="Input 15 2 2 4 2 2 3" xfId="14836"/>
    <cellStyle name="Input 15 2 2 4 2 2 3 2" xfId="14837"/>
    <cellStyle name="Input 15 2 2 4 2 2 4" xfId="14838"/>
    <cellStyle name="Input 15 2 2 4 2 2 5" xfId="14839"/>
    <cellStyle name="Input 15 2 2 4 2 2 6" xfId="14840"/>
    <cellStyle name="Input 15 2 2 4 2 3" xfId="14841"/>
    <cellStyle name="Input 15 2 2 4 2 3 2" xfId="14842"/>
    <cellStyle name="Input 15 2 2 4 2 4" xfId="14843"/>
    <cellStyle name="Input 15 2 2 4 2 4 2" xfId="14844"/>
    <cellStyle name="Input 15 2 2 4 2 5" xfId="14845"/>
    <cellStyle name="Input 15 2 2 4 2 6" xfId="14846"/>
    <cellStyle name="Input 15 2 2 4 2 7" xfId="14847"/>
    <cellStyle name="Input 15 2 2 4 3" xfId="14848"/>
    <cellStyle name="Input 15 2 2 4 3 2" xfId="14849"/>
    <cellStyle name="Input 15 2 2 4 3 2 2" xfId="14850"/>
    <cellStyle name="Input 15 2 2 4 3 3" xfId="14851"/>
    <cellStyle name="Input 15 2 2 4 3 3 2" xfId="14852"/>
    <cellStyle name="Input 15 2 2 4 3 4" xfId="14853"/>
    <cellStyle name="Input 15 2 2 4 3 5" xfId="14854"/>
    <cellStyle name="Input 15 2 2 4 3 6" xfId="14855"/>
    <cellStyle name="Input 15 2 2 4 4" xfId="14856"/>
    <cellStyle name="Input 15 2 2 4 4 2" xfId="14857"/>
    <cellStyle name="Input 15 2 2 4 5" xfId="14858"/>
    <cellStyle name="Input 15 2 2 4 5 2" xfId="14859"/>
    <cellStyle name="Input 15 2 2 4 6" xfId="14860"/>
    <cellStyle name="Input 15 2 2 4 7" xfId="14861"/>
    <cellStyle name="Input 15 2 2 4 8" xfId="14862"/>
    <cellStyle name="Input 15 2 2 5" xfId="14863"/>
    <cellStyle name="Input 15 2 2 5 2" xfId="14864"/>
    <cellStyle name="Input 15 2 2 5 2 2" xfId="14865"/>
    <cellStyle name="Input 15 2 2 5 2 2 2" xfId="14866"/>
    <cellStyle name="Input 15 2 2 5 2 3" xfId="14867"/>
    <cellStyle name="Input 15 2 2 5 2 3 2" xfId="14868"/>
    <cellStyle name="Input 15 2 2 5 2 4" xfId="14869"/>
    <cellStyle name="Input 15 2 2 5 2 5" xfId="14870"/>
    <cellStyle name="Input 15 2 2 5 2 6" xfId="14871"/>
    <cellStyle name="Input 15 2 2 5 3" xfId="14872"/>
    <cellStyle name="Input 15 2 2 5 3 2" xfId="14873"/>
    <cellStyle name="Input 15 2 2 5 4" xfId="14874"/>
    <cellStyle name="Input 15 2 2 5 4 2" xfId="14875"/>
    <cellStyle name="Input 15 2 2 5 5" xfId="14876"/>
    <cellStyle name="Input 15 2 2 5 6" xfId="14877"/>
    <cellStyle name="Input 15 2 2 5 7" xfId="14878"/>
    <cellStyle name="Input 15 2 2 6" xfId="14879"/>
    <cellStyle name="Input 15 2 2 6 2" xfId="14880"/>
    <cellStyle name="Input 15 2 2 6 2 2" xfId="14881"/>
    <cellStyle name="Input 15 2 2 6 3" xfId="14882"/>
    <cellStyle name="Input 15 2 2 6 3 2" xfId="14883"/>
    <cellStyle name="Input 15 2 2 6 4" xfId="14884"/>
    <cellStyle name="Input 15 2 2 6 5" xfId="14885"/>
    <cellStyle name="Input 15 2 2 6 6" xfId="14886"/>
    <cellStyle name="Input 15 2 2 7" xfId="14887"/>
    <cellStyle name="Input 15 2 2 7 2" xfId="14888"/>
    <cellStyle name="Input 15 2 2 8" xfId="14889"/>
    <cellStyle name="Input 15 2 2 8 2" xfId="14890"/>
    <cellStyle name="Input 15 2 2 9" xfId="14891"/>
    <cellStyle name="Input 15 2 3" xfId="14892"/>
    <cellStyle name="Input 15 2 3 10" xfId="14893"/>
    <cellStyle name="Input 15 2 3 2" xfId="14894"/>
    <cellStyle name="Input 15 2 3 2 10" xfId="14895"/>
    <cellStyle name="Input 15 2 3 2 2" xfId="14896"/>
    <cellStyle name="Input 15 2 3 2 2 2" xfId="14897"/>
    <cellStyle name="Input 15 2 3 2 2 2 2" xfId="14898"/>
    <cellStyle name="Input 15 2 3 2 2 2 2 2" xfId="14899"/>
    <cellStyle name="Input 15 2 3 2 2 2 2 2 2" xfId="14900"/>
    <cellStyle name="Input 15 2 3 2 2 2 2 3" xfId="14901"/>
    <cellStyle name="Input 15 2 3 2 2 2 2 3 2" xfId="14902"/>
    <cellStyle name="Input 15 2 3 2 2 2 2 4" xfId="14903"/>
    <cellStyle name="Input 15 2 3 2 2 2 2 5" xfId="14904"/>
    <cellStyle name="Input 15 2 3 2 2 2 2 6" xfId="14905"/>
    <cellStyle name="Input 15 2 3 2 2 2 3" xfId="14906"/>
    <cellStyle name="Input 15 2 3 2 2 2 3 2" xfId="14907"/>
    <cellStyle name="Input 15 2 3 2 2 2 4" xfId="14908"/>
    <cellStyle name="Input 15 2 3 2 2 2 4 2" xfId="14909"/>
    <cellStyle name="Input 15 2 3 2 2 2 5" xfId="14910"/>
    <cellStyle name="Input 15 2 3 2 2 2 6" xfId="14911"/>
    <cellStyle name="Input 15 2 3 2 2 2 7" xfId="14912"/>
    <cellStyle name="Input 15 2 3 2 2 3" xfId="14913"/>
    <cellStyle name="Input 15 2 3 2 2 3 2" xfId="14914"/>
    <cellStyle name="Input 15 2 3 2 2 3 2 2" xfId="14915"/>
    <cellStyle name="Input 15 2 3 2 2 3 3" xfId="14916"/>
    <cellStyle name="Input 15 2 3 2 2 3 3 2" xfId="14917"/>
    <cellStyle name="Input 15 2 3 2 2 3 4" xfId="14918"/>
    <cellStyle name="Input 15 2 3 2 2 3 5" xfId="14919"/>
    <cellStyle name="Input 15 2 3 2 2 3 6" xfId="14920"/>
    <cellStyle name="Input 15 2 3 2 2 4" xfId="14921"/>
    <cellStyle name="Input 15 2 3 2 2 4 2" xfId="14922"/>
    <cellStyle name="Input 15 2 3 2 2 5" xfId="14923"/>
    <cellStyle name="Input 15 2 3 2 2 5 2" xfId="14924"/>
    <cellStyle name="Input 15 2 3 2 2 6" xfId="14925"/>
    <cellStyle name="Input 15 2 3 2 2 7" xfId="14926"/>
    <cellStyle name="Input 15 2 3 2 2 8" xfId="14927"/>
    <cellStyle name="Input 15 2 3 2 3" xfId="14928"/>
    <cellStyle name="Input 15 2 3 2 3 2" xfId="14929"/>
    <cellStyle name="Input 15 2 3 2 3 2 2" xfId="14930"/>
    <cellStyle name="Input 15 2 3 2 3 2 2 2" xfId="14931"/>
    <cellStyle name="Input 15 2 3 2 3 2 2 2 2" xfId="14932"/>
    <cellStyle name="Input 15 2 3 2 3 2 2 3" xfId="14933"/>
    <cellStyle name="Input 15 2 3 2 3 2 2 3 2" xfId="14934"/>
    <cellStyle name="Input 15 2 3 2 3 2 2 4" xfId="14935"/>
    <cellStyle name="Input 15 2 3 2 3 2 2 5" xfId="14936"/>
    <cellStyle name="Input 15 2 3 2 3 2 2 6" xfId="14937"/>
    <cellStyle name="Input 15 2 3 2 3 2 3" xfId="14938"/>
    <cellStyle name="Input 15 2 3 2 3 2 3 2" xfId="14939"/>
    <cellStyle name="Input 15 2 3 2 3 2 4" xfId="14940"/>
    <cellStyle name="Input 15 2 3 2 3 2 4 2" xfId="14941"/>
    <cellStyle name="Input 15 2 3 2 3 2 5" xfId="14942"/>
    <cellStyle name="Input 15 2 3 2 3 2 6" xfId="14943"/>
    <cellStyle name="Input 15 2 3 2 3 2 7" xfId="14944"/>
    <cellStyle name="Input 15 2 3 2 3 3" xfId="14945"/>
    <cellStyle name="Input 15 2 3 2 3 3 2" xfId="14946"/>
    <cellStyle name="Input 15 2 3 2 3 3 2 2" xfId="14947"/>
    <cellStyle name="Input 15 2 3 2 3 3 3" xfId="14948"/>
    <cellStyle name="Input 15 2 3 2 3 3 3 2" xfId="14949"/>
    <cellStyle name="Input 15 2 3 2 3 3 4" xfId="14950"/>
    <cellStyle name="Input 15 2 3 2 3 3 5" xfId="14951"/>
    <cellStyle name="Input 15 2 3 2 3 3 6" xfId="14952"/>
    <cellStyle name="Input 15 2 3 2 3 4" xfId="14953"/>
    <cellStyle name="Input 15 2 3 2 3 4 2" xfId="14954"/>
    <cellStyle name="Input 15 2 3 2 3 5" xfId="14955"/>
    <cellStyle name="Input 15 2 3 2 3 5 2" xfId="14956"/>
    <cellStyle name="Input 15 2 3 2 3 6" xfId="14957"/>
    <cellStyle name="Input 15 2 3 2 3 7" xfId="14958"/>
    <cellStyle name="Input 15 2 3 2 3 8" xfId="14959"/>
    <cellStyle name="Input 15 2 3 2 4" xfId="14960"/>
    <cellStyle name="Input 15 2 3 2 4 2" xfId="14961"/>
    <cellStyle name="Input 15 2 3 2 4 2 2" xfId="14962"/>
    <cellStyle name="Input 15 2 3 2 4 2 2 2" xfId="14963"/>
    <cellStyle name="Input 15 2 3 2 4 2 3" xfId="14964"/>
    <cellStyle name="Input 15 2 3 2 4 2 3 2" xfId="14965"/>
    <cellStyle name="Input 15 2 3 2 4 2 4" xfId="14966"/>
    <cellStyle name="Input 15 2 3 2 4 2 5" xfId="14967"/>
    <cellStyle name="Input 15 2 3 2 4 2 6" xfId="14968"/>
    <cellStyle name="Input 15 2 3 2 4 3" xfId="14969"/>
    <cellStyle name="Input 15 2 3 2 4 3 2" xfId="14970"/>
    <cellStyle name="Input 15 2 3 2 4 4" xfId="14971"/>
    <cellStyle name="Input 15 2 3 2 4 4 2" xfId="14972"/>
    <cellStyle name="Input 15 2 3 2 4 5" xfId="14973"/>
    <cellStyle name="Input 15 2 3 2 4 6" xfId="14974"/>
    <cellStyle name="Input 15 2 3 2 4 7" xfId="14975"/>
    <cellStyle name="Input 15 2 3 2 5" xfId="14976"/>
    <cellStyle name="Input 15 2 3 2 5 2" xfId="14977"/>
    <cellStyle name="Input 15 2 3 2 5 2 2" xfId="14978"/>
    <cellStyle name="Input 15 2 3 2 5 3" xfId="14979"/>
    <cellStyle name="Input 15 2 3 2 5 3 2" xfId="14980"/>
    <cellStyle name="Input 15 2 3 2 5 4" xfId="14981"/>
    <cellStyle name="Input 15 2 3 2 5 5" xfId="14982"/>
    <cellStyle name="Input 15 2 3 2 5 6" xfId="14983"/>
    <cellStyle name="Input 15 2 3 2 6" xfId="14984"/>
    <cellStyle name="Input 15 2 3 2 6 2" xfId="14985"/>
    <cellStyle name="Input 15 2 3 2 7" xfId="14986"/>
    <cellStyle name="Input 15 2 3 2 7 2" xfId="14987"/>
    <cellStyle name="Input 15 2 3 2 8" xfId="14988"/>
    <cellStyle name="Input 15 2 3 2 9" xfId="14989"/>
    <cellStyle name="Input 15 2 3 3" xfId="14990"/>
    <cellStyle name="Input 15 2 3 3 2" xfId="14991"/>
    <cellStyle name="Input 15 2 3 3 2 2" xfId="14992"/>
    <cellStyle name="Input 15 2 3 3 2 2 2" xfId="14993"/>
    <cellStyle name="Input 15 2 3 3 2 2 2 2" xfId="14994"/>
    <cellStyle name="Input 15 2 3 3 2 2 3" xfId="14995"/>
    <cellStyle name="Input 15 2 3 3 2 2 3 2" xfId="14996"/>
    <cellStyle name="Input 15 2 3 3 2 2 4" xfId="14997"/>
    <cellStyle name="Input 15 2 3 3 2 2 5" xfId="14998"/>
    <cellStyle name="Input 15 2 3 3 2 2 6" xfId="14999"/>
    <cellStyle name="Input 15 2 3 3 2 3" xfId="15000"/>
    <cellStyle name="Input 15 2 3 3 2 3 2" xfId="15001"/>
    <cellStyle name="Input 15 2 3 3 2 4" xfId="15002"/>
    <cellStyle name="Input 15 2 3 3 2 4 2" xfId="15003"/>
    <cellStyle name="Input 15 2 3 3 2 5" xfId="15004"/>
    <cellStyle name="Input 15 2 3 3 2 6" xfId="15005"/>
    <cellStyle name="Input 15 2 3 3 2 7" xfId="15006"/>
    <cellStyle name="Input 15 2 3 3 3" xfId="15007"/>
    <cellStyle name="Input 15 2 3 3 3 2" xfId="15008"/>
    <cellStyle name="Input 15 2 3 3 3 2 2" xfId="15009"/>
    <cellStyle name="Input 15 2 3 3 3 3" xfId="15010"/>
    <cellStyle name="Input 15 2 3 3 3 3 2" xfId="15011"/>
    <cellStyle name="Input 15 2 3 3 3 4" xfId="15012"/>
    <cellStyle name="Input 15 2 3 3 3 5" xfId="15013"/>
    <cellStyle name="Input 15 2 3 3 3 6" xfId="15014"/>
    <cellStyle name="Input 15 2 3 3 4" xfId="15015"/>
    <cellStyle name="Input 15 2 3 3 4 2" xfId="15016"/>
    <cellStyle name="Input 15 2 3 3 5" xfId="15017"/>
    <cellStyle name="Input 15 2 3 3 5 2" xfId="15018"/>
    <cellStyle name="Input 15 2 3 3 6" xfId="15019"/>
    <cellStyle name="Input 15 2 3 3 7" xfId="15020"/>
    <cellStyle name="Input 15 2 3 3 8" xfId="15021"/>
    <cellStyle name="Input 15 2 3 4" xfId="15022"/>
    <cellStyle name="Input 15 2 3 4 2" xfId="15023"/>
    <cellStyle name="Input 15 2 3 4 2 2" xfId="15024"/>
    <cellStyle name="Input 15 2 3 4 2 2 2" xfId="15025"/>
    <cellStyle name="Input 15 2 3 4 2 3" xfId="15026"/>
    <cellStyle name="Input 15 2 3 4 2 3 2" xfId="15027"/>
    <cellStyle name="Input 15 2 3 4 2 4" xfId="15028"/>
    <cellStyle name="Input 15 2 3 4 2 5" xfId="15029"/>
    <cellStyle name="Input 15 2 3 4 2 6" xfId="15030"/>
    <cellStyle name="Input 15 2 3 4 3" xfId="15031"/>
    <cellStyle name="Input 15 2 3 4 3 2" xfId="15032"/>
    <cellStyle name="Input 15 2 3 4 4" xfId="15033"/>
    <cellStyle name="Input 15 2 3 4 4 2" xfId="15034"/>
    <cellStyle name="Input 15 2 3 4 5" xfId="15035"/>
    <cellStyle name="Input 15 2 3 4 6" xfId="15036"/>
    <cellStyle name="Input 15 2 3 4 7" xfId="15037"/>
    <cellStyle name="Input 15 2 3 5" xfId="15038"/>
    <cellStyle name="Input 15 2 3 5 2" xfId="15039"/>
    <cellStyle name="Input 15 2 3 5 2 2" xfId="15040"/>
    <cellStyle name="Input 15 2 3 5 3" xfId="15041"/>
    <cellStyle name="Input 15 2 3 5 3 2" xfId="15042"/>
    <cellStyle name="Input 15 2 3 5 4" xfId="15043"/>
    <cellStyle name="Input 15 2 3 5 5" xfId="15044"/>
    <cellStyle name="Input 15 2 3 5 6" xfId="15045"/>
    <cellStyle name="Input 15 2 3 6" xfId="15046"/>
    <cellStyle name="Input 15 2 3 6 2" xfId="15047"/>
    <cellStyle name="Input 15 2 3 7" xfId="15048"/>
    <cellStyle name="Input 15 2 3 7 2" xfId="15049"/>
    <cellStyle name="Input 15 2 3 8" xfId="15050"/>
    <cellStyle name="Input 15 2 3 9" xfId="15051"/>
    <cellStyle name="Input 15 2 4" xfId="15052"/>
    <cellStyle name="Input 15 2 4 10" xfId="15053"/>
    <cellStyle name="Input 15 2 4 2" xfId="15054"/>
    <cellStyle name="Input 15 2 4 2 2" xfId="15055"/>
    <cellStyle name="Input 15 2 4 2 2 2" xfId="15056"/>
    <cellStyle name="Input 15 2 4 2 2 2 2" xfId="15057"/>
    <cellStyle name="Input 15 2 4 2 2 2 2 2" xfId="15058"/>
    <cellStyle name="Input 15 2 4 2 2 2 3" xfId="15059"/>
    <cellStyle name="Input 15 2 4 2 2 2 3 2" xfId="15060"/>
    <cellStyle name="Input 15 2 4 2 2 2 4" xfId="15061"/>
    <cellStyle name="Input 15 2 4 2 2 2 5" xfId="15062"/>
    <cellStyle name="Input 15 2 4 2 2 2 6" xfId="15063"/>
    <cellStyle name="Input 15 2 4 2 2 3" xfId="15064"/>
    <cellStyle name="Input 15 2 4 2 2 3 2" xfId="15065"/>
    <cellStyle name="Input 15 2 4 2 2 4" xfId="15066"/>
    <cellStyle name="Input 15 2 4 2 2 4 2" xfId="15067"/>
    <cellStyle name="Input 15 2 4 2 2 5" xfId="15068"/>
    <cellStyle name="Input 15 2 4 2 2 6" xfId="15069"/>
    <cellStyle name="Input 15 2 4 2 2 7" xfId="15070"/>
    <cellStyle name="Input 15 2 4 2 3" xfId="15071"/>
    <cellStyle name="Input 15 2 4 2 3 2" xfId="15072"/>
    <cellStyle name="Input 15 2 4 2 3 2 2" xfId="15073"/>
    <cellStyle name="Input 15 2 4 2 3 3" xfId="15074"/>
    <cellStyle name="Input 15 2 4 2 3 3 2" xfId="15075"/>
    <cellStyle name="Input 15 2 4 2 3 4" xfId="15076"/>
    <cellStyle name="Input 15 2 4 2 3 5" xfId="15077"/>
    <cellStyle name="Input 15 2 4 2 3 6" xfId="15078"/>
    <cellStyle name="Input 15 2 4 2 4" xfId="15079"/>
    <cellStyle name="Input 15 2 4 2 4 2" xfId="15080"/>
    <cellStyle name="Input 15 2 4 2 5" xfId="15081"/>
    <cellStyle name="Input 15 2 4 2 5 2" xfId="15082"/>
    <cellStyle name="Input 15 2 4 2 6" xfId="15083"/>
    <cellStyle name="Input 15 2 4 2 7" xfId="15084"/>
    <cellStyle name="Input 15 2 4 2 8" xfId="15085"/>
    <cellStyle name="Input 15 2 4 3" xfId="15086"/>
    <cellStyle name="Input 15 2 4 3 2" xfId="15087"/>
    <cellStyle name="Input 15 2 4 3 2 2" xfId="15088"/>
    <cellStyle name="Input 15 2 4 3 2 2 2" xfId="15089"/>
    <cellStyle name="Input 15 2 4 3 2 2 2 2" xfId="15090"/>
    <cellStyle name="Input 15 2 4 3 2 2 3" xfId="15091"/>
    <cellStyle name="Input 15 2 4 3 2 2 3 2" xfId="15092"/>
    <cellStyle name="Input 15 2 4 3 2 2 4" xfId="15093"/>
    <cellStyle name="Input 15 2 4 3 2 2 5" xfId="15094"/>
    <cellStyle name="Input 15 2 4 3 2 2 6" xfId="15095"/>
    <cellStyle name="Input 15 2 4 3 2 3" xfId="15096"/>
    <cellStyle name="Input 15 2 4 3 2 3 2" xfId="15097"/>
    <cellStyle name="Input 15 2 4 3 2 4" xfId="15098"/>
    <cellStyle name="Input 15 2 4 3 2 4 2" xfId="15099"/>
    <cellStyle name="Input 15 2 4 3 2 5" xfId="15100"/>
    <cellStyle name="Input 15 2 4 3 2 6" xfId="15101"/>
    <cellStyle name="Input 15 2 4 3 2 7" xfId="15102"/>
    <cellStyle name="Input 15 2 4 3 3" xfId="15103"/>
    <cellStyle name="Input 15 2 4 3 3 2" xfId="15104"/>
    <cellStyle name="Input 15 2 4 3 3 2 2" xfId="15105"/>
    <cellStyle name="Input 15 2 4 3 3 3" xfId="15106"/>
    <cellStyle name="Input 15 2 4 3 3 3 2" xfId="15107"/>
    <cellStyle name="Input 15 2 4 3 3 4" xfId="15108"/>
    <cellStyle name="Input 15 2 4 3 3 5" xfId="15109"/>
    <cellStyle name="Input 15 2 4 3 3 6" xfId="15110"/>
    <cellStyle name="Input 15 2 4 3 4" xfId="15111"/>
    <cellStyle name="Input 15 2 4 3 4 2" xfId="15112"/>
    <cellStyle name="Input 15 2 4 3 5" xfId="15113"/>
    <cellStyle name="Input 15 2 4 3 5 2" xfId="15114"/>
    <cellStyle name="Input 15 2 4 3 6" xfId="15115"/>
    <cellStyle name="Input 15 2 4 3 7" xfId="15116"/>
    <cellStyle name="Input 15 2 4 3 8" xfId="15117"/>
    <cellStyle name="Input 15 2 4 4" xfId="15118"/>
    <cellStyle name="Input 15 2 4 4 2" xfId="15119"/>
    <cellStyle name="Input 15 2 4 4 2 2" xfId="15120"/>
    <cellStyle name="Input 15 2 4 4 2 2 2" xfId="15121"/>
    <cellStyle name="Input 15 2 4 4 2 3" xfId="15122"/>
    <cellStyle name="Input 15 2 4 4 2 3 2" xfId="15123"/>
    <cellStyle name="Input 15 2 4 4 2 4" xfId="15124"/>
    <cellStyle name="Input 15 2 4 4 2 5" xfId="15125"/>
    <cellStyle name="Input 15 2 4 4 2 6" xfId="15126"/>
    <cellStyle name="Input 15 2 4 4 3" xfId="15127"/>
    <cellStyle name="Input 15 2 4 4 3 2" xfId="15128"/>
    <cellStyle name="Input 15 2 4 4 4" xfId="15129"/>
    <cellStyle name="Input 15 2 4 4 4 2" xfId="15130"/>
    <cellStyle name="Input 15 2 4 4 5" xfId="15131"/>
    <cellStyle name="Input 15 2 4 4 6" xfId="15132"/>
    <cellStyle name="Input 15 2 4 4 7" xfId="15133"/>
    <cellStyle name="Input 15 2 4 5" xfId="15134"/>
    <cellStyle name="Input 15 2 4 5 2" xfId="15135"/>
    <cellStyle name="Input 15 2 4 5 2 2" xfId="15136"/>
    <cellStyle name="Input 15 2 4 5 3" xfId="15137"/>
    <cellStyle name="Input 15 2 4 5 3 2" xfId="15138"/>
    <cellStyle name="Input 15 2 4 5 4" xfId="15139"/>
    <cellStyle name="Input 15 2 4 5 5" xfId="15140"/>
    <cellStyle name="Input 15 2 4 5 6" xfId="15141"/>
    <cellStyle name="Input 15 2 4 6" xfId="15142"/>
    <cellStyle name="Input 15 2 4 6 2" xfId="15143"/>
    <cellStyle name="Input 15 2 4 7" xfId="15144"/>
    <cellStyle name="Input 15 2 4 7 2" xfId="15145"/>
    <cellStyle name="Input 15 2 4 8" xfId="15146"/>
    <cellStyle name="Input 15 2 4 9" xfId="15147"/>
    <cellStyle name="Input 15 2 5" xfId="15148"/>
    <cellStyle name="Input 15 2 5 2" xfId="15149"/>
    <cellStyle name="Input 15 2 5 2 2" xfId="15150"/>
    <cellStyle name="Input 15 2 5 2 2 2" xfId="15151"/>
    <cellStyle name="Input 15 2 5 2 2 2 2" xfId="15152"/>
    <cellStyle name="Input 15 2 5 2 2 3" xfId="15153"/>
    <cellStyle name="Input 15 2 5 2 2 3 2" xfId="15154"/>
    <cellStyle name="Input 15 2 5 2 2 4" xfId="15155"/>
    <cellStyle name="Input 15 2 5 2 2 5" xfId="15156"/>
    <cellStyle name="Input 15 2 5 2 2 6" xfId="15157"/>
    <cellStyle name="Input 15 2 5 2 3" xfId="15158"/>
    <cellStyle name="Input 15 2 5 2 3 2" xfId="15159"/>
    <cellStyle name="Input 15 2 5 2 4" xfId="15160"/>
    <cellStyle name="Input 15 2 5 2 4 2" xfId="15161"/>
    <cellStyle name="Input 15 2 5 2 5" xfId="15162"/>
    <cellStyle name="Input 15 2 5 2 6" xfId="15163"/>
    <cellStyle name="Input 15 2 5 2 7" xfId="15164"/>
    <cellStyle name="Input 15 2 5 3" xfId="15165"/>
    <cellStyle name="Input 15 2 5 3 2" xfId="15166"/>
    <cellStyle name="Input 15 2 5 3 2 2" xfId="15167"/>
    <cellStyle name="Input 15 2 5 3 3" xfId="15168"/>
    <cellStyle name="Input 15 2 5 3 3 2" xfId="15169"/>
    <cellStyle name="Input 15 2 5 3 4" xfId="15170"/>
    <cellStyle name="Input 15 2 5 3 5" xfId="15171"/>
    <cellStyle name="Input 15 2 5 3 6" xfId="15172"/>
    <cellStyle name="Input 15 2 5 4" xfId="15173"/>
    <cellStyle name="Input 15 2 5 4 2" xfId="15174"/>
    <cellStyle name="Input 15 2 5 5" xfId="15175"/>
    <cellStyle name="Input 15 2 5 5 2" xfId="15176"/>
    <cellStyle name="Input 15 2 5 6" xfId="15177"/>
    <cellStyle name="Input 15 2 5 7" xfId="15178"/>
    <cellStyle name="Input 15 2 5 8" xfId="15179"/>
    <cellStyle name="Input 15 2 6" xfId="15180"/>
    <cellStyle name="Input 15 2 6 2" xfId="15181"/>
    <cellStyle name="Input 15 2 6 2 2" xfId="15182"/>
    <cellStyle name="Input 15 2 6 2 2 2" xfId="15183"/>
    <cellStyle name="Input 15 2 6 2 3" xfId="15184"/>
    <cellStyle name="Input 15 2 6 2 3 2" xfId="15185"/>
    <cellStyle name="Input 15 2 6 2 4" xfId="15186"/>
    <cellStyle name="Input 15 2 6 2 5" xfId="15187"/>
    <cellStyle name="Input 15 2 6 2 6" xfId="15188"/>
    <cellStyle name="Input 15 2 6 3" xfId="15189"/>
    <cellStyle name="Input 15 2 6 3 2" xfId="15190"/>
    <cellStyle name="Input 15 2 6 4" xfId="15191"/>
    <cellStyle name="Input 15 2 6 4 2" xfId="15192"/>
    <cellStyle name="Input 15 2 6 5" xfId="15193"/>
    <cellStyle name="Input 15 2 6 6" xfId="15194"/>
    <cellStyle name="Input 15 2 6 7" xfId="15195"/>
    <cellStyle name="Input 15 2 7" xfId="15196"/>
    <cellStyle name="Input 15 2 7 2" xfId="15197"/>
    <cellStyle name="Input 15 2 7 2 2" xfId="15198"/>
    <cellStyle name="Input 15 2 7 3" xfId="15199"/>
    <cellStyle name="Input 15 2 7 3 2" xfId="15200"/>
    <cellStyle name="Input 15 2 7 4" xfId="15201"/>
    <cellStyle name="Input 15 2 7 5" xfId="15202"/>
    <cellStyle name="Input 15 2 7 6" xfId="15203"/>
    <cellStyle name="Input 15 2 8" xfId="15204"/>
    <cellStyle name="Input 15 2 8 2" xfId="15205"/>
    <cellStyle name="Input 15 2 9" xfId="15206"/>
    <cellStyle name="Input 15 2 9 2" xfId="15207"/>
    <cellStyle name="Input 15 3" xfId="15208"/>
    <cellStyle name="Input 15 3 10" xfId="15209"/>
    <cellStyle name="Input 15 3 11" xfId="15210"/>
    <cellStyle name="Input 15 3 2" xfId="15211"/>
    <cellStyle name="Input 15 3 2 10" xfId="15212"/>
    <cellStyle name="Input 15 3 2 2" xfId="15213"/>
    <cellStyle name="Input 15 3 2 2 10" xfId="15214"/>
    <cellStyle name="Input 15 3 2 2 2" xfId="15215"/>
    <cellStyle name="Input 15 3 2 2 2 2" xfId="15216"/>
    <cellStyle name="Input 15 3 2 2 2 2 2" xfId="15217"/>
    <cellStyle name="Input 15 3 2 2 2 2 2 2" xfId="15218"/>
    <cellStyle name="Input 15 3 2 2 2 2 2 2 2" xfId="15219"/>
    <cellStyle name="Input 15 3 2 2 2 2 2 3" xfId="15220"/>
    <cellStyle name="Input 15 3 2 2 2 2 2 3 2" xfId="15221"/>
    <cellStyle name="Input 15 3 2 2 2 2 2 4" xfId="15222"/>
    <cellStyle name="Input 15 3 2 2 2 2 2 5" xfId="15223"/>
    <cellStyle name="Input 15 3 2 2 2 2 2 6" xfId="15224"/>
    <cellStyle name="Input 15 3 2 2 2 2 3" xfId="15225"/>
    <cellStyle name="Input 15 3 2 2 2 2 3 2" xfId="15226"/>
    <cellStyle name="Input 15 3 2 2 2 2 4" xfId="15227"/>
    <cellStyle name="Input 15 3 2 2 2 2 4 2" xfId="15228"/>
    <cellStyle name="Input 15 3 2 2 2 2 5" xfId="15229"/>
    <cellStyle name="Input 15 3 2 2 2 2 6" xfId="15230"/>
    <cellStyle name="Input 15 3 2 2 2 2 7" xfId="15231"/>
    <cellStyle name="Input 15 3 2 2 2 3" xfId="15232"/>
    <cellStyle name="Input 15 3 2 2 2 3 2" xfId="15233"/>
    <cellStyle name="Input 15 3 2 2 2 3 2 2" xfId="15234"/>
    <cellStyle name="Input 15 3 2 2 2 3 3" xfId="15235"/>
    <cellStyle name="Input 15 3 2 2 2 3 3 2" xfId="15236"/>
    <cellStyle name="Input 15 3 2 2 2 3 4" xfId="15237"/>
    <cellStyle name="Input 15 3 2 2 2 3 5" xfId="15238"/>
    <cellStyle name="Input 15 3 2 2 2 3 6" xfId="15239"/>
    <cellStyle name="Input 15 3 2 2 2 4" xfId="15240"/>
    <cellStyle name="Input 15 3 2 2 2 4 2" xfId="15241"/>
    <cellStyle name="Input 15 3 2 2 2 5" xfId="15242"/>
    <cellStyle name="Input 15 3 2 2 2 5 2" xfId="15243"/>
    <cellStyle name="Input 15 3 2 2 2 6" xfId="15244"/>
    <cellStyle name="Input 15 3 2 2 2 7" xfId="15245"/>
    <cellStyle name="Input 15 3 2 2 2 8" xfId="15246"/>
    <cellStyle name="Input 15 3 2 2 3" xfId="15247"/>
    <cellStyle name="Input 15 3 2 2 3 2" xfId="15248"/>
    <cellStyle name="Input 15 3 2 2 3 2 2" xfId="15249"/>
    <cellStyle name="Input 15 3 2 2 3 2 2 2" xfId="15250"/>
    <cellStyle name="Input 15 3 2 2 3 2 2 2 2" xfId="15251"/>
    <cellStyle name="Input 15 3 2 2 3 2 2 3" xfId="15252"/>
    <cellStyle name="Input 15 3 2 2 3 2 2 3 2" xfId="15253"/>
    <cellStyle name="Input 15 3 2 2 3 2 2 4" xfId="15254"/>
    <cellStyle name="Input 15 3 2 2 3 2 2 5" xfId="15255"/>
    <cellStyle name="Input 15 3 2 2 3 2 2 6" xfId="15256"/>
    <cellStyle name="Input 15 3 2 2 3 2 3" xfId="15257"/>
    <cellStyle name="Input 15 3 2 2 3 2 3 2" xfId="15258"/>
    <cellStyle name="Input 15 3 2 2 3 2 4" xfId="15259"/>
    <cellStyle name="Input 15 3 2 2 3 2 4 2" xfId="15260"/>
    <cellStyle name="Input 15 3 2 2 3 2 5" xfId="15261"/>
    <cellStyle name="Input 15 3 2 2 3 2 6" xfId="15262"/>
    <cellStyle name="Input 15 3 2 2 3 2 7" xfId="15263"/>
    <cellStyle name="Input 15 3 2 2 3 3" xfId="15264"/>
    <cellStyle name="Input 15 3 2 2 3 3 2" xfId="15265"/>
    <cellStyle name="Input 15 3 2 2 3 3 2 2" xfId="15266"/>
    <cellStyle name="Input 15 3 2 2 3 3 3" xfId="15267"/>
    <cellStyle name="Input 15 3 2 2 3 3 3 2" xfId="15268"/>
    <cellStyle name="Input 15 3 2 2 3 3 4" xfId="15269"/>
    <cellStyle name="Input 15 3 2 2 3 3 5" xfId="15270"/>
    <cellStyle name="Input 15 3 2 2 3 3 6" xfId="15271"/>
    <cellStyle name="Input 15 3 2 2 3 4" xfId="15272"/>
    <cellStyle name="Input 15 3 2 2 3 4 2" xfId="15273"/>
    <cellStyle name="Input 15 3 2 2 3 5" xfId="15274"/>
    <cellStyle name="Input 15 3 2 2 3 5 2" xfId="15275"/>
    <cellStyle name="Input 15 3 2 2 3 6" xfId="15276"/>
    <cellStyle name="Input 15 3 2 2 3 7" xfId="15277"/>
    <cellStyle name="Input 15 3 2 2 3 8" xfId="15278"/>
    <cellStyle name="Input 15 3 2 2 4" xfId="15279"/>
    <cellStyle name="Input 15 3 2 2 4 2" xfId="15280"/>
    <cellStyle name="Input 15 3 2 2 4 2 2" xfId="15281"/>
    <cellStyle name="Input 15 3 2 2 4 2 2 2" xfId="15282"/>
    <cellStyle name="Input 15 3 2 2 4 2 3" xfId="15283"/>
    <cellStyle name="Input 15 3 2 2 4 2 3 2" xfId="15284"/>
    <cellStyle name="Input 15 3 2 2 4 2 4" xfId="15285"/>
    <cellStyle name="Input 15 3 2 2 4 2 5" xfId="15286"/>
    <cellStyle name="Input 15 3 2 2 4 2 6" xfId="15287"/>
    <cellStyle name="Input 15 3 2 2 4 3" xfId="15288"/>
    <cellStyle name="Input 15 3 2 2 4 3 2" xfId="15289"/>
    <cellStyle name="Input 15 3 2 2 4 4" xfId="15290"/>
    <cellStyle name="Input 15 3 2 2 4 4 2" xfId="15291"/>
    <cellStyle name="Input 15 3 2 2 4 5" xfId="15292"/>
    <cellStyle name="Input 15 3 2 2 4 6" xfId="15293"/>
    <cellStyle name="Input 15 3 2 2 4 7" xfId="15294"/>
    <cellStyle name="Input 15 3 2 2 5" xfId="15295"/>
    <cellStyle name="Input 15 3 2 2 5 2" xfId="15296"/>
    <cellStyle name="Input 15 3 2 2 5 2 2" xfId="15297"/>
    <cellStyle name="Input 15 3 2 2 5 3" xfId="15298"/>
    <cellStyle name="Input 15 3 2 2 5 3 2" xfId="15299"/>
    <cellStyle name="Input 15 3 2 2 5 4" xfId="15300"/>
    <cellStyle name="Input 15 3 2 2 5 5" xfId="15301"/>
    <cellStyle name="Input 15 3 2 2 5 6" xfId="15302"/>
    <cellStyle name="Input 15 3 2 2 6" xfId="15303"/>
    <cellStyle name="Input 15 3 2 2 6 2" xfId="15304"/>
    <cellStyle name="Input 15 3 2 2 7" xfId="15305"/>
    <cellStyle name="Input 15 3 2 2 7 2" xfId="15306"/>
    <cellStyle name="Input 15 3 2 2 8" xfId="15307"/>
    <cellStyle name="Input 15 3 2 2 9" xfId="15308"/>
    <cellStyle name="Input 15 3 2 3" xfId="15309"/>
    <cellStyle name="Input 15 3 2 3 2" xfId="15310"/>
    <cellStyle name="Input 15 3 2 3 2 2" xfId="15311"/>
    <cellStyle name="Input 15 3 2 3 2 2 2" xfId="15312"/>
    <cellStyle name="Input 15 3 2 3 2 2 2 2" xfId="15313"/>
    <cellStyle name="Input 15 3 2 3 2 2 3" xfId="15314"/>
    <cellStyle name="Input 15 3 2 3 2 2 3 2" xfId="15315"/>
    <cellStyle name="Input 15 3 2 3 2 2 4" xfId="15316"/>
    <cellStyle name="Input 15 3 2 3 2 2 5" xfId="15317"/>
    <cellStyle name="Input 15 3 2 3 2 2 6" xfId="15318"/>
    <cellStyle name="Input 15 3 2 3 2 3" xfId="15319"/>
    <cellStyle name="Input 15 3 2 3 2 3 2" xfId="15320"/>
    <cellStyle name="Input 15 3 2 3 2 4" xfId="15321"/>
    <cellStyle name="Input 15 3 2 3 2 4 2" xfId="15322"/>
    <cellStyle name="Input 15 3 2 3 2 5" xfId="15323"/>
    <cellStyle name="Input 15 3 2 3 2 6" xfId="15324"/>
    <cellStyle name="Input 15 3 2 3 2 7" xfId="15325"/>
    <cellStyle name="Input 15 3 2 3 3" xfId="15326"/>
    <cellStyle name="Input 15 3 2 3 3 2" xfId="15327"/>
    <cellStyle name="Input 15 3 2 3 3 2 2" xfId="15328"/>
    <cellStyle name="Input 15 3 2 3 3 3" xfId="15329"/>
    <cellStyle name="Input 15 3 2 3 3 3 2" xfId="15330"/>
    <cellStyle name="Input 15 3 2 3 3 4" xfId="15331"/>
    <cellStyle name="Input 15 3 2 3 3 5" xfId="15332"/>
    <cellStyle name="Input 15 3 2 3 3 6" xfId="15333"/>
    <cellStyle name="Input 15 3 2 3 4" xfId="15334"/>
    <cellStyle name="Input 15 3 2 3 4 2" xfId="15335"/>
    <cellStyle name="Input 15 3 2 3 5" xfId="15336"/>
    <cellStyle name="Input 15 3 2 3 5 2" xfId="15337"/>
    <cellStyle name="Input 15 3 2 3 6" xfId="15338"/>
    <cellStyle name="Input 15 3 2 3 7" xfId="15339"/>
    <cellStyle name="Input 15 3 2 3 8" xfId="15340"/>
    <cellStyle name="Input 15 3 2 4" xfId="15341"/>
    <cellStyle name="Input 15 3 2 4 2" xfId="15342"/>
    <cellStyle name="Input 15 3 2 4 2 2" xfId="15343"/>
    <cellStyle name="Input 15 3 2 4 2 2 2" xfId="15344"/>
    <cellStyle name="Input 15 3 2 4 2 3" xfId="15345"/>
    <cellStyle name="Input 15 3 2 4 2 3 2" xfId="15346"/>
    <cellStyle name="Input 15 3 2 4 2 4" xfId="15347"/>
    <cellStyle name="Input 15 3 2 4 2 5" xfId="15348"/>
    <cellStyle name="Input 15 3 2 4 2 6" xfId="15349"/>
    <cellStyle name="Input 15 3 2 4 3" xfId="15350"/>
    <cellStyle name="Input 15 3 2 4 3 2" xfId="15351"/>
    <cellStyle name="Input 15 3 2 4 4" xfId="15352"/>
    <cellStyle name="Input 15 3 2 4 4 2" xfId="15353"/>
    <cellStyle name="Input 15 3 2 4 5" xfId="15354"/>
    <cellStyle name="Input 15 3 2 4 6" xfId="15355"/>
    <cellStyle name="Input 15 3 2 4 7" xfId="15356"/>
    <cellStyle name="Input 15 3 2 5" xfId="15357"/>
    <cellStyle name="Input 15 3 2 5 2" xfId="15358"/>
    <cellStyle name="Input 15 3 2 5 2 2" xfId="15359"/>
    <cellStyle name="Input 15 3 2 5 3" xfId="15360"/>
    <cellStyle name="Input 15 3 2 5 3 2" xfId="15361"/>
    <cellStyle name="Input 15 3 2 5 4" xfId="15362"/>
    <cellStyle name="Input 15 3 2 5 5" xfId="15363"/>
    <cellStyle name="Input 15 3 2 5 6" xfId="15364"/>
    <cellStyle name="Input 15 3 2 6" xfId="15365"/>
    <cellStyle name="Input 15 3 2 6 2" xfId="15366"/>
    <cellStyle name="Input 15 3 2 7" xfId="15367"/>
    <cellStyle name="Input 15 3 2 7 2" xfId="15368"/>
    <cellStyle name="Input 15 3 2 8" xfId="15369"/>
    <cellStyle name="Input 15 3 2 9" xfId="15370"/>
    <cellStyle name="Input 15 3 3" xfId="15371"/>
    <cellStyle name="Input 15 3 3 10" xfId="15372"/>
    <cellStyle name="Input 15 3 3 2" xfId="15373"/>
    <cellStyle name="Input 15 3 3 2 2" xfId="15374"/>
    <cellStyle name="Input 15 3 3 2 2 2" xfId="15375"/>
    <cellStyle name="Input 15 3 3 2 2 2 2" xfId="15376"/>
    <cellStyle name="Input 15 3 3 2 2 2 2 2" xfId="15377"/>
    <cellStyle name="Input 15 3 3 2 2 2 3" xfId="15378"/>
    <cellStyle name="Input 15 3 3 2 2 2 3 2" xfId="15379"/>
    <cellStyle name="Input 15 3 3 2 2 2 4" xfId="15380"/>
    <cellStyle name="Input 15 3 3 2 2 2 5" xfId="15381"/>
    <cellStyle name="Input 15 3 3 2 2 2 6" xfId="15382"/>
    <cellStyle name="Input 15 3 3 2 2 3" xfId="15383"/>
    <cellStyle name="Input 15 3 3 2 2 3 2" xfId="15384"/>
    <cellStyle name="Input 15 3 3 2 2 4" xfId="15385"/>
    <cellStyle name="Input 15 3 3 2 2 4 2" xfId="15386"/>
    <cellStyle name="Input 15 3 3 2 2 5" xfId="15387"/>
    <cellStyle name="Input 15 3 3 2 2 6" xfId="15388"/>
    <cellStyle name="Input 15 3 3 2 2 7" xfId="15389"/>
    <cellStyle name="Input 15 3 3 2 3" xfId="15390"/>
    <cellStyle name="Input 15 3 3 2 3 2" xfId="15391"/>
    <cellStyle name="Input 15 3 3 2 3 2 2" xfId="15392"/>
    <cellStyle name="Input 15 3 3 2 3 3" xfId="15393"/>
    <cellStyle name="Input 15 3 3 2 3 3 2" xfId="15394"/>
    <cellStyle name="Input 15 3 3 2 3 4" xfId="15395"/>
    <cellStyle name="Input 15 3 3 2 3 5" xfId="15396"/>
    <cellStyle name="Input 15 3 3 2 3 6" xfId="15397"/>
    <cellStyle name="Input 15 3 3 2 4" xfId="15398"/>
    <cellStyle name="Input 15 3 3 2 4 2" xfId="15399"/>
    <cellStyle name="Input 15 3 3 2 5" xfId="15400"/>
    <cellStyle name="Input 15 3 3 2 5 2" xfId="15401"/>
    <cellStyle name="Input 15 3 3 2 6" xfId="15402"/>
    <cellStyle name="Input 15 3 3 2 7" xfId="15403"/>
    <cellStyle name="Input 15 3 3 2 8" xfId="15404"/>
    <cellStyle name="Input 15 3 3 3" xfId="15405"/>
    <cellStyle name="Input 15 3 3 3 2" xfId="15406"/>
    <cellStyle name="Input 15 3 3 3 2 2" xfId="15407"/>
    <cellStyle name="Input 15 3 3 3 2 2 2" xfId="15408"/>
    <cellStyle name="Input 15 3 3 3 2 2 2 2" xfId="15409"/>
    <cellStyle name="Input 15 3 3 3 2 2 3" xfId="15410"/>
    <cellStyle name="Input 15 3 3 3 2 2 3 2" xfId="15411"/>
    <cellStyle name="Input 15 3 3 3 2 2 4" xfId="15412"/>
    <cellStyle name="Input 15 3 3 3 2 2 5" xfId="15413"/>
    <cellStyle name="Input 15 3 3 3 2 2 6" xfId="15414"/>
    <cellStyle name="Input 15 3 3 3 2 3" xfId="15415"/>
    <cellStyle name="Input 15 3 3 3 2 3 2" xfId="15416"/>
    <cellStyle name="Input 15 3 3 3 2 4" xfId="15417"/>
    <cellStyle name="Input 15 3 3 3 2 4 2" xfId="15418"/>
    <cellStyle name="Input 15 3 3 3 2 5" xfId="15419"/>
    <cellStyle name="Input 15 3 3 3 2 6" xfId="15420"/>
    <cellStyle name="Input 15 3 3 3 2 7" xfId="15421"/>
    <cellStyle name="Input 15 3 3 3 3" xfId="15422"/>
    <cellStyle name="Input 15 3 3 3 3 2" xfId="15423"/>
    <cellStyle name="Input 15 3 3 3 3 2 2" xfId="15424"/>
    <cellStyle name="Input 15 3 3 3 3 3" xfId="15425"/>
    <cellStyle name="Input 15 3 3 3 3 3 2" xfId="15426"/>
    <cellStyle name="Input 15 3 3 3 3 4" xfId="15427"/>
    <cellStyle name="Input 15 3 3 3 3 5" xfId="15428"/>
    <cellStyle name="Input 15 3 3 3 3 6" xfId="15429"/>
    <cellStyle name="Input 15 3 3 3 4" xfId="15430"/>
    <cellStyle name="Input 15 3 3 3 4 2" xfId="15431"/>
    <cellStyle name="Input 15 3 3 3 5" xfId="15432"/>
    <cellStyle name="Input 15 3 3 3 5 2" xfId="15433"/>
    <cellStyle name="Input 15 3 3 3 6" xfId="15434"/>
    <cellStyle name="Input 15 3 3 3 7" xfId="15435"/>
    <cellStyle name="Input 15 3 3 3 8" xfId="15436"/>
    <cellStyle name="Input 15 3 3 4" xfId="15437"/>
    <cellStyle name="Input 15 3 3 4 2" xfId="15438"/>
    <cellStyle name="Input 15 3 3 4 2 2" xfId="15439"/>
    <cellStyle name="Input 15 3 3 4 2 2 2" xfId="15440"/>
    <cellStyle name="Input 15 3 3 4 2 3" xfId="15441"/>
    <cellStyle name="Input 15 3 3 4 2 3 2" xfId="15442"/>
    <cellStyle name="Input 15 3 3 4 2 4" xfId="15443"/>
    <cellStyle name="Input 15 3 3 4 2 5" xfId="15444"/>
    <cellStyle name="Input 15 3 3 4 2 6" xfId="15445"/>
    <cellStyle name="Input 15 3 3 4 3" xfId="15446"/>
    <cellStyle name="Input 15 3 3 4 3 2" xfId="15447"/>
    <cellStyle name="Input 15 3 3 4 4" xfId="15448"/>
    <cellStyle name="Input 15 3 3 4 4 2" xfId="15449"/>
    <cellStyle name="Input 15 3 3 4 5" xfId="15450"/>
    <cellStyle name="Input 15 3 3 4 6" xfId="15451"/>
    <cellStyle name="Input 15 3 3 4 7" xfId="15452"/>
    <cellStyle name="Input 15 3 3 5" xfId="15453"/>
    <cellStyle name="Input 15 3 3 5 2" xfId="15454"/>
    <cellStyle name="Input 15 3 3 5 2 2" xfId="15455"/>
    <cellStyle name="Input 15 3 3 5 3" xfId="15456"/>
    <cellStyle name="Input 15 3 3 5 3 2" xfId="15457"/>
    <cellStyle name="Input 15 3 3 5 4" xfId="15458"/>
    <cellStyle name="Input 15 3 3 5 5" xfId="15459"/>
    <cellStyle name="Input 15 3 3 5 6" xfId="15460"/>
    <cellStyle name="Input 15 3 3 6" xfId="15461"/>
    <cellStyle name="Input 15 3 3 6 2" xfId="15462"/>
    <cellStyle name="Input 15 3 3 7" xfId="15463"/>
    <cellStyle name="Input 15 3 3 7 2" xfId="15464"/>
    <cellStyle name="Input 15 3 3 8" xfId="15465"/>
    <cellStyle name="Input 15 3 3 9" xfId="15466"/>
    <cellStyle name="Input 15 3 4" xfId="15467"/>
    <cellStyle name="Input 15 3 4 2" xfId="15468"/>
    <cellStyle name="Input 15 3 4 2 2" xfId="15469"/>
    <cellStyle name="Input 15 3 4 2 2 2" xfId="15470"/>
    <cellStyle name="Input 15 3 4 2 2 2 2" xfId="15471"/>
    <cellStyle name="Input 15 3 4 2 2 3" xfId="15472"/>
    <cellStyle name="Input 15 3 4 2 2 3 2" xfId="15473"/>
    <cellStyle name="Input 15 3 4 2 2 4" xfId="15474"/>
    <cellStyle name="Input 15 3 4 2 2 5" xfId="15475"/>
    <cellStyle name="Input 15 3 4 2 2 6" xfId="15476"/>
    <cellStyle name="Input 15 3 4 2 3" xfId="15477"/>
    <cellStyle name="Input 15 3 4 2 3 2" xfId="15478"/>
    <cellStyle name="Input 15 3 4 2 4" xfId="15479"/>
    <cellStyle name="Input 15 3 4 2 4 2" xfId="15480"/>
    <cellStyle name="Input 15 3 4 2 5" xfId="15481"/>
    <cellStyle name="Input 15 3 4 2 6" xfId="15482"/>
    <cellStyle name="Input 15 3 4 2 7" xfId="15483"/>
    <cellStyle name="Input 15 3 4 3" xfId="15484"/>
    <cellStyle name="Input 15 3 4 3 2" xfId="15485"/>
    <cellStyle name="Input 15 3 4 3 2 2" xfId="15486"/>
    <cellStyle name="Input 15 3 4 3 3" xfId="15487"/>
    <cellStyle name="Input 15 3 4 3 3 2" xfId="15488"/>
    <cellStyle name="Input 15 3 4 3 4" xfId="15489"/>
    <cellStyle name="Input 15 3 4 3 5" xfId="15490"/>
    <cellStyle name="Input 15 3 4 3 6" xfId="15491"/>
    <cellStyle name="Input 15 3 4 4" xfId="15492"/>
    <cellStyle name="Input 15 3 4 4 2" xfId="15493"/>
    <cellStyle name="Input 15 3 4 5" xfId="15494"/>
    <cellStyle name="Input 15 3 4 5 2" xfId="15495"/>
    <cellStyle name="Input 15 3 4 6" xfId="15496"/>
    <cellStyle name="Input 15 3 4 7" xfId="15497"/>
    <cellStyle name="Input 15 3 4 8" xfId="15498"/>
    <cellStyle name="Input 15 3 5" xfId="15499"/>
    <cellStyle name="Input 15 3 5 2" xfId="15500"/>
    <cellStyle name="Input 15 3 5 2 2" xfId="15501"/>
    <cellStyle name="Input 15 3 5 2 2 2" xfId="15502"/>
    <cellStyle name="Input 15 3 5 2 3" xfId="15503"/>
    <cellStyle name="Input 15 3 5 2 3 2" xfId="15504"/>
    <cellStyle name="Input 15 3 5 2 4" xfId="15505"/>
    <cellStyle name="Input 15 3 5 2 5" xfId="15506"/>
    <cellStyle name="Input 15 3 5 2 6" xfId="15507"/>
    <cellStyle name="Input 15 3 5 3" xfId="15508"/>
    <cellStyle name="Input 15 3 5 3 2" xfId="15509"/>
    <cellStyle name="Input 15 3 5 4" xfId="15510"/>
    <cellStyle name="Input 15 3 5 4 2" xfId="15511"/>
    <cellStyle name="Input 15 3 5 5" xfId="15512"/>
    <cellStyle name="Input 15 3 5 6" xfId="15513"/>
    <cellStyle name="Input 15 3 5 7" xfId="15514"/>
    <cellStyle name="Input 15 3 6" xfId="15515"/>
    <cellStyle name="Input 15 3 6 2" xfId="15516"/>
    <cellStyle name="Input 15 3 6 2 2" xfId="15517"/>
    <cellStyle name="Input 15 3 6 3" xfId="15518"/>
    <cellStyle name="Input 15 3 6 3 2" xfId="15519"/>
    <cellStyle name="Input 15 3 6 4" xfId="15520"/>
    <cellStyle name="Input 15 3 6 5" xfId="15521"/>
    <cellStyle name="Input 15 3 6 6" xfId="15522"/>
    <cellStyle name="Input 15 3 7" xfId="15523"/>
    <cellStyle name="Input 15 3 7 2" xfId="15524"/>
    <cellStyle name="Input 15 3 8" xfId="15525"/>
    <cellStyle name="Input 15 3 8 2" xfId="15526"/>
    <cellStyle name="Input 15 3 9" xfId="15527"/>
    <cellStyle name="Input 15 4" xfId="15528"/>
    <cellStyle name="Input 15 4 10" xfId="15529"/>
    <cellStyle name="Input 15 4 11" xfId="15530"/>
    <cellStyle name="Input 15 4 2" xfId="15531"/>
    <cellStyle name="Input 15 4 2 10" xfId="15532"/>
    <cellStyle name="Input 15 4 2 2" xfId="15533"/>
    <cellStyle name="Input 15 4 2 2 2" xfId="15534"/>
    <cellStyle name="Input 15 4 2 2 2 2" xfId="15535"/>
    <cellStyle name="Input 15 4 2 2 2 2 2" xfId="15536"/>
    <cellStyle name="Input 15 4 2 2 2 2 2 2" xfId="15537"/>
    <cellStyle name="Input 15 4 2 2 2 2 3" xfId="15538"/>
    <cellStyle name="Input 15 4 2 2 2 2 3 2" xfId="15539"/>
    <cellStyle name="Input 15 4 2 2 2 2 4" xfId="15540"/>
    <cellStyle name="Input 15 4 2 2 2 2 5" xfId="15541"/>
    <cellStyle name="Input 15 4 2 2 2 2 6" xfId="15542"/>
    <cellStyle name="Input 15 4 2 2 2 3" xfId="15543"/>
    <cellStyle name="Input 15 4 2 2 2 3 2" xfId="15544"/>
    <cellStyle name="Input 15 4 2 2 2 4" xfId="15545"/>
    <cellStyle name="Input 15 4 2 2 2 4 2" xfId="15546"/>
    <cellStyle name="Input 15 4 2 2 2 5" xfId="15547"/>
    <cellStyle name="Input 15 4 2 2 2 6" xfId="15548"/>
    <cellStyle name="Input 15 4 2 2 2 7" xfId="15549"/>
    <cellStyle name="Input 15 4 2 2 3" xfId="15550"/>
    <cellStyle name="Input 15 4 2 2 3 2" xfId="15551"/>
    <cellStyle name="Input 15 4 2 2 3 2 2" xfId="15552"/>
    <cellStyle name="Input 15 4 2 2 3 3" xfId="15553"/>
    <cellStyle name="Input 15 4 2 2 3 3 2" xfId="15554"/>
    <cellStyle name="Input 15 4 2 2 3 4" xfId="15555"/>
    <cellStyle name="Input 15 4 2 2 3 5" xfId="15556"/>
    <cellStyle name="Input 15 4 2 2 3 6" xfId="15557"/>
    <cellStyle name="Input 15 4 2 2 4" xfId="15558"/>
    <cellStyle name="Input 15 4 2 2 4 2" xfId="15559"/>
    <cellStyle name="Input 15 4 2 2 5" xfId="15560"/>
    <cellStyle name="Input 15 4 2 2 5 2" xfId="15561"/>
    <cellStyle name="Input 15 4 2 2 6" xfId="15562"/>
    <cellStyle name="Input 15 4 2 2 7" xfId="15563"/>
    <cellStyle name="Input 15 4 2 2 8" xfId="15564"/>
    <cellStyle name="Input 15 4 2 3" xfId="15565"/>
    <cellStyle name="Input 15 4 2 3 2" xfId="15566"/>
    <cellStyle name="Input 15 4 2 3 2 2" xfId="15567"/>
    <cellStyle name="Input 15 4 2 3 2 2 2" xfId="15568"/>
    <cellStyle name="Input 15 4 2 3 2 2 2 2" xfId="15569"/>
    <cellStyle name="Input 15 4 2 3 2 2 3" xfId="15570"/>
    <cellStyle name="Input 15 4 2 3 2 2 3 2" xfId="15571"/>
    <cellStyle name="Input 15 4 2 3 2 2 4" xfId="15572"/>
    <cellStyle name="Input 15 4 2 3 2 2 5" xfId="15573"/>
    <cellStyle name="Input 15 4 2 3 2 2 6" xfId="15574"/>
    <cellStyle name="Input 15 4 2 3 2 3" xfId="15575"/>
    <cellStyle name="Input 15 4 2 3 2 3 2" xfId="15576"/>
    <cellStyle name="Input 15 4 2 3 2 4" xfId="15577"/>
    <cellStyle name="Input 15 4 2 3 2 4 2" xfId="15578"/>
    <cellStyle name="Input 15 4 2 3 2 5" xfId="15579"/>
    <cellStyle name="Input 15 4 2 3 2 6" xfId="15580"/>
    <cellStyle name="Input 15 4 2 3 2 7" xfId="15581"/>
    <cellStyle name="Input 15 4 2 3 3" xfId="15582"/>
    <cellStyle name="Input 15 4 2 3 3 2" xfId="15583"/>
    <cellStyle name="Input 15 4 2 3 3 2 2" xfId="15584"/>
    <cellStyle name="Input 15 4 2 3 3 3" xfId="15585"/>
    <cellStyle name="Input 15 4 2 3 3 3 2" xfId="15586"/>
    <cellStyle name="Input 15 4 2 3 3 4" xfId="15587"/>
    <cellStyle name="Input 15 4 2 3 3 5" xfId="15588"/>
    <cellStyle name="Input 15 4 2 3 3 6" xfId="15589"/>
    <cellStyle name="Input 15 4 2 3 4" xfId="15590"/>
    <cellStyle name="Input 15 4 2 3 4 2" xfId="15591"/>
    <cellStyle name="Input 15 4 2 3 5" xfId="15592"/>
    <cellStyle name="Input 15 4 2 3 5 2" xfId="15593"/>
    <cellStyle name="Input 15 4 2 3 6" xfId="15594"/>
    <cellStyle name="Input 15 4 2 3 7" xfId="15595"/>
    <cellStyle name="Input 15 4 2 3 8" xfId="15596"/>
    <cellStyle name="Input 15 4 2 4" xfId="15597"/>
    <cellStyle name="Input 15 4 2 4 2" xfId="15598"/>
    <cellStyle name="Input 15 4 2 4 2 2" xfId="15599"/>
    <cellStyle name="Input 15 4 2 4 2 2 2" xfId="15600"/>
    <cellStyle name="Input 15 4 2 4 2 3" xfId="15601"/>
    <cellStyle name="Input 15 4 2 4 2 3 2" xfId="15602"/>
    <cellStyle name="Input 15 4 2 4 2 4" xfId="15603"/>
    <cellStyle name="Input 15 4 2 4 2 5" xfId="15604"/>
    <cellStyle name="Input 15 4 2 4 2 6" xfId="15605"/>
    <cellStyle name="Input 15 4 2 4 3" xfId="15606"/>
    <cellStyle name="Input 15 4 2 4 3 2" xfId="15607"/>
    <cellStyle name="Input 15 4 2 4 4" xfId="15608"/>
    <cellStyle name="Input 15 4 2 4 4 2" xfId="15609"/>
    <cellStyle name="Input 15 4 2 4 5" xfId="15610"/>
    <cellStyle name="Input 15 4 2 4 6" xfId="15611"/>
    <cellStyle name="Input 15 4 2 4 7" xfId="15612"/>
    <cellStyle name="Input 15 4 2 5" xfId="15613"/>
    <cellStyle name="Input 15 4 2 5 2" xfId="15614"/>
    <cellStyle name="Input 15 4 2 5 2 2" xfId="15615"/>
    <cellStyle name="Input 15 4 2 5 3" xfId="15616"/>
    <cellStyle name="Input 15 4 2 5 3 2" xfId="15617"/>
    <cellStyle name="Input 15 4 2 5 4" xfId="15618"/>
    <cellStyle name="Input 15 4 2 5 5" xfId="15619"/>
    <cellStyle name="Input 15 4 2 5 6" xfId="15620"/>
    <cellStyle name="Input 15 4 2 6" xfId="15621"/>
    <cellStyle name="Input 15 4 2 6 2" xfId="15622"/>
    <cellStyle name="Input 15 4 2 7" xfId="15623"/>
    <cellStyle name="Input 15 4 2 7 2" xfId="15624"/>
    <cellStyle name="Input 15 4 2 8" xfId="15625"/>
    <cellStyle name="Input 15 4 2 9" xfId="15626"/>
    <cellStyle name="Input 15 4 3" xfId="15627"/>
    <cellStyle name="Input 15 4 3 2" xfId="15628"/>
    <cellStyle name="Input 15 4 3 2 2" xfId="15629"/>
    <cellStyle name="Input 15 4 3 2 2 2" xfId="15630"/>
    <cellStyle name="Input 15 4 3 2 2 2 2" xfId="15631"/>
    <cellStyle name="Input 15 4 3 2 2 3" xfId="15632"/>
    <cellStyle name="Input 15 4 3 2 2 3 2" xfId="15633"/>
    <cellStyle name="Input 15 4 3 2 2 4" xfId="15634"/>
    <cellStyle name="Input 15 4 3 2 2 5" xfId="15635"/>
    <cellStyle name="Input 15 4 3 2 2 6" xfId="15636"/>
    <cellStyle name="Input 15 4 3 2 3" xfId="15637"/>
    <cellStyle name="Input 15 4 3 2 3 2" xfId="15638"/>
    <cellStyle name="Input 15 4 3 2 4" xfId="15639"/>
    <cellStyle name="Input 15 4 3 2 4 2" xfId="15640"/>
    <cellStyle name="Input 15 4 3 2 5" xfId="15641"/>
    <cellStyle name="Input 15 4 3 2 6" xfId="15642"/>
    <cellStyle name="Input 15 4 3 2 7" xfId="15643"/>
    <cellStyle name="Input 15 4 3 3" xfId="15644"/>
    <cellStyle name="Input 15 4 3 3 2" xfId="15645"/>
    <cellStyle name="Input 15 4 3 3 2 2" xfId="15646"/>
    <cellStyle name="Input 15 4 3 3 3" xfId="15647"/>
    <cellStyle name="Input 15 4 3 3 3 2" xfId="15648"/>
    <cellStyle name="Input 15 4 3 3 4" xfId="15649"/>
    <cellStyle name="Input 15 4 3 3 5" xfId="15650"/>
    <cellStyle name="Input 15 4 3 3 6" xfId="15651"/>
    <cellStyle name="Input 15 4 3 4" xfId="15652"/>
    <cellStyle name="Input 15 4 3 4 2" xfId="15653"/>
    <cellStyle name="Input 15 4 3 5" xfId="15654"/>
    <cellStyle name="Input 15 4 3 5 2" xfId="15655"/>
    <cellStyle name="Input 15 4 3 6" xfId="15656"/>
    <cellStyle name="Input 15 4 3 7" xfId="15657"/>
    <cellStyle name="Input 15 4 3 8" xfId="15658"/>
    <cellStyle name="Input 15 4 4" xfId="15659"/>
    <cellStyle name="Input 15 4 4 2" xfId="15660"/>
    <cellStyle name="Input 15 4 4 2 2" xfId="15661"/>
    <cellStyle name="Input 15 4 4 2 2 2" xfId="15662"/>
    <cellStyle name="Input 15 4 4 2 2 2 2" xfId="15663"/>
    <cellStyle name="Input 15 4 4 2 2 3" xfId="15664"/>
    <cellStyle name="Input 15 4 4 2 2 3 2" xfId="15665"/>
    <cellStyle name="Input 15 4 4 2 2 4" xfId="15666"/>
    <cellStyle name="Input 15 4 4 2 2 5" xfId="15667"/>
    <cellStyle name="Input 15 4 4 2 2 6" xfId="15668"/>
    <cellStyle name="Input 15 4 4 2 3" xfId="15669"/>
    <cellStyle name="Input 15 4 4 2 3 2" xfId="15670"/>
    <cellStyle name="Input 15 4 4 2 4" xfId="15671"/>
    <cellStyle name="Input 15 4 4 2 4 2" xfId="15672"/>
    <cellStyle name="Input 15 4 4 2 5" xfId="15673"/>
    <cellStyle name="Input 15 4 4 2 6" xfId="15674"/>
    <cellStyle name="Input 15 4 4 2 7" xfId="15675"/>
    <cellStyle name="Input 15 4 4 3" xfId="15676"/>
    <cellStyle name="Input 15 4 4 3 2" xfId="15677"/>
    <cellStyle name="Input 15 4 4 3 2 2" xfId="15678"/>
    <cellStyle name="Input 15 4 4 3 3" xfId="15679"/>
    <cellStyle name="Input 15 4 4 3 3 2" xfId="15680"/>
    <cellStyle name="Input 15 4 4 3 4" xfId="15681"/>
    <cellStyle name="Input 15 4 4 3 5" xfId="15682"/>
    <cellStyle name="Input 15 4 4 3 6" xfId="15683"/>
    <cellStyle name="Input 15 4 4 4" xfId="15684"/>
    <cellStyle name="Input 15 4 4 4 2" xfId="15685"/>
    <cellStyle name="Input 15 4 4 5" xfId="15686"/>
    <cellStyle name="Input 15 4 4 5 2" xfId="15687"/>
    <cellStyle name="Input 15 4 4 6" xfId="15688"/>
    <cellStyle name="Input 15 4 4 7" xfId="15689"/>
    <cellStyle name="Input 15 4 4 8" xfId="15690"/>
    <cellStyle name="Input 15 4 5" xfId="15691"/>
    <cellStyle name="Input 15 4 5 2" xfId="15692"/>
    <cellStyle name="Input 15 4 5 2 2" xfId="15693"/>
    <cellStyle name="Input 15 4 5 2 2 2" xfId="15694"/>
    <cellStyle name="Input 15 4 5 2 3" xfId="15695"/>
    <cellStyle name="Input 15 4 5 2 3 2" xfId="15696"/>
    <cellStyle name="Input 15 4 5 2 4" xfId="15697"/>
    <cellStyle name="Input 15 4 5 2 5" xfId="15698"/>
    <cellStyle name="Input 15 4 5 2 6" xfId="15699"/>
    <cellStyle name="Input 15 4 5 3" xfId="15700"/>
    <cellStyle name="Input 15 4 5 3 2" xfId="15701"/>
    <cellStyle name="Input 15 4 5 4" xfId="15702"/>
    <cellStyle name="Input 15 4 5 4 2" xfId="15703"/>
    <cellStyle name="Input 15 4 5 5" xfId="15704"/>
    <cellStyle name="Input 15 4 5 6" xfId="15705"/>
    <cellStyle name="Input 15 4 5 7" xfId="15706"/>
    <cellStyle name="Input 15 4 6" xfId="15707"/>
    <cellStyle name="Input 15 4 6 2" xfId="15708"/>
    <cellStyle name="Input 15 4 6 2 2" xfId="15709"/>
    <cellStyle name="Input 15 4 6 3" xfId="15710"/>
    <cellStyle name="Input 15 4 6 3 2" xfId="15711"/>
    <cellStyle name="Input 15 4 6 4" xfId="15712"/>
    <cellStyle name="Input 15 4 6 5" xfId="15713"/>
    <cellStyle name="Input 15 4 6 6" xfId="15714"/>
    <cellStyle name="Input 15 4 7" xfId="15715"/>
    <cellStyle name="Input 15 4 7 2" xfId="15716"/>
    <cellStyle name="Input 15 4 8" xfId="15717"/>
    <cellStyle name="Input 15 4 8 2" xfId="15718"/>
    <cellStyle name="Input 15 4 9" xfId="15719"/>
    <cellStyle name="Input 15 5" xfId="15720"/>
    <cellStyle name="Input 15 5 10" xfId="15721"/>
    <cellStyle name="Input 15 5 2" xfId="15722"/>
    <cellStyle name="Input 15 5 2 2" xfId="15723"/>
    <cellStyle name="Input 15 5 2 2 2" xfId="15724"/>
    <cellStyle name="Input 15 5 2 2 2 2" xfId="15725"/>
    <cellStyle name="Input 15 5 2 2 2 2 2" xfId="15726"/>
    <cellStyle name="Input 15 5 2 2 2 3" xfId="15727"/>
    <cellStyle name="Input 15 5 2 2 2 3 2" xfId="15728"/>
    <cellStyle name="Input 15 5 2 2 2 4" xfId="15729"/>
    <cellStyle name="Input 15 5 2 2 2 5" xfId="15730"/>
    <cellStyle name="Input 15 5 2 2 2 6" xfId="15731"/>
    <cellStyle name="Input 15 5 2 2 3" xfId="15732"/>
    <cellStyle name="Input 15 5 2 2 3 2" xfId="15733"/>
    <cellStyle name="Input 15 5 2 2 4" xfId="15734"/>
    <cellStyle name="Input 15 5 2 2 4 2" xfId="15735"/>
    <cellStyle name="Input 15 5 2 2 5" xfId="15736"/>
    <cellStyle name="Input 15 5 2 2 6" xfId="15737"/>
    <cellStyle name="Input 15 5 2 2 7" xfId="15738"/>
    <cellStyle name="Input 15 5 2 3" xfId="15739"/>
    <cellStyle name="Input 15 5 2 3 2" xfId="15740"/>
    <cellStyle name="Input 15 5 2 3 2 2" xfId="15741"/>
    <cellStyle name="Input 15 5 2 3 3" xfId="15742"/>
    <cellStyle name="Input 15 5 2 3 3 2" xfId="15743"/>
    <cellStyle name="Input 15 5 2 3 4" xfId="15744"/>
    <cellStyle name="Input 15 5 2 3 5" xfId="15745"/>
    <cellStyle name="Input 15 5 2 3 6" xfId="15746"/>
    <cellStyle name="Input 15 5 2 4" xfId="15747"/>
    <cellStyle name="Input 15 5 2 4 2" xfId="15748"/>
    <cellStyle name="Input 15 5 2 5" xfId="15749"/>
    <cellStyle name="Input 15 5 2 5 2" xfId="15750"/>
    <cellStyle name="Input 15 5 2 6" xfId="15751"/>
    <cellStyle name="Input 15 5 2 7" xfId="15752"/>
    <cellStyle name="Input 15 5 2 8" xfId="15753"/>
    <cellStyle name="Input 15 5 3" xfId="15754"/>
    <cellStyle name="Input 15 5 3 2" xfId="15755"/>
    <cellStyle name="Input 15 5 3 2 2" xfId="15756"/>
    <cellStyle name="Input 15 5 3 2 2 2" xfId="15757"/>
    <cellStyle name="Input 15 5 3 2 2 2 2" xfId="15758"/>
    <cellStyle name="Input 15 5 3 2 2 3" xfId="15759"/>
    <cellStyle name="Input 15 5 3 2 2 3 2" xfId="15760"/>
    <cellStyle name="Input 15 5 3 2 2 4" xfId="15761"/>
    <cellStyle name="Input 15 5 3 2 2 5" xfId="15762"/>
    <cellStyle name="Input 15 5 3 2 2 6" xfId="15763"/>
    <cellStyle name="Input 15 5 3 2 3" xfId="15764"/>
    <cellStyle name="Input 15 5 3 2 3 2" xfId="15765"/>
    <cellStyle name="Input 15 5 3 2 4" xfId="15766"/>
    <cellStyle name="Input 15 5 3 2 4 2" xfId="15767"/>
    <cellStyle name="Input 15 5 3 2 5" xfId="15768"/>
    <cellStyle name="Input 15 5 3 2 6" xfId="15769"/>
    <cellStyle name="Input 15 5 3 2 7" xfId="15770"/>
    <cellStyle name="Input 15 5 3 3" xfId="15771"/>
    <cellStyle name="Input 15 5 3 3 2" xfId="15772"/>
    <cellStyle name="Input 15 5 3 3 2 2" xfId="15773"/>
    <cellStyle name="Input 15 5 3 3 3" xfId="15774"/>
    <cellStyle name="Input 15 5 3 3 3 2" xfId="15775"/>
    <cellStyle name="Input 15 5 3 3 4" xfId="15776"/>
    <cellStyle name="Input 15 5 3 3 5" xfId="15777"/>
    <cellStyle name="Input 15 5 3 3 6" xfId="15778"/>
    <cellStyle name="Input 15 5 3 4" xfId="15779"/>
    <cellStyle name="Input 15 5 3 4 2" xfId="15780"/>
    <cellStyle name="Input 15 5 3 5" xfId="15781"/>
    <cellStyle name="Input 15 5 3 5 2" xfId="15782"/>
    <cellStyle name="Input 15 5 3 6" xfId="15783"/>
    <cellStyle name="Input 15 5 3 7" xfId="15784"/>
    <cellStyle name="Input 15 5 3 8" xfId="15785"/>
    <cellStyle name="Input 15 5 4" xfId="15786"/>
    <cellStyle name="Input 15 5 4 2" xfId="15787"/>
    <cellStyle name="Input 15 5 4 2 2" xfId="15788"/>
    <cellStyle name="Input 15 5 4 2 2 2" xfId="15789"/>
    <cellStyle name="Input 15 5 4 2 3" xfId="15790"/>
    <cellStyle name="Input 15 5 4 2 3 2" xfId="15791"/>
    <cellStyle name="Input 15 5 4 2 4" xfId="15792"/>
    <cellStyle name="Input 15 5 4 2 5" xfId="15793"/>
    <cellStyle name="Input 15 5 4 2 6" xfId="15794"/>
    <cellStyle name="Input 15 5 4 3" xfId="15795"/>
    <cellStyle name="Input 15 5 4 3 2" xfId="15796"/>
    <cellStyle name="Input 15 5 4 4" xfId="15797"/>
    <cellStyle name="Input 15 5 4 4 2" xfId="15798"/>
    <cellStyle name="Input 15 5 4 5" xfId="15799"/>
    <cellStyle name="Input 15 5 4 6" xfId="15800"/>
    <cellStyle name="Input 15 5 4 7" xfId="15801"/>
    <cellStyle name="Input 15 5 5" xfId="15802"/>
    <cellStyle name="Input 15 5 5 2" xfId="15803"/>
    <cellStyle name="Input 15 5 5 2 2" xfId="15804"/>
    <cellStyle name="Input 15 5 5 3" xfId="15805"/>
    <cellStyle name="Input 15 5 5 3 2" xfId="15806"/>
    <cellStyle name="Input 15 5 5 4" xfId="15807"/>
    <cellStyle name="Input 15 5 5 5" xfId="15808"/>
    <cellStyle name="Input 15 5 5 6" xfId="15809"/>
    <cellStyle name="Input 15 5 6" xfId="15810"/>
    <cellStyle name="Input 15 5 6 2" xfId="15811"/>
    <cellStyle name="Input 15 5 7" xfId="15812"/>
    <cellStyle name="Input 15 5 7 2" xfId="15813"/>
    <cellStyle name="Input 15 5 8" xfId="15814"/>
    <cellStyle name="Input 15 5 9" xfId="15815"/>
    <cellStyle name="Input 15 6" xfId="15816"/>
    <cellStyle name="Input 15 6 2" xfId="15817"/>
    <cellStyle name="Input 15 6 2 2" xfId="15818"/>
    <cellStyle name="Input 15 6 2 2 2" xfId="15819"/>
    <cellStyle name="Input 15 6 2 2 2 2" xfId="15820"/>
    <cellStyle name="Input 15 6 2 2 3" xfId="15821"/>
    <cellStyle name="Input 15 6 2 2 3 2" xfId="15822"/>
    <cellStyle name="Input 15 6 2 2 4" xfId="15823"/>
    <cellStyle name="Input 15 6 2 2 5" xfId="15824"/>
    <cellStyle name="Input 15 6 2 2 6" xfId="15825"/>
    <cellStyle name="Input 15 6 2 3" xfId="15826"/>
    <cellStyle name="Input 15 6 2 3 2" xfId="15827"/>
    <cellStyle name="Input 15 6 2 4" xfId="15828"/>
    <cellStyle name="Input 15 6 2 4 2" xfId="15829"/>
    <cellStyle name="Input 15 6 2 5" xfId="15830"/>
    <cellStyle name="Input 15 6 2 6" xfId="15831"/>
    <cellStyle name="Input 15 6 2 7" xfId="15832"/>
    <cellStyle name="Input 15 6 3" xfId="15833"/>
    <cellStyle name="Input 15 6 3 2" xfId="15834"/>
    <cellStyle name="Input 15 6 3 2 2" xfId="15835"/>
    <cellStyle name="Input 15 6 3 3" xfId="15836"/>
    <cellStyle name="Input 15 6 3 3 2" xfId="15837"/>
    <cellStyle name="Input 15 6 3 4" xfId="15838"/>
    <cellStyle name="Input 15 6 3 5" xfId="15839"/>
    <cellStyle name="Input 15 6 3 6" xfId="15840"/>
    <cellStyle name="Input 15 6 4" xfId="15841"/>
    <cellStyle name="Input 15 6 4 2" xfId="15842"/>
    <cellStyle name="Input 15 6 5" xfId="15843"/>
    <cellStyle name="Input 15 6 5 2" xfId="15844"/>
    <cellStyle name="Input 15 6 6" xfId="15845"/>
    <cellStyle name="Input 15 6 7" xfId="15846"/>
    <cellStyle name="Input 15 6 8" xfId="15847"/>
    <cellStyle name="Input 15 7" xfId="15848"/>
    <cellStyle name="Input 15 7 2" xfId="15849"/>
    <cellStyle name="Input 15 7 2 2" xfId="15850"/>
    <cellStyle name="Input 15 7 2 2 2" xfId="15851"/>
    <cellStyle name="Input 15 7 2 3" xfId="15852"/>
    <cellStyle name="Input 15 7 2 3 2" xfId="15853"/>
    <cellStyle name="Input 15 7 2 4" xfId="15854"/>
    <cellStyle name="Input 15 7 2 5" xfId="15855"/>
    <cellStyle name="Input 15 7 2 6" xfId="15856"/>
    <cellStyle name="Input 15 7 3" xfId="15857"/>
    <cellStyle name="Input 15 7 3 2" xfId="15858"/>
    <cellStyle name="Input 15 7 4" xfId="15859"/>
    <cellStyle name="Input 15 7 4 2" xfId="15860"/>
    <cellStyle name="Input 15 7 5" xfId="15861"/>
    <cellStyle name="Input 15 7 6" xfId="15862"/>
    <cellStyle name="Input 15 7 7" xfId="15863"/>
    <cellStyle name="Input 15 8" xfId="15864"/>
    <cellStyle name="Input 15 8 2" xfId="15865"/>
    <cellStyle name="Input 15 9" xfId="15866"/>
    <cellStyle name="Input 15 9 2" xfId="15867"/>
    <cellStyle name="Input 16" xfId="15868"/>
    <cellStyle name="Input 16 10" xfId="15869"/>
    <cellStyle name="Input 16 11" xfId="15870"/>
    <cellStyle name="Input 16 12" xfId="15871"/>
    <cellStyle name="Input 16 2" xfId="15872"/>
    <cellStyle name="Input 16 2 10" xfId="15873"/>
    <cellStyle name="Input 16 2 11" xfId="15874"/>
    <cellStyle name="Input 16 2 12" xfId="15875"/>
    <cellStyle name="Input 16 2 2" xfId="15876"/>
    <cellStyle name="Input 16 2 2 10" xfId="15877"/>
    <cellStyle name="Input 16 2 2 11" xfId="15878"/>
    <cellStyle name="Input 16 2 2 2" xfId="15879"/>
    <cellStyle name="Input 16 2 2 2 10" xfId="15880"/>
    <cellStyle name="Input 16 2 2 2 2" xfId="15881"/>
    <cellStyle name="Input 16 2 2 2 2 2" xfId="15882"/>
    <cellStyle name="Input 16 2 2 2 2 2 2" xfId="15883"/>
    <cellStyle name="Input 16 2 2 2 2 2 2 2" xfId="15884"/>
    <cellStyle name="Input 16 2 2 2 2 2 2 2 2" xfId="15885"/>
    <cellStyle name="Input 16 2 2 2 2 2 2 3" xfId="15886"/>
    <cellStyle name="Input 16 2 2 2 2 2 2 3 2" xfId="15887"/>
    <cellStyle name="Input 16 2 2 2 2 2 2 4" xfId="15888"/>
    <cellStyle name="Input 16 2 2 2 2 2 2 5" xfId="15889"/>
    <cellStyle name="Input 16 2 2 2 2 2 2 6" xfId="15890"/>
    <cellStyle name="Input 16 2 2 2 2 2 3" xfId="15891"/>
    <cellStyle name="Input 16 2 2 2 2 2 3 2" xfId="15892"/>
    <cellStyle name="Input 16 2 2 2 2 2 4" xfId="15893"/>
    <cellStyle name="Input 16 2 2 2 2 2 4 2" xfId="15894"/>
    <cellStyle name="Input 16 2 2 2 2 2 5" xfId="15895"/>
    <cellStyle name="Input 16 2 2 2 2 2 6" xfId="15896"/>
    <cellStyle name="Input 16 2 2 2 2 2 7" xfId="15897"/>
    <cellStyle name="Input 16 2 2 2 2 3" xfId="15898"/>
    <cellStyle name="Input 16 2 2 2 2 3 2" xfId="15899"/>
    <cellStyle name="Input 16 2 2 2 2 3 2 2" xfId="15900"/>
    <cellStyle name="Input 16 2 2 2 2 3 3" xfId="15901"/>
    <cellStyle name="Input 16 2 2 2 2 3 3 2" xfId="15902"/>
    <cellStyle name="Input 16 2 2 2 2 3 4" xfId="15903"/>
    <cellStyle name="Input 16 2 2 2 2 3 5" xfId="15904"/>
    <cellStyle name="Input 16 2 2 2 2 3 6" xfId="15905"/>
    <cellStyle name="Input 16 2 2 2 2 4" xfId="15906"/>
    <cellStyle name="Input 16 2 2 2 2 4 2" xfId="15907"/>
    <cellStyle name="Input 16 2 2 2 2 5" xfId="15908"/>
    <cellStyle name="Input 16 2 2 2 2 5 2" xfId="15909"/>
    <cellStyle name="Input 16 2 2 2 2 6" xfId="15910"/>
    <cellStyle name="Input 16 2 2 2 2 7" xfId="15911"/>
    <cellStyle name="Input 16 2 2 2 2 8" xfId="15912"/>
    <cellStyle name="Input 16 2 2 2 3" xfId="15913"/>
    <cellStyle name="Input 16 2 2 2 3 2" xfId="15914"/>
    <cellStyle name="Input 16 2 2 2 3 2 2" xfId="15915"/>
    <cellStyle name="Input 16 2 2 2 3 2 2 2" xfId="15916"/>
    <cellStyle name="Input 16 2 2 2 3 2 2 2 2" xfId="15917"/>
    <cellStyle name="Input 16 2 2 2 3 2 2 3" xfId="15918"/>
    <cellStyle name="Input 16 2 2 2 3 2 2 3 2" xfId="15919"/>
    <cellStyle name="Input 16 2 2 2 3 2 2 4" xfId="15920"/>
    <cellStyle name="Input 16 2 2 2 3 2 2 5" xfId="15921"/>
    <cellStyle name="Input 16 2 2 2 3 2 2 6" xfId="15922"/>
    <cellStyle name="Input 16 2 2 2 3 2 3" xfId="15923"/>
    <cellStyle name="Input 16 2 2 2 3 2 3 2" xfId="15924"/>
    <cellStyle name="Input 16 2 2 2 3 2 4" xfId="15925"/>
    <cellStyle name="Input 16 2 2 2 3 2 4 2" xfId="15926"/>
    <cellStyle name="Input 16 2 2 2 3 2 5" xfId="15927"/>
    <cellStyle name="Input 16 2 2 2 3 2 6" xfId="15928"/>
    <cellStyle name="Input 16 2 2 2 3 2 7" xfId="15929"/>
    <cellStyle name="Input 16 2 2 2 3 3" xfId="15930"/>
    <cellStyle name="Input 16 2 2 2 3 3 2" xfId="15931"/>
    <cellStyle name="Input 16 2 2 2 3 3 2 2" xfId="15932"/>
    <cellStyle name="Input 16 2 2 2 3 3 3" xfId="15933"/>
    <cellStyle name="Input 16 2 2 2 3 3 3 2" xfId="15934"/>
    <cellStyle name="Input 16 2 2 2 3 3 4" xfId="15935"/>
    <cellStyle name="Input 16 2 2 2 3 3 5" xfId="15936"/>
    <cellStyle name="Input 16 2 2 2 3 3 6" xfId="15937"/>
    <cellStyle name="Input 16 2 2 2 3 4" xfId="15938"/>
    <cellStyle name="Input 16 2 2 2 3 4 2" xfId="15939"/>
    <cellStyle name="Input 16 2 2 2 3 5" xfId="15940"/>
    <cellStyle name="Input 16 2 2 2 3 5 2" xfId="15941"/>
    <cellStyle name="Input 16 2 2 2 3 6" xfId="15942"/>
    <cellStyle name="Input 16 2 2 2 3 7" xfId="15943"/>
    <cellStyle name="Input 16 2 2 2 3 8" xfId="15944"/>
    <cellStyle name="Input 16 2 2 2 4" xfId="15945"/>
    <cellStyle name="Input 16 2 2 2 4 2" xfId="15946"/>
    <cellStyle name="Input 16 2 2 2 4 2 2" xfId="15947"/>
    <cellStyle name="Input 16 2 2 2 4 2 2 2" xfId="15948"/>
    <cellStyle name="Input 16 2 2 2 4 2 3" xfId="15949"/>
    <cellStyle name="Input 16 2 2 2 4 2 3 2" xfId="15950"/>
    <cellStyle name="Input 16 2 2 2 4 2 4" xfId="15951"/>
    <cellStyle name="Input 16 2 2 2 4 2 5" xfId="15952"/>
    <cellStyle name="Input 16 2 2 2 4 2 6" xfId="15953"/>
    <cellStyle name="Input 16 2 2 2 4 3" xfId="15954"/>
    <cellStyle name="Input 16 2 2 2 4 3 2" xfId="15955"/>
    <cellStyle name="Input 16 2 2 2 4 4" xfId="15956"/>
    <cellStyle name="Input 16 2 2 2 4 4 2" xfId="15957"/>
    <cellStyle name="Input 16 2 2 2 4 5" xfId="15958"/>
    <cellStyle name="Input 16 2 2 2 4 6" xfId="15959"/>
    <cellStyle name="Input 16 2 2 2 4 7" xfId="15960"/>
    <cellStyle name="Input 16 2 2 2 5" xfId="15961"/>
    <cellStyle name="Input 16 2 2 2 5 2" xfId="15962"/>
    <cellStyle name="Input 16 2 2 2 5 2 2" xfId="15963"/>
    <cellStyle name="Input 16 2 2 2 5 3" xfId="15964"/>
    <cellStyle name="Input 16 2 2 2 5 3 2" xfId="15965"/>
    <cellStyle name="Input 16 2 2 2 5 4" xfId="15966"/>
    <cellStyle name="Input 16 2 2 2 5 5" xfId="15967"/>
    <cellStyle name="Input 16 2 2 2 5 6" xfId="15968"/>
    <cellStyle name="Input 16 2 2 2 6" xfId="15969"/>
    <cellStyle name="Input 16 2 2 2 6 2" xfId="15970"/>
    <cellStyle name="Input 16 2 2 2 7" xfId="15971"/>
    <cellStyle name="Input 16 2 2 2 7 2" xfId="15972"/>
    <cellStyle name="Input 16 2 2 2 8" xfId="15973"/>
    <cellStyle name="Input 16 2 2 2 9" xfId="15974"/>
    <cellStyle name="Input 16 2 2 3" xfId="15975"/>
    <cellStyle name="Input 16 2 2 3 2" xfId="15976"/>
    <cellStyle name="Input 16 2 2 3 2 2" xfId="15977"/>
    <cellStyle name="Input 16 2 2 3 2 2 2" xfId="15978"/>
    <cellStyle name="Input 16 2 2 3 2 2 2 2" xfId="15979"/>
    <cellStyle name="Input 16 2 2 3 2 2 3" xfId="15980"/>
    <cellStyle name="Input 16 2 2 3 2 2 3 2" xfId="15981"/>
    <cellStyle name="Input 16 2 2 3 2 2 4" xfId="15982"/>
    <cellStyle name="Input 16 2 2 3 2 2 5" xfId="15983"/>
    <cellStyle name="Input 16 2 2 3 2 2 6" xfId="15984"/>
    <cellStyle name="Input 16 2 2 3 2 3" xfId="15985"/>
    <cellStyle name="Input 16 2 2 3 2 3 2" xfId="15986"/>
    <cellStyle name="Input 16 2 2 3 2 4" xfId="15987"/>
    <cellStyle name="Input 16 2 2 3 2 4 2" xfId="15988"/>
    <cellStyle name="Input 16 2 2 3 2 5" xfId="15989"/>
    <cellStyle name="Input 16 2 2 3 2 6" xfId="15990"/>
    <cellStyle name="Input 16 2 2 3 2 7" xfId="15991"/>
    <cellStyle name="Input 16 2 2 3 3" xfId="15992"/>
    <cellStyle name="Input 16 2 2 3 3 2" xfId="15993"/>
    <cellStyle name="Input 16 2 2 3 3 2 2" xfId="15994"/>
    <cellStyle name="Input 16 2 2 3 3 3" xfId="15995"/>
    <cellStyle name="Input 16 2 2 3 3 3 2" xfId="15996"/>
    <cellStyle name="Input 16 2 2 3 3 4" xfId="15997"/>
    <cellStyle name="Input 16 2 2 3 3 5" xfId="15998"/>
    <cellStyle name="Input 16 2 2 3 3 6" xfId="15999"/>
    <cellStyle name="Input 16 2 2 3 4" xfId="16000"/>
    <cellStyle name="Input 16 2 2 3 4 2" xfId="16001"/>
    <cellStyle name="Input 16 2 2 3 5" xfId="16002"/>
    <cellStyle name="Input 16 2 2 3 5 2" xfId="16003"/>
    <cellStyle name="Input 16 2 2 3 6" xfId="16004"/>
    <cellStyle name="Input 16 2 2 3 7" xfId="16005"/>
    <cellStyle name="Input 16 2 2 3 8" xfId="16006"/>
    <cellStyle name="Input 16 2 2 4" xfId="16007"/>
    <cellStyle name="Input 16 2 2 4 2" xfId="16008"/>
    <cellStyle name="Input 16 2 2 4 2 2" xfId="16009"/>
    <cellStyle name="Input 16 2 2 4 2 2 2" xfId="16010"/>
    <cellStyle name="Input 16 2 2 4 2 2 2 2" xfId="16011"/>
    <cellStyle name="Input 16 2 2 4 2 2 3" xfId="16012"/>
    <cellStyle name="Input 16 2 2 4 2 2 3 2" xfId="16013"/>
    <cellStyle name="Input 16 2 2 4 2 2 4" xfId="16014"/>
    <cellStyle name="Input 16 2 2 4 2 2 5" xfId="16015"/>
    <cellStyle name="Input 16 2 2 4 2 2 6" xfId="16016"/>
    <cellStyle name="Input 16 2 2 4 2 3" xfId="16017"/>
    <cellStyle name="Input 16 2 2 4 2 3 2" xfId="16018"/>
    <cellStyle name="Input 16 2 2 4 2 4" xfId="16019"/>
    <cellStyle name="Input 16 2 2 4 2 4 2" xfId="16020"/>
    <cellStyle name="Input 16 2 2 4 2 5" xfId="16021"/>
    <cellStyle name="Input 16 2 2 4 2 6" xfId="16022"/>
    <cellStyle name="Input 16 2 2 4 2 7" xfId="16023"/>
    <cellStyle name="Input 16 2 2 4 3" xfId="16024"/>
    <cellStyle name="Input 16 2 2 4 3 2" xfId="16025"/>
    <cellStyle name="Input 16 2 2 4 3 2 2" xfId="16026"/>
    <cellStyle name="Input 16 2 2 4 3 3" xfId="16027"/>
    <cellStyle name="Input 16 2 2 4 3 3 2" xfId="16028"/>
    <cellStyle name="Input 16 2 2 4 3 4" xfId="16029"/>
    <cellStyle name="Input 16 2 2 4 3 5" xfId="16030"/>
    <cellStyle name="Input 16 2 2 4 3 6" xfId="16031"/>
    <cellStyle name="Input 16 2 2 4 4" xfId="16032"/>
    <cellStyle name="Input 16 2 2 4 4 2" xfId="16033"/>
    <cellStyle name="Input 16 2 2 4 5" xfId="16034"/>
    <cellStyle name="Input 16 2 2 4 5 2" xfId="16035"/>
    <cellStyle name="Input 16 2 2 4 6" xfId="16036"/>
    <cellStyle name="Input 16 2 2 4 7" xfId="16037"/>
    <cellStyle name="Input 16 2 2 4 8" xfId="16038"/>
    <cellStyle name="Input 16 2 2 5" xfId="16039"/>
    <cellStyle name="Input 16 2 2 5 2" xfId="16040"/>
    <cellStyle name="Input 16 2 2 5 2 2" xfId="16041"/>
    <cellStyle name="Input 16 2 2 5 2 2 2" xfId="16042"/>
    <cellStyle name="Input 16 2 2 5 2 3" xfId="16043"/>
    <cellStyle name="Input 16 2 2 5 2 3 2" xfId="16044"/>
    <cellStyle name="Input 16 2 2 5 2 4" xfId="16045"/>
    <cellStyle name="Input 16 2 2 5 2 5" xfId="16046"/>
    <cellStyle name="Input 16 2 2 5 2 6" xfId="16047"/>
    <cellStyle name="Input 16 2 2 5 3" xfId="16048"/>
    <cellStyle name="Input 16 2 2 5 3 2" xfId="16049"/>
    <cellStyle name="Input 16 2 2 5 4" xfId="16050"/>
    <cellStyle name="Input 16 2 2 5 4 2" xfId="16051"/>
    <cellStyle name="Input 16 2 2 5 5" xfId="16052"/>
    <cellStyle name="Input 16 2 2 5 6" xfId="16053"/>
    <cellStyle name="Input 16 2 2 5 7" xfId="16054"/>
    <cellStyle name="Input 16 2 2 6" xfId="16055"/>
    <cellStyle name="Input 16 2 2 6 2" xfId="16056"/>
    <cellStyle name="Input 16 2 2 6 2 2" xfId="16057"/>
    <cellStyle name="Input 16 2 2 6 3" xfId="16058"/>
    <cellStyle name="Input 16 2 2 6 3 2" xfId="16059"/>
    <cellStyle name="Input 16 2 2 6 4" xfId="16060"/>
    <cellStyle name="Input 16 2 2 6 5" xfId="16061"/>
    <cellStyle name="Input 16 2 2 6 6" xfId="16062"/>
    <cellStyle name="Input 16 2 2 7" xfId="16063"/>
    <cellStyle name="Input 16 2 2 7 2" xfId="16064"/>
    <cellStyle name="Input 16 2 2 8" xfId="16065"/>
    <cellStyle name="Input 16 2 2 8 2" xfId="16066"/>
    <cellStyle name="Input 16 2 2 9" xfId="16067"/>
    <cellStyle name="Input 16 2 3" xfId="16068"/>
    <cellStyle name="Input 16 2 3 10" xfId="16069"/>
    <cellStyle name="Input 16 2 3 2" xfId="16070"/>
    <cellStyle name="Input 16 2 3 2 10" xfId="16071"/>
    <cellStyle name="Input 16 2 3 2 2" xfId="16072"/>
    <cellStyle name="Input 16 2 3 2 2 2" xfId="16073"/>
    <cellStyle name="Input 16 2 3 2 2 2 2" xfId="16074"/>
    <cellStyle name="Input 16 2 3 2 2 2 2 2" xfId="16075"/>
    <cellStyle name="Input 16 2 3 2 2 2 2 2 2" xfId="16076"/>
    <cellStyle name="Input 16 2 3 2 2 2 2 3" xfId="16077"/>
    <cellStyle name="Input 16 2 3 2 2 2 2 3 2" xfId="16078"/>
    <cellStyle name="Input 16 2 3 2 2 2 2 4" xfId="16079"/>
    <cellStyle name="Input 16 2 3 2 2 2 2 5" xfId="16080"/>
    <cellStyle name="Input 16 2 3 2 2 2 2 6" xfId="16081"/>
    <cellStyle name="Input 16 2 3 2 2 2 3" xfId="16082"/>
    <cellStyle name="Input 16 2 3 2 2 2 3 2" xfId="16083"/>
    <cellStyle name="Input 16 2 3 2 2 2 4" xfId="16084"/>
    <cellStyle name="Input 16 2 3 2 2 2 4 2" xfId="16085"/>
    <cellStyle name="Input 16 2 3 2 2 2 5" xfId="16086"/>
    <cellStyle name="Input 16 2 3 2 2 2 6" xfId="16087"/>
    <cellStyle name="Input 16 2 3 2 2 2 7" xfId="16088"/>
    <cellStyle name="Input 16 2 3 2 2 3" xfId="16089"/>
    <cellStyle name="Input 16 2 3 2 2 3 2" xfId="16090"/>
    <cellStyle name="Input 16 2 3 2 2 3 2 2" xfId="16091"/>
    <cellStyle name="Input 16 2 3 2 2 3 3" xfId="16092"/>
    <cellStyle name="Input 16 2 3 2 2 3 3 2" xfId="16093"/>
    <cellStyle name="Input 16 2 3 2 2 3 4" xfId="16094"/>
    <cellStyle name="Input 16 2 3 2 2 3 5" xfId="16095"/>
    <cellStyle name="Input 16 2 3 2 2 3 6" xfId="16096"/>
    <cellStyle name="Input 16 2 3 2 2 4" xfId="16097"/>
    <cellStyle name="Input 16 2 3 2 2 4 2" xfId="16098"/>
    <cellStyle name="Input 16 2 3 2 2 5" xfId="16099"/>
    <cellStyle name="Input 16 2 3 2 2 5 2" xfId="16100"/>
    <cellStyle name="Input 16 2 3 2 2 6" xfId="16101"/>
    <cellStyle name="Input 16 2 3 2 2 7" xfId="16102"/>
    <cellStyle name="Input 16 2 3 2 2 8" xfId="16103"/>
    <cellStyle name="Input 16 2 3 2 3" xfId="16104"/>
    <cellStyle name="Input 16 2 3 2 3 2" xfId="16105"/>
    <cellStyle name="Input 16 2 3 2 3 2 2" xfId="16106"/>
    <cellStyle name="Input 16 2 3 2 3 2 2 2" xfId="16107"/>
    <cellStyle name="Input 16 2 3 2 3 2 2 2 2" xfId="16108"/>
    <cellStyle name="Input 16 2 3 2 3 2 2 3" xfId="16109"/>
    <cellStyle name="Input 16 2 3 2 3 2 2 3 2" xfId="16110"/>
    <cellStyle name="Input 16 2 3 2 3 2 2 4" xfId="16111"/>
    <cellStyle name="Input 16 2 3 2 3 2 2 5" xfId="16112"/>
    <cellStyle name="Input 16 2 3 2 3 2 2 6" xfId="16113"/>
    <cellStyle name="Input 16 2 3 2 3 2 3" xfId="16114"/>
    <cellStyle name="Input 16 2 3 2 3 2 3 2" xfId="16115"/>
    <cellStyle name="Input 16 2 3 2 3 2 4" xfId="16116"/>
    <cellStyle name="Input 16 2 3 2 3 2 4 2" xfId="16117"/>
    <cellStyle name="Input 16 2 3 2 3 2 5" xfId="16118"/>
    <cellStyle name="Input 16 2 3 2 3 2 6" xfId="16119"/>
    <cellStyle name="Input 16 2 3 2 3 2 7" xfId="16120"/>
    <cellStyle name="Input 16 2 3 2 3 3" xfId="16121"/>
    <cellStyle name="Input 16 2 3 2 3 3 2" xfId="16122"/>
    <cellStyle name="Input 16 2 3 2 3 3 2 2" xfId="16123"/>
    <cellStyle name="Input 16 2 3 2 3 3 3" xfId="16124"/>
    <cellStyle name="Input 16 2 3 2 3 3 3 2" xfId="16125"/>
    <cellStyle name="Input 16 2 3 2 3 3 4" xfId="16126"/>
    <cellStyle name="Input 16 2 3 2 3 3 5" xfId="16127"/>
    <cellStyle name="Input 16 2 3 2 3 3 6" xfId="16128"/>
    <cellStyle name="Input 16 2 3 2 3 4" xfId="16129"/>
    <cellStyle name="Input 16 2 3 2 3 4 2" xfId="16130"/>
    <cellStyle name="Input 16 2 3 2 3 5" xfId="16131"/>
    <cellStyle name="Input 16 2 3 2 3 5 2" xfId="16132"/>
    <cellStyle name="Input 16 2 3 2 3 6" xfId="16133"/>
    <cellStyle name="Input 16 2 3 2 3 7" xfId="16134"/>
    <cellStyle name="Input 16 2 3 2 3 8" xfId="16135"/>
    <cellStyle name="Input 16 2 3 2 4" xfId="16136"/>
    <cellStyle name="Input 16 2 3 2 4 2" xfId="16137"/>
    <cellStyle name="Input 16 2 3 2 4 2 2" xfId="16138"/>
    <cellStyle name="Input 16 2 3 2 4 2 2 2" xfId="16139"/>
    <cellStyle name="Input 16 2 3 2 4 2 3" xfId="16140"/>
    <cellStyle name="Input 16 2 3 2 4 2 3 2" xfId="16141"/>
    <cellStyle name="Input 16 2 3 2 4 2 4" xfId="16142"/>
    <cellStyle name="Input 16 2 3 2 4 2 5" xfId="16143"/>
    <cellStyle name="Input 16 2 3 2 4 2 6" xfId="16144"/>
    <cellStyle name="Input 16 2 3 2 4 3" xfId="16145"/>
    <cellStyle name="Input 16 2 3 2 4 3 2" xfId="16146"/>
    <cellStyle name="Input 16 2 3 2 4 4" xfId="16147"/>
    <cellStyle name="Input 16 2 3 2 4 4 2" xfId="16148"/>
    <cellStyle name="Input 16 2 3 2 4 5" xfId="16149"/>
    <cellStyle name="Input 16 2 3 2 4 6" xfId="16150"/>
    <cellStyle name="Input 16 2 3 2 4 7" xfId="16151"/>
    <cellStyle name="Input 16 2 3 2 5" xfId="16152"/>
    <cellStyle name="Input 16 2 3 2 5 2" xfId="16153"/>
    <cellStyle name="Input 16 2 3 2 5 2 2" xfId="16154"/>
    <cellStyle name="Input 16 2 3 2 5 3" xfId="16155"/>
    <cellStyle name="Input 16 2 3 2 5 3 2" xfId="16156"/>
    <cellStyle name="Input 16 2 3 2 5 4" xfId="16157"/>
    <cellStyle name="Input 16 2 3 2 5 5" xfId="16158"/>
    <cellStyle name="Input 16 2 3 2 5 6" xfId="16159"/>
    <cellStyle name="Input 16 2 3 2 6" xfId="16160"/>
    <cellStyle name="Input 16 2 3 2 6 2" xfId="16161"/>
    <cellStyle name="Input 16 2 3 2 7" xfId="16162"/>
    <cellStyle name="Input 16 2 3 2 7 2" xfId="16163"/>
    <cellStyle name="Input 16 2 3 2 8" xfId="16164"/>
    <cellStyle name="Input 16 2 3 2 9" xfId="16165"/>
    <cellStyle name="Input 16 2 3 3" xfId="16166"/>
    <cellStyle name="Input 16 2 3 3 2" xfId="16167"/>
    <cellStyle name="Input 16 2 3 3 2 2" xfId="16168"/>
    <cellStyle name="Input 16 2 3 3 2 2 2" xfId="16169"/>
    <cellStyle name="Input 16 2 3 3 2 2 2 2" xfId="16170"/>
    <cellStyle name="Input 16 2 3 3 2 2 3" xfId="16171"/>
    <cellStyle name="Input 16 2 3 3 2 2 3 2" xfId="16172"/>
    <cellStyle name="Input 16 2 3 3 2 2 4" xfId="16173"/>
    <cellStyle name="Input 16 2 3 3 2 2 5" xfId="16174"/>
    <cellStyle name="Input 16 2 3 3 2 2 6" xfId="16175"/>
    <cellStyle name="Input 16 2 3 3 2 3" xfId="16176"/>
    <cellStyle name="Input 16 2 3 3 2 3 2" xfId="16177"/>
    <cellStyle name="Input 16 2 3 3 2 4" xfId="16178"/>
    <cellStyle name="Input 16 2 3 3 2 4 2" xfId="16179"/>
    <cellStyle name="Input 16 2 3 3 2 5" xfId="16180"/>
    <cellStyle name="Input 16 2 3 3 2 6" xfId="16181"/>
    <cellStyle name="Input 16 2 3 3 2 7" xfId="16182"/>
    <cellStyle name="Input 16 2 3 3 3" xfId="16183"/>
    <cellStyle name="Input 16 2 3 3 3 2" xfId="16184"/>
    <cellStyle name="Input 16 2 3 3 3 2 2" xfId="16185"/>
    <cellStyle name="Input 16 2 3 3 3 3" xfId="16186"/>
    <cellStyle name="Input 16 2 3 3 3 3 2" xfId="16187"/>
    <cellStyle name="Input 16 2 3 3 3 4" xfId="16188"/>
    <cellStyle name="Input 16 2 3 3 3 5" xfId="16189"/>
    <cellStyle name="Input 16 2 3 3 3 6" xfId="16190"/>
    <cellStyle name="Input 16 2 3 3 4" xfId="16191"/>
    <cellStyle name="Input 16 2 3 3 4 2" xfId="16192"/>
    <cellStyle name="Input 16 2 3 3 5" xfId="16193"/>
    <cellStyle name="Input 16 2 3 3 5 2" xfId="16194"/>
    <cellStyle name="Input 16 2 3 3 6" xfId="16195"/>
    <cellStyle name="Input 16 2 3 3 7" xfId="16196"/>
    <cellStyle name="Input 16 2 3 3 8" xfId="16197"/>
    <cellStyle name="Input 16 2 3 4" xfId="16198"/>
    <cellStyle name="Input 16 2 3 4 2" xfId="16199"/>
    <cellStyle name="Input 16 2 3 4 2 2" xfId="16200"/>
    <cellStyle name="Input 16 2 3 4 2 2 2" xfId="16201"/>
    <cellStyle name="Input 16 2 3 4 2 3" xfId="16202"/>
    <cellStyle name="Input 16 2 3 4 2 3 2" xfId="16203"/>
    <cellStyle name="Input 16 2 3 4 2 4" xfId="16204"/>
    <cellStyle name="Input 16 2 3 4 2 5" xfId="16205"/>
    <cellStyle name="Input 16 2 3 4 2 6" xfId="16206"/>
    <cellStyle name="Input 16 2 3 4 3" xfId="16207"/>
    <cellStyle name="Input 16 2 3 4 3 2" xfId="16208"/>
    <cellStyle name="Input 16 2 3 4 4" xfId="16209"/>
    <cellStyle name="Input 16 2 3 4 4 2" xfId="16210"/>
    <cellStyle name="Input 16 2 3 4 5" xfId="16211"/>
    <cellStyle name="Input 16 2 3 4 6" xfId="16212"/>
    <cellStyle name="Input 16 2 3 4 7" xfId="16213"/>
    <cellStyle name="Input 16 2 3 5" xfId="16214"/>
    <cellStyle name="Input 16 2 3 5 2" xfId="16215"/>
    <cellStyle name="Input 16 2 3 5 2 2" xfId="16216"/>
    <cellStyle name="Input 16 2 3 5 3" xfId="16217"/>
    <cellStyle name="Input 16 2 3 5 3 2" xfId="16218"/>
    <cellStyle name="Input 16 2 3 5 4" xfId="16219"/>
    <cellStyle name="Input 16 2 3 5 5" xfId="16220"/>
    <cellStyle name="Input 16 2 3 5 6" xfId="16221"/>
    <cellStyle name="Input 16 2 3 6" xfId="16222"/>
    <cellStyle name="Input 16 2 3 6 2" xfId="16223"/>
    <cellStyle name="Input 16 2 3 7" xfId="16224"/>
    <cellStyle name="Input 16 2 3 7 2" xfId="16225"/>
    <cellStyle name="Input 16 2 3 8" xfId="16226"/>
    <cellStyle name="Input 16 2 3 9" xfId="16227"/>
    <cellStyle name="Input 16 2 4" xfId="16228"/>
    <cellStyle name="Input 16 2 4 10" xfId="16229"/>
    <cellStyle name="Input 16 2 4 2" xfId="16230"/>
    <cellStyle name="Input 16 2 4 2 2" xfId="16231"/>
    <cellStyle name="Input 16 2 4 2 2 2" xfId="16232"/>
    <cellStyle name="Input 16 2 4 2 2 2 2" xfId="16233"/>
    <cellStyle name="Input 16 2 4 2 2 2 2 2" xfId="16234"/>
    <cellStyle name="Input 16 2 4 2 2 2 3" xfId="16235"/>
    <cellStyle name="Input 16 2 4 2 2 2 3 2" xfId="16236"/>
    <cellStyle name="Input 16 2 4 2 2 2 4" xfId="16237"/>
    <cellStyle name="Input 16 2 4 2 2 2 5" xfId="16238"/>
    <cellStyle name="Input 16 2 4 2 2 2 6" xfId="16239"/>
    <cellStyle name="Input 16 2 4 2 2 3" xfId="16240"/>
    <cellStyle name="Input 16 2 4 2 2 3 2" xfId="16241"/>
    <cellStyle name="Input 16 2 4 2 2 4" xfId="16242"/>
    <cellStyle name="Input 16 2 4 2 2 4 2" xfId="16243"/>
    <cellStyle name="Input 16 2 4 2 2 5" xfId="16244"/>
    <cellStyle name="Input 16 2 4 2 2 6" xfId="16245"/>
    <cellStyle name="Input 16 2 4 2 2 7" xfId="16246"/>
    <cellStyle name="Input 16 2 4 2 3" xfId="16247"/>
    <cellStyle name="Input 16 2 4 2 3 2" xfId="16248"/>
    <cellStyle name="Input 16 2 4 2 3 2 2" xfId="16249"/>
    <cellStyle name="Input 16 2 4 2 3 3" xfId="16250"/>
    <cellStyle name="Input 16 2 4 2 3 3 2" xfId="16251"/>
    <cellStyle name="Input 16 2 4 2 3 4" xfId="16252"/>
    <cellStyle name="Input 16 2 4 2 3 5" xfId="16253"/>
    <cellStyle name="Input 16 2 4 2 3 6" xfId="16254"/>
    <cellStyle name="Input 16 2 4 2 4" xfId="16255"/>
    <cellStyle name="Input 16 2 4 2 4 2" xfId="16256"/>
    <cellStyle name="Input 16 2 4 2 5" xfId="16257"/>
    <cellStyle name="Input 16 2 4 2 5 2" xfId="16258"/>
    <cellStyle name="Input 16 2 4 2 6" xfId="16259"/>
    <cellStyle name="Input 16 2 4 2 7" xfId="16260"/>
    <cellStyle name="Input 16 2 4 2 8" xfId="16261"/>
    <cellStyle name="Input 16 2 4 3" xfId="16262"/>
    <cellStyle name="Input 16 2 4 3 2" xfId="16263"/>
    <cellStyle name="Input 16 2 4 3 2 2" xfId="16264"/>
    <cellStyle name="Input 16 2 4 3 2 2 2" xfId="16265"/>
    <cellStyle name="Input 16 2 4 3 2 2 2 2" xfId="16266"/>
    <cellStyle name="Input 16 2 4 3 2 2 3" xfId="16267"/>
    <cellStyle name="Input 16 2 4 3 2 2 3 2" xfId="16268"/>
    <cellStyle name="Input 16 2 4 3 2 2 4" xfId="16269"/>
    <cellStyle name="Input 16 2 4 3 2 2 5" xfId="16270"/>
    <cellStyle name="Input 16 2 4 3 2 2 6" xfId="16271"/>
    <cellStyle name="Input 16 2 4 3 2 3" xfId="16272"/>
    <cellStyle name="Input 16 2 4 3 2 3 2" xfId="16273"/>
    <cellStyle name="Input 16 2 4 3 2 4" xfId="16274"/>
    <cellStyle name="Input 16 2 4 3 2 4 2" xfId="16275"/>
    <cellStyle name="Input 16 2 4 3 2 5" xfId="16276"/>
    <cellStyle name="Input 16 2 4 3 2 6" xfId="16277"/>
    <cellStyle name="Input 16 2 4 3 2 7" xfId="16278"/>
    <cellStyle name="Input 16 2 4 3 3" xfId="16279"/>
    <cellStyle name="Input 16 2 4 3 3 2" xfId="16280"/>
    <cellStyle name="Input 16 2 4 3 3 2 2" xfId="16281"/>
    <cellStyle name="Input 16 2 4 3 3 3" xfId="16282"/>
    <cellStyle name="Input 16 2 4 3 3 3 2" xfId="16283"/>
    <cellStyle name="Input 16 2 4 3 3 4" xfId="16284"/>
    <cellStyle name="Input 16 2 4 3 3 5" xfId="16285"/>
    <cellStyle name="Input 16 2 4 3 3 6" xfId="16286"/>
    <cellStyle name="Input 16 2 4 3 4" xfId="16287"/>
    <cellStyle name="Input 16 2 4 3 4 2" xfId="16288"/>
    <cellStyle name="Input 16 2 4 3 5" xfId="16289"/>
    <cellStyle name="Input 16 2 4 3 5 2" xfId="16290"/>
    <cellStyle name="Input 16 2 4 3 6" xfId="16291"/>
    <cellStyle name="Input 16 2 4 3 7" xfId="16292"/>
    <cellStyle name="Input 16 2 4 3 8" xfId="16293"/>
    <cellStyle name="Input 16 2 4 4" xfId="16294"/>
    <cellStyle name="Input 16 2 4 4 2" xfId="16295"/>
    <cellStyle name="Input 16 2 4 4 2 2" xfId="16296"/>
    <cellStyle name="Input 16 2 4 4 2 2 2" xfId="16297"/>
    <cellStyle name="Input 16 2 4 4 2 3" xfId="16298"/>
    <cellStyle name="Input 16 2 4 4 2 3 2" xfId="16299"/>
    <cellStyle name="Input 16 2 4 4 2 4" xfId="16300"/>
    <cellStyle name="Input 16 2 4 4 2 5" xfId="16301"/>
    <cellStyle name="Input 16 2 4 4 2 6" xfId="16302"/>
    <cellStyle name="Input 16 2 4 4 3" xfId="16303"/>
    <cellStyle name="Input 16 2 4 4 3 2" xfId="16304"/>
    <cellStyle name="Input 16 2 4 4 4" xfId="16305"/>
    <cellStyle name="Input 16 2 4 4 4 2" xfId="16306"/>
    <cellStyle name="Input 16 2 4 4 5" xfId="16307"/>
    <cellStyle name="Input 16 2 4 4 6" xfId="16308"/>
    <cellStyle name="Input 16 2 4 4 7" xfId="16309"/>
    <cellStyle name="Input 16 2 4 5" xfId="16310"/>
    <cellStyle name="Input 16 2 4 5 2" xfId="16311"/>
    <cellStyle name="Input 16 2 4 5 2 2" xfId="16312"/>
    <cellStyle name="Input 16 2 4 5 3" xfId="16313"/>
    <cellStyle name="Input 16 2 4 5 3 2" xfId="16314"/>
    <cellStyle name="Input 16 2 4 5 4" xfId="16315"/>
    <cellStyle name="Input 16 2 4 5 5" xfId="16316"/>
    <cellStyle name="Input 16 2 4 5 6" xfId="16317"/>
    <cellStyle name="Input 16 2 4 6" xfId="16318"/>
    <cellStyle name="Input 16 2 4 6 2" xfId="16319"/>
    <cellStyle name="Input 16 2 4 7" xfId="16320"/>
    <cellStyle name="Input 16 2 4 7 2" xfId="16321"/>
    <cellStyle name="Input 16 2 4 8" xfId="16322"/>
    <cellStyle name="Input 16 2 4 9" xfId="16323"/>
    <cellStyle name="Input 16 2 5" xfId="16324"/>
    <cellStyle name="Input 16 2 5 2" xfId="16325"/>
    <cellStyle name="Input 16 2 5 2 2" xfId="16326"/>
    <cellStyle name="Input 16 2 5 2 2 2" xfId="16327"/>
    <cellStyle name="Input 16 2 5 2 2 2 2" xfId="16328"/>
    <cellStyle name="Input 16 2 5 2 2 3" xfId="16329"/>
    <cellStyle name="Input 16 2 5 2 2 3 2" xfId="16330"/>
    <cellStyle name="Input 16 2 5 2 2 4" xfId="16331"/>
    <cellStyle name="Input 16 2 5 2 2 5" xfId="16332"/>
    <cellStyle name="Input 16 2 5 2 2 6" xfId="16333"/>
    <cellStyle name="Input 16 2 5 2 3" xfId="16334"/>
    <cellStyle name="Input 16 2 5 2 3 2" xfId="16335"/>
    <cellStyle name="Input 16 2 5 2 4" xfId="16336"/>
    <cellStyle name="Input 16 2 5 2 4 2" xfId="16337"/>
    <cellStyle name="Input 16 2 5 2 5" xfId="16338"/>
    <cellStyle name="Input 16 2 5 2 6" xfId="16339"/>
    <cellStyle name="Input 16 2 5 2 7" xfId="16340"/>
    <cellStyle name="Input 16 2 5 3" xfId="16341"/>
    <cellStyle name="Input 16 2 5 3 2" xfId="16342"/>
    <cellStyle name="Input 16 2 5 3 2 2" xfId="16343"/>
    <cellStyle name="Input 16 2 5 3 3" xfId="16344"/>
    <cellStyle name="Input 16 2 5 3 3 2" xfId="16345"/>
    <cellStyle name="Input 16 2 5 3 4" xfId="16346"/>
    <cellStyle name="Input 16 2 5 3 5" xfId="16347"/>
    <cellStyle name="Input 16 2 5 3 6" xfId="16348"/>
    <cellStyle name="Input 16 2 5 4" xfId="16349"/>
    <cellStyle name="Input 16 2 5 4 2" xfId="16350"/>
    <cellStyle name="Input 16 2 5 5" xfId="16351"/>
    <cellStyle name="Input 16 2 5 5 2" xfId="16352"/>
    <cellStyle name="Input 16 2 5 6" xfId="16353"/>
    <cellStyle name="Input 16 2 5 7" xfId="16354"/>
    <cellStyle name="Input 16 2 5 8" xfId="16355"/>
    <cellStyle name="Input 16 2 6" xfId="16356"/>
    <cellStyle name="Input 16 2 6 2" xfId="16357"/>
    <cellStyle name="Input 16 2 6 2 2" xfId="16358"/>
    <cellStyle name="Input 16 2 6 2 2 2" xfId="16359"/>
    <cellStyle name="Input 16 2 6 2 3" xfId="16360"/>
    <cellStyle name="Input 16 2 6 2 3 2" xfId="16361"/>
    <cellStyle name="Input 16 2 6 2 4" xfId="16362"/>
    <cellStyle name="Input 16 2 6 2 5" xfId="16363"/>
    <cellStyle name="Input 16 2 6 2 6" xfId="16364"/>
    <cellStyle name="Input 16 2 6 3" xfId="16365"/>
    <cellStyle name="Input 16 2 6 3 2" xfId="16366"/>
    <cellStyle name="Input 16 2 6 4" xfId="16367"/>
    <cellStyle name="Input 16 2 6 4 2" xfId="16368"/>
    <cellStyle name="Input 16 2 6 5" xfId="16369"/>
    <cellStyle name="Input 16 2 6 6" xfId="16370"/>
    <cellStyle name="Input 16 2 6 7" xfId="16371"/>
    <cellStyle name="Input 16 2 7" xfId="16372"/>
    <cellStyle name="Input 16 2 7 2" xfId="16373"/>
    <cellStyle name="Input 16 2 7 2 2" xfId="16374"/>
    <cellStyle name="Input 16 2 7 3" xfId="16375"/>
    <cellStyle name="Input 16 2 7 3 2" xfId="16376"/>
    <cellStyle name="Input 16 2 7 4" xfId="16377"/>
    <cellStyle name="Input 16 2 7 5" xfId="16378"/>
    <cellStyle name="Input 16 2 7 6" xfId="16379"/>
    <cellStyle name="Input 16 2 8" xfId="16380"/>
    <cellStyle name="Input 16 2 8 2" xfId="16381"/>
    <cellStyle name="Input 16 2 9" xfId="16382"/>
    <cellStyle name="Input 16 2 9 2" xfId="16383"/>
    <cellStyle name="Input 16 3" xfId="16384"/>
    <cellStyle name="Input 16 3 10" xfId="16385"/>
    <cellStyle name="Input 16 3 11" xfId="16386"/>
    <cellStyle name="Input 16 3 2" xfId="16387"/>
    <cellStyle name="Input 16 3 2 10" xfId="16388"/>
    <cellStyle name="Input 16 3 2 2" xfId="16389"/>
    <cellStyle name="Input 16 3 2 2 10" xfId="16390"/>
    <cellStyle name="Input 16 3 2 2 2" xfId="16391"/>
    <cellStyle name="Input 16 3 2 2 2 2" xfId="16392"/>
    <cellStyle name="Input 16 3 2 2 2 2 2" xfId="16393"/>
    <cellStyle name="Input 16 3 2 2 2 2 2 2" xfId="16394"/>
    <cellStyle name="Input 16 3 2 2 2 2 2 2 2" xfId="16395"/>
    <cellStyle name="Input 16 3 2 2 2 2 2 3" xfId="16396"/>
    <cellStyle name="Input 16 3 2 2 2 2 2 3 2" xfId="16397"/>
    <cellStyle name="Input 16 3 2 2 2 2 2 4" xfId="16398"/>
    <cellStyle name="Input 16 3 2 2 2 2 2 5" xfId="16399"/>
    <cellStyle name="Input 16 3 2 2 2 2 2 6" xfId="16400"/>
    <cellStyle name="Input 16 3 2 2 2 2 3" xfId="16401"/>
    <cellStyle name="Input 16 3 2 2 2 2 3 2" xfId="16402"/>
    <cellStyle name="Input 16 3 2 2 2 2 4" xfId="16403"/>
    <cellStyle name="Input 16 3 2 2 2 2 4 2" xfId="16404"/>
    <cellStyle name="Input 16 3 2 2 2 2 5" xfId="16405"/>
    <cellStyle name="Input 16 3 2 2 2 2 6" xfId="16406"/>
    <cellStyle name="Input 16 3 2 2 2 2 7" xfId="16407"/>
    <cellStyle name="Input 16 3 2 2 2 3" xfId="16408"/>
    <cellStyle name="Input 16 3 2 2 2 3 2" xfId="16409"/>
    <cellStyle name="Input 16 3 2 2 2 3 2 2" xfId="16410"/>
    <cellStyle name="Input 16 3 2 2 2 3 3" xfId="16411"/>
    <cellStyle name="Input 16 3 2 2 2 3 3 2" xfId="16412"/>
    <cellStyle name="Input 16 3 2 2 2 3 4" xfId="16413"/>
    <cellStyle name="Input 16 3 2 2 2 3 5" xfId="16414"/>
    <cellStyle name="Input 16 3 2 2 2 3 6" xfId="16415"/>
    <cellStyle name="Input 16 3 2 2 2 4" xfId="16416"/>
    <cellStyle name="Input 16 3 2 2 2 4 2" xfId="16417"/>
    <cellStyle name="Input 16 3 2 2 2 5" xfId="16418"/>
    <cellStyle name="Input 16 3 2 2 2 5 2" xfId="16419"/>
    <cellStyle name="Input 16 3 2 2 2 6" xfId="16420"/>
    <cellStyle name="Input 16 3 2 2 2 7" xfId="16421"/>
    <cellStyle name="Input 16 3 2 2 2 8" xfId="16422"/>
    <cellStyle name="Input 16 3 2 2 3" xfId="16423"/>
    <cellStyle name="Input 16 3 2 2 3 2" xfId="16424"/>
    <cellStyle name="Input 16 3 2 2 3 2 2" xfId="16425"/>
    <cellStyle name="Input 16 3 2 2 3 2 2 2" xfId="16426"/>
    <cellStyle name="Input 16 3 2 2 3 2 2 2 2" xfId="16427"/>
    <cellStyle name="Input 16 3 2 2 3 2 2 3" xfId="16428"/>
    <cellStyle name="Input 16 3 2 2 3 2 2 3 2" xfId="16429"/>
    <cellStyle name="Input 16 3 2 2 3 2 2 4" xfId="16430"/>
    <cellStyle name="Input 16 3 2 2 3 2 2 5" xfId="16431"/>
    <cellStyle name="Input 16 3 2 2 3 2 2 6" xfId="16432"/>
    <cellStyle name="Input 16 3 2 2 3 2 3" xfId="16433"/>
    <cellStyle name="Input 16 3 2 2 3 2 3 2" xfId="16434"/>
    <cellStyle name="Input 16 3 2 2 3 2 4" xfId="16435"/>
    <cellStyle name="Input 16 3 2 2 3 2 4 2" xfId="16436"/>
    <cellStyle name="Input 16 3 2 2 3 2 5" xfId="16437"/>
    <cellStyle name="Input 16 3 2 2 3 2 6" xfId="16438"/>
    <cellStyle name="Input 16 3 2 2 3 2 7" xfId="16439"/>
    <cellStyle name="Input 16 3 2 2 3 3" xfId="16440"/>
    <cellStyle name="Input 16 3 2 2 3 3 2" xfId="16441"/>
    <cellStyle name="Input 16 3 2 2 3 3 2 2" xfId="16442"/>
    <cellStyle name="Input 16 3 2 2 3 3 3" xfId="16443"/>
    <cellStyle name="Input 16 3 2 2 3 3 3 2" xfId="16444"/>
    <cellStyle name="Input 16 3 2 2 3 3 4" xfId="16445"/>
    <cellStyle name="Input 16 3 2 2 3 3 5" xfId="16446"/>
    <cellStyle name="Input 16 3 2 2 3 3 6" xfId="16447"/>
    <cellStyle name="Input 16 3 2 2 3 4" xfId="16448"/>
    <cellStyle name="Input 16 3 2 2 3 4 2" xfId="16449"/>
    <cellStyle name="Input 16 3 2 2 3 5" xfId="16450"/>
    <cellStyle name="Input 16 3 2 2 3 5 2" xfId="16451"/>
    <cellStyle name="Input 16 3 2 2 3 6" xfId="16452"/>
    <cellStyle name="Input 16 3 2 2 3 7" xfId="16453"/>
    <cellStyle name="Input 16 3 2 2 3 8" xfId="16454"/>
    <cellStyle name="Input 16 3 2 2 4" xfId="16455"/>
    <cellStyle name="Input 16 3 2 2 4 2" xfId="16456"/>
    <cellStyle name="Input 16 3 2 2 4 2 2" xfId="16457"/>
    <cellStyle name="Input 16 3 2 2 4 2 2 2" xfId="16458"/>
    <cellStyle name="Input 16 3 2 2 4 2 3" xfId="16459"/>
    <cellStyle name="Input 16 3 2 2 4 2 3 2" xfId="16460"/>
    <cellStyle name="Input 16 3 2 2 4 2 4" xfId="16461"/>
    <cellStyle name="Input 16 3 2 2 4 2 5" xfId="16462"/>
    <cellStyle name="Input 16 3 2 2 4 2 6" xfId="16463"/>
    <cellStyle name="Input 16 3 2 2 4 3" xfId="16464"/>
    <cellStyle name="Input 16 3 2 2 4 3 2" xfId="16465"/>
    <cellStyle name="Input 16 3 2 2 4 4" xfId="16466"/>
    <cellStyle name="Input 16 3 2 2 4 4 2" xfId="16467"/>
    <cellStyle name="Input 16 3 2 2 4 5" xfId="16468"/>
    <cellStyle name="Input 16 3 2 2 4 6" xfId="16469"/>
    <cellStyle name="Input 16 3 2 2 4 7" xfId="16470"/>
    <cellStyle name="Input 16 3 2 2 5" xfId="16471"/>
    <cellStyle name="Input 16 3 2 2 5 2" xfId="16472"/>
    <cellStyle name="Input 16 3 2 2 5 2 2" xfId="16473"/>
    <cellStyle name="Input 16 3 2 2 5 3" xfId="16474"/>
    <cellStyle name="Input 16 3 2 2 5 3 2" xfId="16475"/>
    <cellStyle name="Input 16 3 2 2 5 4" xfId="16476"/>
    <cellStyle name="Input 16 3 2 2 5 5" xfId="16477"/>
    <cellStyle name="Input 16 3 2 2 5 6" xfId="16478"/>
    <cellStyle name="Input 16 3 2 2 6" xfId="16479"/>
    <cellStyle name="Input 16 3 2 2 6 2" xfId="16480"/>
    <cellStyle name="Input 16 3 2 2 7" xfId="16481"/>
    <cellStyle name="Input 16 3 2 2 7 2" xfId="16482"/>
    <cellStyle name="Input 16 3 2 2 8" xfId="16483"/>
    <cellStyle name="Input 16 3 2 2 9" xfId="16484"/>
    <cellStyle name="Input 16 3 2 3" xfId="16485"/>
    <cellStyle name="Input 16 3 2 3 2" xfId="16486"/>
    <cellStyle name="Input 16 3 2 3 2 2" xfId="16487"/>
    <cellStyle name="Input 16 3 2 3 2 2 2" xfId="16488"/>
    <cellStyle name="Input 16 3 2 3 2 2 2 2" xfId="16489"/>
    <cellStyle name="Input 16 3 2 3 2 2 3" xfId="16490"/>
    <cellStyle name="Input 16 3 2 3 2 2 3 2" xfId="16491"/>
    <cellStyle name="Input 16 3 2 3 2 2 4" xfId="16492"/>
    <cellStyle name="Input 16 3 2 3 2 2 5" xfId="16493"/>
    <cellStyle name="Input 16 3 2 3 2 2 6" xfId="16494"/>
    <cellStyle name="Input 16 3 2 3 2 3" xfId="16495"/>
    <cellStyle name="Input 16 3 2 3 2 3 2" xfId="16496"/>
    <cellStyle name="Input 16 3 2 3 2 4" xfId="16497"/>
    <cellStyle name="Input 16 3 2 3 2 4 2" xfId="16498"/>
    <cellStyle name="Input 16 3 2 3 2 5" xfId="16499"/>
    <cellStyle name="Input 16 3 2 3 2 6" xfId="16500"/>
    <cellStyle name="Input 16 3 2 3 2 7" xfId="16501"/>
    <cellStyle name="Input 16 3 2 3 3" xfId="16502"/>
    <cellStyle name="Input 16 3 2 3 3 2" xfId="16503"/>
    <cellStyle name="Input 16 3 2 3 3 2 2" xfId="16504"/>
    <cellStyle name="Input 16 3 2 3 3 3" xfId="16505"/>
    <cellStyle name="Input 16 3 2 3 3 3 2" xfId="16506"/>
    <cellStyle name="Input 16 3 2 3 3 4" xfId="16507"/>
    <cellStyle name="Input 16 3 2 3 3 5" xfId="16508"/>
    <cellStyle name="Input 16 3 2 3 3 6" xfId="16509"/>
    <cellStyle name="Input 16 3 2 3 4" xfId="16510"/>
    <cellStyle name="Input 16 3 2 3 4 2" xfId="16511"/>
    <cellStyle name="Input 16 3 2 3 5" xfId="16512"/>
    <cellStyle name="Input 16 3 2 3 5 2" xfId="16513"/>
    <cellStyle name="Input 16 3 2 3 6" xfId="16514"/>
    <cellStyle name="Input 16 3 2 3 7" xfId="16515"/>
    <cellStyle name="Input 16 3 2 3 8" xfId="16516"/>
    <cellStyle name="Input 16 3 2 4" xfId="16517"/>
    <cellStyle name="Input 16 3 2 4 2" xfId="16518"/>
    <cellStyle name="Input 16 3 2 4 2 2" xfId="16519"/>
    <cellStyle name="Input 16 3 2 4 2 2 2" xfId="16520"/>
    <cellStyle name="Input 16 3 2 4 2 3" xfId="16521"/>
    <cellStyle name="Input 16 3 2 4 2 3 2" xfId="16522"/>
    <cellStyle name="Input 16 3 2 4 2 4" xfId="16523"/>
    <cellStyle name="Input 16 3 2 4 2 5" xfId="16524"/>
    <cellStyle name="Input 16 3 2 4 2 6" xfId="16525"/>
    <cellStyle name="Input 16 3 2 4 3" xfId="16526"/>
    <cellStyle name="Input 16 3 2 4 3 2" xfId="16527"/>
    <cellStyle name="Input 16 3 2 4 4" xfId="16528"/>
    <cellStyle name="Input 16 3 2 4 4 2" xfId="16529"/>
    <cellStyle name="Input 16 3 2 4 5" xfId="16530"/>
    <cellStyle name="Input 16 3 2 4 6" xfId="16531"/>
    <cellStyle name="Input 16 3 2 4 7" xfId="16532"/>
    <cellStyle name="Input 16 3 2 5" xfId="16533"/>
    <cellStyle name="Input 16 3 2 5 2" xfId="16534"/>
    <cellStyle name="Input 16 3 2 5 2 2" xfId="16535"/>
    <cellStyle name="Input 16 3 2 5 3" xfId="16536"/>
    <cellStyle name="Input 16 3 2 5 3 2" xfId="16537"/>
    <cellStyle name="Input 16 3 2 5 4" xfId="16538"/>
    <cellStyle name="Input 16 3 2 5 5" xfId="16539"/>
    <cellStyle name="Input 16 3 2 5 6" xfId="16540"/>
    <cellStyle name="Input 16 3 2 6" xfId="16541"/>
    <cellStyle name="Input 16 3 2 6 2" xfId="16542"/>
    <cellStyle name="Input 16 3 2 7" xfId="16543"/>
    <cellStyle name="Input 16 3 2 7 2" xfId="16544"/>
    <cellStyle name="Input 16 3 2 8" xfId="16545"/>
    <cellStyle name="Input 16 3 2 9" xfId="16546"/>
    <cellStyle name="Input 16 3 3" xfId="16547"/>
    <cellStyle name="Input 16 3 3 10" xfId="16548"/>
    <cellStyle name="Input 16 3 3 2" xfId="16549"/>
    <cellStyle name="Input 16 3 3 2 2" xfId="16550"/>
    <cellStyle name="Input 16 3 3 2 2 2" xfId="16551"/>
    <cellStyle name="Input 16 3 3 2 2 2 2" xfId="16552"/>
    <cellStyle name="Input 16 3 3 2 2 2 2 2" xfId="16553"/>
    <cellStyle name="Input 16 3 3 2 2 2 3" xfId="16554"/>
    <cellStyle name="Input 16 3 3 2 2 2 3 2" xfId="16555"/>
    <cellStyle name="Input 16 3 3 2 2 2 4" xfId="16556"/>
    <cellStyle name="Input 16 3 3 2 2 2 5" xfId="16557"/>
    <cellStyle name="Input 16 3 3 2 2 2 6" xfId="16558"/>
    <cellStyle name="Input 16 3 3 2 2 3" xfId="16559"/>
    <cellStyle name="Input 16 3 3 2 2 3 2" xfId="16560"/>
    <cellStyle name="Input 16 3 3 2 2 4" xfId="16561"/>
    <cellStyle name="Input 16 3 3 2 2 4 2" xfId="16562"/>
    <cellStyle name="Input 16 3 3 2 2 5" xfId="16563"/>
    <cellStyle name="Input 16 3 3 2 2 6" xfId="16564"/>
    <cellStyle name="Input 16 3 3 2 2 7" xfId="16565"/>
    <cellStyle name="Input 16 3 3 2 3" xfId="16566"/>
    <cellStyle name="Input 16 3 3 2 3 2" xfId="16567"/>
    <cellStyle name="Input 16 3 3 2 3 2 2" xfId="16568"/>
    <cellStyle name="Input 16 3 3 2 3 3" xfId="16569"/>
    <cellStyle name="Input 16 3 3 2 3 3 2" xfId="16570"/>
    <cellStyle name="Input 16 3 3 2 3 4" xfId="16571"/>
    <cellStyle name="Input 16 3 3 2 3 5" xfId="16572"/>
    <cellStyle name="Input 16 3 3 2 3 6" xfId="16573"/>
    <cellStyle name="Input 16 3 3 2 4" xfId="16574"/>
    <cellStyle name="Input 16 3 3 2 4 2" xfId="16575"/>
    <cellStyle name="Input 16 3 3 2 5" xfId="16576"/>
    <cellStyle name="Input 16 3 3 2 5 2" xfId="16577"/>
    <cellStyle name="Input 16 3 3 2 6" xfId="16578"/>
    <cellStyle name="Input 16 3 3 2 7" xfId="16579"/>
    <cellStyle name="Input 16 3 3 2 8" xfId="16580"/>
    <cellStyle name="Input 16 3 3 3" xfId="16581"/>
    <cellStyle name="Input 16 3 3 3 2" xfId="16582"/>
    <cellStyle name="Input 16 3 3 3 2 2" xfId="16583"/>
    <cellStyle name="Input 16 3 3 3 2 2 2" xfId="16584"/>
    <cellStyle name="Input 16 3 3 3 2 2 2 2" xfId="16585"/>
    <cellStyle name="Input 16 3 3 3 2 2 3" xfId="16586"/>
    <cellStyle name="Input 16 3 3 3 2 2 3 2" xfId="16587"/>
    <cellStyle name="Input 16 3 3 3 2 2 4" xfId="16588"/>
    <cellStyle name="Input 16 3 3 3 2 2 5" xfId="16589"/>
    <cellStyle name="Input 16 3 3 3 2 2 6" xfId="16590"/>
    <cellStyle name="Input 16 3 3 3 2 3" xfId="16591"/>
    <cellStyle name="Input 16 3 3 3 2 3 2" xfId="16592"/>
    <cellStyle name="Input 16 3 3 3 2 4" xfId="16593"/>
    <cellStyle name="Input 16 3 3 3 2 4 2" xfId="16594"/>
    <cellStyle name="Input 16 3 3 3 2 5" xfId="16595"/>
    <cellStyle name="Input 16 3 3 3 2 6" xfId="16596"/>
    <cellStyle name="Input 16 3 3 3 2 7" xfId="16597"/>
    <cellStyle name="Input 16 3 3 3 3" xfId="16598"/>
    <cellStyle name="Input 16 3 3 3 3 2" xfId="16599"/>
    <cellStyle name="Input 16 3 3 3 3 2 2" xfId="16600"/>
    <cellStyle name="Input 16 3 3 3 3 3" xfId="16601"/>
    <cellStyle name="Input 16 3 3 3 3 3 2" xfId="16602"/>
    <cellStyle name="Input 16 3 3 3 3 4" xfId="16603"/>
    <cellStyle name="Input 16 3 3 3 3 5" xfId="16604"/>
    <cellStyle name="Input 16 3 3 3 3 6" xfId="16605"/>
    <cellStyle name="Input 16 3 3 3 4" xfId="16606"/>
    <cellStyle name="Input 16 3 3 3 4 2" xfId="16607"/>
    <cellStyle name="Input 16 3 3 3 5" xfId="16608"/>
    <cellStyle name="Input 16 3 3 3 5 2" xfId="16609"/>
    <cellStyle name="Input 16 3 3 3 6" xfId="16610"/>
    <cellStyle name="Input 16 3 3 3 7" xfId="16611"/>
    <cellStyle name="Input 16 3 3 3 8" xfId="16612"/>
    <cellStyle name="Input 16 3 3 4" xfId="16613"/>
    <cellStyle name="Input 16 3 3 4 2" xfId="16614"/>
    <cellStyle name="Input 16 3 3 4 2 2" xfId="16615"/>
    <cellStyle name="Input 16 3 3 4 2 2 2" xfId="16616"/>
    <cellStyle name="Input 16 3 3 4 2 3" xfId="16617"/>
    <cellStyle name="Input 16 3 3 4 2 3 2" xfId="16618"/>
    <cellStyle name="Input 16 3 3 4 2 4" xfId="16619"/>
    <cellStyle name="Input 16 3 3 4 2 5" xfId="16620"/>
    <cellStyle name="Input 16 3 3 4 2 6" xfId="16621"/>
    <cellStyle name="Input 16 3 3 4 3" xfId="16622"/>
    <cellStyle name="Input 16 3 3 4 3 2" xfId="16623"/>
    <cellStyle name="Input 16 3 3 4 4" xfId="16624"/>
    <cellStyle name="Input 16 3 3 4 4 2" xfId="16625"/>
    <cellStyle name="Input 16 3 3 4 5" xfId="16626"/>
    <cellStyle name="Input 16 3 3 4 6" xfId="16627"/>
    <cellStyle name="Input 16 3 3 4 7" xfId="16628"/>
    <cellStyle name="Input 16 3 3 5" xfId="16629"/>
    <cellStyle name="Input 16 3 3 5 2" xfId="16630"/>
    <cellStyle name="Input 16 3 3 5 2 2" xfId="16631"/>
    <cellStyle name="Input 16 3 3 5 3" xfId="16632"/>
    <cellStyle name="Input 16 3 3 5 3 2" xfId="16633"/>
    <cellStyle name="Input 16 3 3 5 4" xfId="16634"/>
    <cellStyle name="Input 16 3 3 5 5" xfId="16635"/>
    <cellStyle name="Input 16 3 3 5 6" xfId="16636"/>
    <cellStyle name="Input 16 3 3 6" xfId="16637"/>
    <cellStyle name="Input 16 3 3 6 2" xfId="16638"/>
    <cellStyle name="Input 16 3 3 7" xfId="16639"/>
    <cellStyle name="Input 16 3 3 7 2" xfId="16640"/>
    <cellStyle name="Input 16 3 3 8" xfId="16641"/>
    <cellStyle name="Input 16 3 3 9" xfId="16642"/>
    <cellStyle name="Input 16 3 4" xfId="16643"/>
    <cellStyle name="Input 16 3 4 2" xfId="16644"/>
    <cellStyle name="Input 16 3 4 2 2" xfId="16645"/>
    <cellStyle name="Input 16 3 4 2 2 2" xfId="16646"/>
    <cellStyle name="Input 16 3 4 2 2 2 2" xfId="16647"/>
    <cellStyle name="Input 16 3 4 2 2 3" xfId="16648"/>
    <cellStyle name="Input 16 3 4 2 2 3 2" xfId="16649"/>
    <cellStyle name="Input 16 3 4 2 2 4" xfId="16650"/>
    <cellStyle name="Input 16 3 4 2 2 5" xfId="16651"/>
    <cellStyle name="Input 16 3 4 2 2 6" xfId="16652"/>
    <cellStyle name="Input 16 3 4 2 3" xfId="16653"/>
    <cellStyle name="Input 16 3 4 2 3 2" xfId="16654"/>
    <cellStyle name="Input 16 3 4 2 4" xfId="16655"/>
    <cellStyle name="Input 16 3 4 2 4 2" xfId="16656"/>
    <cellStyle name="Input 16 3 4 2 5" xfId="16657"/>
    <cellStyle name="Input 16 3 4 2 6" xfId="16658"/>
    <cellStyle name="Input 16 3 4 2 7" xfId="16659"/>
    <cellStyle name="Input 16 3 4 3" xfId="16660"/>
    <cellStyle name="Input 16 3 4 3 2" xfId="16661"/>
    <cellStyle name="Input 16 3 4 3 2 2" xfId="16662"/>
    <cellStyle name="Input 16 3 4 3 3" xfId="16663"/>
    <cellStyle name="Input 16 3 4 3 3 2" xfId="16664"/>
    <cellStyle name="Input 16 3 4 3 4" xfId="16665"/>
    <cellStyle name="Input 16 3 4 3 5" xfId="16666"/>
    <cellStyle name="Input 16 3 4 3 6" xfId="16667"/>
    <cellStyle name="Input 16 3 4 4" xfId="16668"/>
    <cellStyle name="Input 16 3 4 4 2" xfId="16669"/>
    <cellStyle name="Input 16 3 4 5" xfId="16670"/>
    <cellStyle name="Input 16 3 4 5 2" xfId="16671"/>
    <cellStyle name="Input 16 3 4 6" xfId="16672"/>
    <cellStyle name="Input 16 3 4 7" xfId="16673"/>
    <cellStyle name="Input 16 3 4 8" xfId="16674"/>
    <cellStyle name="Input 16 3 5" xfId="16675"/>
    <cellStyle name="Input 16 3 5 2" xfId="16676"/>
    <cellStyle name="Input 16 3 5 2 2" xfId="16677"/>
    <cellStyle name="Input 16 3 5 2 2 2" xfId="16678"/>
    <cellStyle name="Input 16 3 5 2 3" xfId="16679"/>
    <cellStyle name="Input 16 3 5 2 3 2" xfId="16680"/>
    <cellStyle name="Input 16 3 5 2 4" xfId="16681"/>
    <cellStyle name="Input 16 3 5 2 5" xfId="16682"/>
    <cellStyle name="Input 16 3 5 2 6" xfId="16683"/>
    <cellStyle name="Input 16 3 5 3" xfId="16684"/>
    <cellStyle name="Input 16 3 5 3 2" xfId="16685"/>
    <cellStyle name="Input 16 3 5 4" xfId="16686"/>
    <cellStyle name="Input 16 3 5 4 2" xfId="16687"/>
    <cellStyle name="Input 16 3 5 5" xfId="16688"/>
    <cellStyle name="Input 16 3 5 6" xfId="16689"/>
    <cellStyle name="Input 16 3 5 7" xfId="16690"/>
    <cellStyle name="Input 16 3 6" xfId="16691"/>
    <cellStyle name="Input 16 3 6 2" xfId="16692"/>
    <cellStyle name="Input 16 3 6 2 2" xfId="16693"/>
    <cellStyle name="Input 16 3 6 3" xfId="16694"/>
    <cellStyle name="Input 16 3 6 3 2" xfId="16695"/>
    <cellStyle name="Input 16 3 6 4" xfId="16696"/>
    <cellStyle name="Input 16 3 6 5" xfId="16697"/>
    <cellStyle name="Input 16 3 6 6" xfId="16698"/>
    <cellStyle name="Input 16 3 7" xfId="16699"/>
    <cellStyle name="Input 16 3 7 2" xfId="16700"/>
    <cellStyle name="Input 16 3 8" xfId="16701"/>
    <cellStyle name="Input 16 3 8 2" xfId="16702"/>
    <cellStyle name="Input 16 3 9" xfId="16703"/>
    <cellStyle name="Input 16 4" xfId="16704"/>
    <cellStyle name="Input 16 4 10" xfId="16705"/>
    <cellStyle name="Input 16 4 11" xfId="16706"/>
    <cellStyle name="Input 16 4 2" xfId="16707"/>
    <cellStyle name="Input 16 4 2 10" xfId="16708"/>
    <cellStyle name="Input 16 4 2 2" xfId="16709"/>
    <cellStyle name="Input 16 4 2 2 2" xfId="16710"/>
    <cellStyle name="Input 16 4 2 2 2 2" xfId="16711"/>
    <cellStyle name="Input 16 4 2 2 2 2 2" xfId="16712"/>
    <cellStyle name="Input 16 4 2 2 2 2 2 2" xfId="16713"/>
    <cellStyle name="Input 16 4 2 2 2 2 3" xfId="16714"/>
    <cellStyle name="Input 16 4 2 2 2 2 3 2" xfId="16715"/>
    <cellStyle name="Input 16 4 2 2 2 2 4" xfId="16716"/>
    <cellStyle name="Input 16 4 2 2 2 2 5" xfId="16717"/>
    <cellStyle name="Input 16 4 2 2 2 2 6" xfId="16718"/>
    <cellStyle name="Input 16 4 2 2 2 3" xfId="16719"/>
    <cellStyle name="Input 16 4 2 2 2 3 2" xfId="16720"/>
    <cellStyle name="Input 16 4 2 2 2 4" xfId="16721"/>
    <cellStyle name="Input 16 4 2 2 2 4 2" xfId="16722"/>
    <cellStyle name="Input 16 4 2 2 2 5" xfId="16723"/>
    <cellStyle name="Input 16 4 2 2 2 6" xfId="16724"/>
    <cellStyle name="Input 16 4 2 2 2 7" xfId="16725"/>
    <cellStyle name="Input 16 4 2 2 3" xfId="16726"/>
    <cellStyle name="Input 16 4 2 2 3 2" xfId="16727"/>
    <cellStyle name="Input 16 4 2 2 3 2 2" xfId="16728"/>
    <cellStyle name="Input 16 4 2 2 3 3" xfId="16729"/>
    <cellStyle name="Input 16 4 2 2 3 3 2" xfId="16730"/>
    <cellStyle name="Input 16 4 2 2 3 4" xfId="16731"/>
    <cellStyle name="Input 16 4 2 2 3 5" xfId="16732"/>
    <cellStyle name="Input 16 4 2 2 3 6" xfId="16733"/>
    <cellStyle name="Input 16 4 2 2 4" xfId="16734"/>
    <cellStyle name="Input 16 4 2 2 4 2" xfId="16735"/>
    <cellStyle name="Input 16 4 2 2 5" xfId="16736"/>
    <cellStyle name="Input 16 4 2 2 5 2" xfId="16737"/>
    <cellStyle name="Input 16 4 2 2 6" xfId="16738"/>
    <cellStyle name="Input 16 4 2 2 7" xfId="16739"/>
    <cellStyle name="Input 16 4 2 2 8" xfId="16740"/>
    <cellStyle name="Input 16 4 2 3" xfId="16741"/>
    <cellStyle name="Input 16 4 2 3 2" xfId="16742"/>
    <cellStyle name="Input 16 4 2 3 2 2" xfId="16743"/>
    <cellStyle name="Input 16 4 2 3 2 2 2" xfId="16744"/>
    <cellStyle name="Input 16 4 2 3 2 2 2 2" xfId="16745"/>
    <cellStyle name="Input 16 4 2 3 2 2 3" xfId="16746"/>
    <cellStyle name="Input 16 4 2 3 2 2 3 2" xfId="16747"/>
    <cellStyle name="Input 16 4 2 3 2 2 4" xfId="16748"/>
    <cellStyle name="Input 16 4 2 3 2 2 5" xfId="16749"/>
    <cellStyle name="Input 16 4 2 3 2 2 6" xfId="16750"/>
    <cellStyle name="Input 16 4 2 3 2 3" xfId="16751"/>
    <cellStyle name="Input 16 4 2 3 2 3 2" xfId="16752"/>
    <cellStyle name="Input 16 4 2 3 2 4" xfId="16753"/>
    <cellStyle name="Input 16 4 2 3 2 4 2" xfId="16754"/>
    <cellStyle name="Input 16 4 2 3 2 5" xfId="16755"/>
    <cellStyle name="Input 16 4 2 3 2 6" xfId="16756"/>
    <cellStyle name="Input 16 4 2 3 2 7" xfId="16757"/>
    <cellStyle name="Input 16 4 2 3 3" xfId="16758"/>
    <cellStyle name="Input 16 4 2 3 3 2" xfId="16759"/>
    <cellStyle name="Input 16 4 2 3 3 2 2" xfId="16760"/>
    <cellStyle name="Input 16 4 2 3 3 3" xfId="16761"/>
    <cellStyle name="Input 16 4 2 3 3 3 2" xfId="16762"/>
    <cellStyle name="Input 16 4 2 3 3 4" xfId="16763"/>
    <cellStyle name="Input 16 4 2 3 3 5" xfId="16764"/>
    <cellStyle name="Input 16 4 2 3 3 6" xfId="16765"/>
    <cellStyle name="Input 16 4 2 3 4" xfId="16766"/>
    <cellStyle name="Input 16 4 2 3 4 2" xfId="16767"/>
    <cellStyle name="Input 16 4 2 3 5" xfId="16768"/>
    <cellStyle name="Input 16 4 2 3 5 2" xfId="16769"/>
    <cellStyle name="Input 16 4 2 3 6" xfId="16770"/>
    <cellStyle name="Input 16 4 2 3 7" xfId="16771"/>
    <cellStyle name="Input 16 4 2 3 8" xfId="16772"/>
    <cellStyle name="Input 16 4 2 4" xfId="16773"/>
    <cellStyle name="Input 16 4 2 4 2" xfId="16774"/>
    <cellStyle name="Input 16 4 2 4 2 2" xfId="16775"/>
    <cellStyle name="Input 16 4 2 4 2 2 2" xfId="16776"/>
    <cellStyle name="Input 16 4 2 4 2 3" xfId="16777"/>
    <cellStyle name="Input 16 4 2 4 2 3 2" xfId="16778"/>
    <cellStyle name="Input 16 4 2 4 2 4" xfId="16779"/>
    <cellStyle name="Input 16 4 2 4 2 5" xfId="16780"/>
    <cellStyle name="Input 16 4 2 4 2 6" xfId="16781"/>
    <cellStyle name="Input 16 4 2 4 3" xfId="16782"/>
    <cellStyle name="Input 16 4 2 4 3 2" xfId="16783"/>
    <cellStyle name="Input 16 4 2 4 4" xfId="16784"/>
    <cellStyle name="Input 16 4 2 4 4 2" xfId="16785"/>
    <cellStyle name="Input 16 4 2 4 5" xfId="16786"/>
    <cellStyle name="Input 16 4 2 4 6" xfId="16787"/>
    <cellStyle name="Input 16 4 2 4 7" xfId="16788"/>
    <cellStyle name="Input 16 4 2 5" xfId="16789"/>
    <cellStyle name="Input 16 4 2 5 2" xfId="16790"/>
    <cellStyle name="Input 16 4 2 5 2 2" xfId="16791"/>
    <cellStyle name="Input 16 4 2 5 3" xfId="16792"/>
    <cellStyle name="Input 16 4 2 5 3 2" xfId="16793"/>
    <cellStyle name="Input 16 4 2 5 4" xfId="16794"/>
    <cellStyle name="Input 16 4 2 5 5" xfId="16795"/>
    <cellStyle name="Input 16 4 2 5 6" xfId="16796"/>
    <cellStyle name="Input 16 4 2 6" xfId="16797"/>
    <cellStyle name="Input 16 4 2 6 2" xfId="16798"/>
    <cellStyle name="Input 16 4 2 7" xfId="16799"/>
    <cellStyle name="Input 16 4 2 7 2" xfId="16800"/>
    <cellStyle name="Input 16 4 2 8" xfId="16801"/>
    <cellStyle name="Input 16 4 2 9" xfId="16802"/>
    <cellStyle name="Input 16 4 3" xfId="16803"/>
    <cellStyle name="Input 16 4 3 2" xfId="16804"/>
    <cellStyle name="Input 16 4 3 2 2" xfId="16805"/>
    <cellStyle name="Input 16 4 3 2 2 2" xfId="16806"/>
    <cellStyle name="Input 16 4 3 2 2 2 2" xfId="16807"/>
    <cellStyle name="Input 16 4 3 2 2 3" xfId="16808"/>
    <cellStyle name="Input 16 4 3 2 2 3 2" xfId="16809"/>
    <cellStyle name="Input 16 4 3 2 2 4" xfId="16810"/>
    <cellStyle name="Input 16 4 3 2 2 5" xfId="16811"/>
    <cellStyle name="Input 16 4 3 2 2 6" xfId="16812"/>
    <cellStyle name="Input 16 4 3 2 3" xfId="16813"/>
    <cellStyle name="Input 16 4 3 2 3 2" xfId="16814"/>
    <cellStyle name="Input 16 4 3 2 4" xfId="16815"/>
    <cellStyle name="Input 16 4 3 2 4 2" xfId="16816"/>
    <cellStyle name="Input 16 4 3 2 5" xfId="16817"/>
    <cellStyle name="Input 16 4 3 2 6" xfId="16818"/>
    <cellStyle name="Input 16 4 3 2 7" xfId="16819"/>
    <cellStyle name="Input 16 4 3 3" xfId="16820"/>
    <cellStyle name="Input 16 4 3 3 2" xfId="16821"/>
    <cellStyle name="Input 16 4 3 3 2 2" xfId="16822"/>
    <cellStyle name="Input 16 4 3 3 3" xfId="16823"/>
    <cellStyle name="Input 16 4 3 3 3 2" xfId="16824"/>
    <cellStyle name="Input 16 4 3 3 4" xfId="16825"/>
    <cellStyle name="Input 16 4 3 3 5" xfId="16826"/>
    <cellStyle name="Input 16 4 3 3 6" xfId="16827"/>
    <cellStyle name="Input 16 4 3 4" xfId="16828"/>
    <cellStyle name="Input 16 4 3 4 2" xfId="16829"/>
    <cellStyle name="Input 16 4 3 5" xfId="16830"/>
    <cellStyle name="Input 16 4 3 5 2" xfId="16831"/>
    <cellStyle name="Input 16 4 3 6" xfId="16832"/>
    <cellStyle name="Input 16 4 3 7" xfId="16833"/>
    <cellStyle name="Input 16 4 3 8" xfId="16834"/>
    <cellStyle name="Input 16 4 4" xfId="16835"/>
    <cellStyle name="Input 16 4 4 2" xfId="16836"/>
    <cellStyle name="Input 16 4 4 2 2" xfId="16837"/>
    <cellStyle name="Input 16 4 4 2 2 2" xfId="16838"/>
    <cellStyle name="Input 16 4 4 2 2 2 2" xfId="16839"/>
    <cellStyle name="Input 16 4 4 2 2 3" xfId="16840"/>
    <cellStyle name="Input 16 4 4 2 2 3 2" xfId="16841"/>
    <cellStyle name="Input 16 4 4 2 2 4" xfId="16842"/>
    <cellStyle name="Input 16 4 4 2 2 5" xfId="16843"/>
    <cellStyle name="Input 16 4 4 2 2 6" xfId="16844"/>
    <cellStyle name="Input 16 4 4 2 3" xfId="16845"/>
    <cellStyle name="Input 16 4 4 2 3 2" xfId="16846"/>
    <cellStyle name="Input 16 4 4 2 4" xfId="16847"/>
    <cellStyle name="Input 16 4 4 2 4 2" xfId="16848"/>
    <cellStyle name="Input 16 4 4 2 5" xfId="16849"/>
    <cellStyle name="Input 16 4 4 2 6" xfId="16850"/>
    <cellStyle name="Input 16 4 4 2 7" xfId="16851"/>
    <cellStyle name="Input 16 4 4 3" xfId="16852"/>
    <cellStyle name="Input 16 4 4 3 2" xfId="16853"/>
    <cellStyle name="Input 16 4 4 3 2 2" xfId="16854"/>
    <cellStyle name="Input 16 4 4 3 3" xfId="16855"/>
    <cellStyle name="Input 16 4 4 3 3 2" xfId="16856"/>
    <cellStyle name="Input 16 4 4 3 4" xfId="16857"/>
    <cellStyle name="Input 16 4 4 3 5" xfId="16858"/>
    <cellStyle name="Input 16 4 4 3 6" xfId="16859"/>
    <cellStyle name="Input 16 4 4 4" xfId="16860"/>
    <cellStyle name="Input 16 4 4 4 2" xfId="16861"/>
    <cellStyle name="Input 16 4 4 5" xfId="16862"/>
    <cellStyle name="Input 16 4 4 5 2" xfId="16863"/>
    <cellStyle name="Input 16 4 4 6" xfId="16864"/>
    <cellStyle name="Input 16 4 4 7" xfId="16865"/>
    <cellStyle name="Input 16 4 4 8" xfId="16866"/>
    <cellStyle name="Input 16 4 5" xfId="16867"/>
    <cellStyle name="Input 16 4 5 2" xfId="16868"/>
    <cellStyle name="Input 16 4 5 2 2" xfId="16869"/>
    <cellStyle name="Input 16 4 5 2 2 2" xfId="16870"/>
    <cellStyle name="Input 16 4 5 2 3" xfId="16871"/>
    <cellStyle name="Input 16 4 5 2 3 2" xfId="16872"/>
    <cellStyle name="Input 16 4 5 2 4" xfId="16873"/>
    <cellStyle name="Input 16 4 5 2 5" xfId="16874"/>
    <cellStyle name="Input 16 4 5 2 6" xfId="16875"/>
    <cellStyle name="Input 16 4 5 3" xfId="16876"/>
    <cellStyle name="Input 16 4 5 3 2" xfId="16877"/>
    <cellStyle name="Input 16 4 5 4" xfId="16878"/>
    <cellStyle name="Input 16 4 5 4 2" xfId="16879"/>
    <cellStyle name="Input 16 4 5 5" xfId="16880"/>
    <cellStyle name="Input 16 4 5 6" xfId="16881"/>
    <cellStyle name="Input 16 4 5 7" xfId="16882"/>
    <cellStyle name="Input 16 4 6" xfId="16883"/>
    <cellStyle name="Input 16 4 6 2" xfId="16884"/>
    <cellStyle name="Input 16 4 6 2 2" xfId="16885"/>
    <cellStyle name="Input 16 4 6 3" xfId="16886"/>
    <cellStyle name="Input 16 4 6 3 2" xfId="16887"/>
    <cellStyle name="Input 16 4 6 4" xfId="16888"/>
    <cellStyle name="Input 16 4 6 5" xfId="16889"/>
    <cellStyle name="Input 16 4 6 6" xfId="16890"/>
    <cellStyle name="Input 16 4 7" xfId="16891"/>
    <cellStyle name="Input 16 4 7 2" xfId="16892"/>
    <cellStyle name="Input 16 4 8" xfId="16893"/>
    <cellStyle name="Input 16 4 8 2" xfId="16894"/>
    <cellStyle name="Input 16 4 9" xfId="16895"/>
    <cellStyle name="Input 16 5" xfId="16896"/>
    <cellStyle name="Input 16 5 10" xfId="16897"/>
    <cellStyle name="Input 16 5 2" xfId="16898"/>
    <cellStyle name="Input 16 5 2 2" xfId="16899"/>
    <cellStyle name="Input 16 5 2 2 2" xfId="16900"/>
    <cellStyle name="Input 16 5 2 2 2 2" xfId="16901"/>
    <cellStyle name="Input 16 5 2 2 2 2 2" xfId="16902"/>
    <cellStyle name="Input 16 5 2 2 2 3" xfId="16903"/>
    <cellStyle name="Input 16 5 2 2 2 3 2" xfId="16904"/>
    <cellStyle name="Input 16 5 2 2 2 4" xfId="16905"/>
    <cellStyle name="Input 16 5 2 2 2 5" xfId="16906"/>
    <cellStyle name="Input 16 5 2 2 2 6" xfId="16907"/>
    <cellStyle name="Input 16 5 2 2 3" xfId="16908"/>
    <cellStyle name="Input 16 5 2 2 3 2" xfId="16909"/>
    <cellStyle name="Input 16 5 2 2 4" xfId="16910"/>
    <cellStyle name="Input 16 5 2 2 4 2" xfId="16911"/>
    <cellStyle name="Input 16 5 2 2 5" xfId="16912"/>
    <cellStyle name="Input 16 5 2 2 6" xfId="16913"/>
    <cellStyle name="Input 16 5 2 2 7" xfId="16914"/>
    <cellStyle name="Input 16 5 2 3" xfId="16915"/>
    <cellStyle name="Input 16 5 2 3 2" xfId="16916"/>
    <cellStyle name="Input 16 5 2 3 2 2" xfId="16917"/>
    <cellStyle name="Input 16 5 2 3 3" xfId="16918"/>
    <cellStyle name="Input 16 5 2 3 3 2" xfId="16919"/>
    <cellStyle name="Input 16 5 2 3 4" xfId="16920"/>
    <cellStyle name="Input 16 5 2 3 5" xfId="16921"/>
    <cellStyle name="Input 16 5 2 3 6" xfId="16922"/>
    <cellStyle name="Input 16 5 2 4" xfId="16923"/>
    <cellStyle name="Input 16 5 2 4 2" xfId="16924"/>
    <cellStyle name="Input 16 5 2 5" xfId="16925"/>
    <cellStyle name="Input 16 5 2 5 2" xfId="16926"/>
    <cellStyle name="Input 16 5 2 6" xfId="16927"/>
    <cellStyle name="Input 16 5 2 7" xfId="16928"/>
    <cellStyle name="Input 16 5 2 8" xfId="16929"/>
    <cellStyle name="Input 16 5 3" xfId="16930"/>
    <cellStyle name="Input 16 5 3 2" xfId="16931"/>
    <cellStyle name="Input 16 5 3 2 2" xfId="16932"/>
    <cellStyle name="Input 16 5 3 2 2 2" xfId="16933"/>
    <cellStyle name="Input 16 5 3 2 2 2 2" xfId="16934"/>
    <cellStyle name="Input 16 5 3 2 2 3" xfId="16935"/>
    <cellStyle name="Input 16 5 3 2 2 3 2" xfId="16936"/>
    <cellStyle name="Input 16 5 3 2 2 4" xfId="16937"/>
    <cellStyle name="Input 16 5 3 2 2 5" xfId="16938"/>
    <cellStyle name="Input 16 5 3 2 2 6" xfId="16939"/>
    <cellStyle name="Input 16 5 3 2 3" xfId="16940"/>
    <cellStyle name="Input 16 5 3 2 3 2" xfId="16941"/>
    <cellStyle name="Input 16 5 3 2 4" xfId="16942"/>
    <cellStyle name="Input 16 5 3 2 4 2" xfId="16943"/>
    <cellStyle name="Input 16 5 3 2 5" xfId="16944"/>
    <cellStyle name="Input 16 5 3 2 6" xfId="16945"/>
    <cellStyle name="Input 16 5 3 2 7" xfId="16946"/>
    <cellStyle name="Input 16 5 3 3" xfId="16947"/>
    <cellStyle name="Input 16 5 3 3 2" xfId="16948"/>
    <cellStyle name="Input 16 5 3 3 2 2" xfId="16949"/>
    <cellStyle name="Input 16 5 3 3 3" xfId="16950"/>
    <cellStyle name="Input 16 5 3 3 3 2" xfId="16951"/>
    <cellStyle name="Input 16 5 3 3 4" xfId="16952"/>
    <cellStyle name="Input 16 5 3 3 5" xfId="16953"/>
    <cellStyle name="Input 16 5 3 3 6" xfId="16954"/>
    <cellStyle name="Input 16 5 3 4" xfId="16955"/>
    <cellStyle name="Input 16 5 3 4 2" xfId="16956"/>
    <cellStyle name="Input 16 5 3 5" xfId="16957"/>
    <cellStyle name="Input 16 5 3 5 2" xfId="16958"/>
    <cellStyle name="Input 16 5 3 6" xfId="16959"/>
    <cellStyle name="Input 16 5 3 7" xfId="16960"/>
    <cellStyle name="Input 16 5 3 8" xfId="16961"/>
    <cellStyle name="Input 16 5 4" xfId="16962"/>
    <cellStyle name="Input 16 5 4 2" xfId="16963"/>
    <cellStyle name="Input 16 5 4 2 2" xfId="16964"/>
    <cellStyle name="Input 16 5 4 2 2 2" xfId="16965"/>
    <cellStyle name="Input 16 5 4 2 3" xfId="16966"/>
    <cellStyle name="Input 16 5 4 2 3 2" xfId="16967"/>
    <cellStyle name="Input 16 5 4 2 4" xfId="16968"/>
    <cellStyle name="Input 16 5 4 2 5" xfId="16969"/>
    <cellStyle name="Input 16 5 4 2 6" xfId="16970"/>
    <cellStyle name="Input 16 5 4 3" xfId="16971"/>
    <cellStyle name="Input 16 5 4 3 2" xfId="16972"/>
    <cellStyle name="Input 16 5 4 4" xfId="16973"/>
    <cellStyle name="Input 16 5 4 4 2" xfId="16974"/>
    <cellStyle name="Input 16 5 4 5" xfId="16975"/>
    <cellStyle name="Input 16 5 4 6" xfId="16976"/>
    <cellStyle name="Input 16 5 4 7" xfId="16977"/>
    <cellStyle name="Input 16 5 5" xfId="16978"/>
    <cellStyle name="Input 16 5 5 2" xfId="16979"/>
    <cellStyle name="Input 16 5 5 2 2" xfId="16980"/>
    <cellStyle name="Input 16 5 5 3" xfId="16981"/>
    <cellStyle name="Input 16 5 5 3 2" xfId="16982"/>
    <cellStyle name="Input 16 5 5 4" xfId="16983"/>
    <cellStyle name="Input 16 5 5 5" xfId="16984"/>
    <cellStyle name="Input 16 5 5 6" xfId="16985"/>
    <cellStyle name="Input 16 5 6" xfId="16986"/>
    <cellStyle name="Input 16 5 6 2" xfId="16987"/>
    <cellStyle name="Input 16 5 7" xfId="16988"/>
    <cellStyle name="Input 16 5 7 2" xfId="16989"/>
    <cellStyle name="Input 16 5 8" xfId="16990"/>
    <cellStyle name="Input 16 5 9" xfId="16991"/>
    <cellStyle name="Input 16 6" xfId="16992"/>
    <cellStyle name="Input 16 6 2" xfId="16993"/>
    <cellStyle name="Input 16 6 2 2" xfId="16994"/>
    <cellStyle name="Input 16 6 2 2 2" xfId="16995"/>
    <cellStyle name="Input 16 6 2 2 2 2" xfId="16996"/>
    <cellStyle name="Input 16 6 2 2 3" xfId="16997"/>
    <cellStyle name="Input 16 6 2 2 3 2" xfId="16998"/>
    <cellStyle name="Input 16 6 2 2 4" xfId="16999"/>
    <cellStyle name="Input 16 6 2 2 5" xfId="17000"/>
    <cellStyle name="Input 16 6 2 2 6" xfId="17001"/>
    <cellStyle name="Input 16 6 2 3" xfId="17002"/>
    <cellStyle name="Input 16 6 2 3 2" xfId="17003"/>
    <cellStyle name="Input 16 6 2 4" xfId="17004"/>
    <cellStyle name="Input 16 6 2 4 2" xfId="17005"/>
    <cellStyle name="Input 16 6 2 5" xfId="17006"/>
    <cellStyle name="Input 16 6 2 6" xfId="17007"/>
    <cellStyle name="Input 16 6 2 7" xfId="17008"/>
    <cellStyle name="Input 16 6 3" xfId="17009"/>
    <cellStyle name="Input 16 6 3 2" xfId="17010"/>
    <cellStyle name="Input 16 6 3 2 2" xfId="17011"/>
    <cellStyle name="Input 16 6 3 3" xfId="17012"/>
    <cellStyle name="Input 16 6 3 3 2" xfId="17013"/>
    <cellStyle name="Input 16 6 3 4" xfId="17014"/>
    <cellStyle name="Input 16 6 3 5" xfId="17015"/>
    <cellStyle name="Input 16 6 3 6" xfId="17016"/>
    <cellStyle name="Input 16 6 4" xfId="17017"/>
    <cellStyle name="Input 16 6 4 2" xfId="17018"/>
    <cellStyle name="Input 16 6 5" xfId="17019"/>
    <cellStyle name="Input 16 6 5 2" xfId="17020"/>
    <cellStyle name="Input 16 6 6" xfId="17021"/>
    <cellStyle name="Input 16 6 7" xfId="17022"/>
    <cellStyle name="Input 16 6 8" xfId="17023"/>
    <cellStyle name="Input 16 7" xfId="17024"/>
    <cellStyle name="Input 16 7 2" xfId="17025"/>
    <cellStyle name="Input 16 7 2 2" xfId="17026"/>
    <cellStyle name="Input 16 7 2 2 2" xfId="17027"/>
    <cellStyle name="Input 16 7 2 3" xfId="17028"/>
    <cellStyle name="Input 16 7 2 3 2" xfId="17029"/>
    <cellStyle name="Input 16 7 2 4" xfId="17030"/>
    <cellStyle name="Input 16 7 2 5" xfId="17031"/>
    <cellStyle name="Input 16 7 2 6" xfId="17032"/>
    <cellStyle name="Input 16 7 3" xfId="17033"/>
    <cellStyle name="Input 16 7 3 2" xfId="17034"/>
    <cellStyle name="Input 16 7 4" xfId="17035"/>
    <cellStyle name="Input 16 7 4 2" xfId="17036"/>
    <cellStyle name="Input 16 7 5" xfId="17037"/>
    <cellStyle name="Input 16 7 6" xfId="17038"/>
    <cellStyle name="Input 16 7 7" xfId="17039"/>
    <cellStyle name="Input 16 8" xfId="17040"/>
    <cellStyle name="Input 16 8 2" xfId="17041"/>
    <cellStyle name="Input 16 9" xfId="17042"/>
    <cellStyle name="Input 16 9 2" xfId="17043"/>
    <cellStyle name="Input 17" xfId="17044"/>
    <cellStyle name="Input 17 10" xfId="17045"/>
    <cellStyle name="Input 17 11" xfId="17046"/>
    <cellStyle name="Input 17 12" xfId="17047"/>
    <cellStyle name="Input 17 2" xfId="17048"/>
    <cellStyle name="Input 17 2 10" xfId="17049"/>
    <cellStyle name="Input 17 2 11" xfId="17050"/>
    <cellStyle name="Input 17 2 12" xfId="17051"/>
    <cellStyle name="Input 17 2 2" xfId="17052"/>
    <cellStyle name="Input 17 2 2 10" xfId="17053"/>
    <cellStyle name="Input 17 2 2 11" xfId="17054"/>
    <cellStyle name="Input 17 2 2 2" xfId="17055"/>
    <cellStyle name="Input 17 2 2 2 10" xfId="17056"/>
    <cellStyle name="Input 17 2 2 2 2" xfId="17057"/>
    <cellStyle name="Input 17 2 2 2 2 2" xfId="17058"/>
    <cellStyle name="Input 17 2 2 2 2 2 2" xfId="17059"/>
    <cellStyle name="Input 17 2 2 2 2 2 2 2" xfId="17060"/>
    <cellStyle name="Input 17 2 2 2 2 2 2 2 2" xfId="17061"/>
    <cellStyle name="Input 17 2 2 2 2 2 2 3" xfId="17062"/>
    <cellStyle name="Input 17 2 2 2 2 2 2 3 2" xfId="17063"/>
    <cellStyle name="Input 17 2 2 2 2 2 2 4" xfId="17064"/>
    <cellStyle name="Input 17 2 2 2 2 2 2 5" xfId="17065"/>
    <cellStyle name="Input 17 2 2 2 2 2 2 6" xfId="17066"/>
    <cellStyle name="Input 17 2 2 2 2 2 3" xfId="17067"/>
    <cellStyle name="Input 17 2 2 2 2 2 3 2" xfId="17068"/>
    <cellStyle name="Input 17 2 2 2 2 2 4" xfId="17069"/>
    <cellStyle name="Input 17 2 2 2 2 2 4 2" xfId="17070"/>
    <cellStyle name="Input 17 2 2 2 2 2 5" xfId="17071"/>
    <cellStyle name="Input 17 2 2 2 2 2 6" xfId="17072"/>
    <cellStyle name="Input 17 2 2 2 2 2 7" xfId="17073"/>
    <cellStyle name="Input 17 2 2 2 2 3" xfId="17074"/>
    <cellStyle name="Input 17 2 2 2 2 3 2" xfId="17075"/>
    <cellStyle name="Input 17 2 2 2 2 3 2 2" xfId="17076"/>
    <cellStyle name="Input 17 2 2 2 2 3 3" xfId="17077"/>
    <cellStyle name="Input 17 2 2 2 2 3 3 2" xfId="17078"/>
    <cellStyle name="Input 17 2 2 2 2 3 4" xfId="17079"/>
    <cellStyle name="Input 17 2 2 2 2 3 5" xfId="17080"/>
    <cellStyle name="Input 17 2 2 2 2 3 6" xfId="17081"/>
    <cellStyle name="Input 17 2 2 2 2 4" xfId="17082"/>
    <cellStyle name="Input 17 2 2 2 2 4 2" xfId="17083"/>
    <cellStyle name="Input 17 2 2 2 2 5" xfId="17084"/>
    <cellStyle name="Input 17 2 2 2 2 5 2" xfId="17085"/>
    <cellStyle name="Input 17 2 2 2 2 6" xfId="17086"/>
    <cellStyle name="Input 17 2 2 2 2 7" xfId="17087"/>
    <cellStyle name="Input 17 2 2 2 2 8" xfId="17088"/>
    <cellStyle name="Input 17 2 2 2 3" xfId="17089"/>
    <cellStyle name="Input 17 2 2 2 3 2" xfId="17090"/>
    <cellStyle name="Input 17 2 2 2 3 2 2" xfId="17091"/>
    <cellStyle name="Input 17 2 2 2 3 2 2 2" xfId="17092"/>
    <cellStyle name="Input 17 2 2 2 3 2 2 2 2" xfId="17093"/>
    <cellStyle name="Input 17 2 2 2 3 2 2 3" xfId="17094"/>
    <cellStyle name="Input 17 2 2 2 3 2 2 3 2" xfId="17095"/>
    <cellStyle name="Input 17 2 2 2 3 2 2 4" xfId="17096"/>
    <cellStyle name="Input 17 2 2 2 3 2 2 5" xfId="17097"/>
    <cellStyle name="Input 17 2 2 2 3 2 2 6" xfId="17098"/>
    <cellStyle name="Input 17 2 2 2 3 2 3" xfId="17099"/>
    <cellStyle name="Input 17 2 2 2 3 2 3 2" xfId="17100"/>
    <cellStyle name="Input 17 2 2 2 3 2 4" xfId="17101"/>
    <cellStyle name="Input 17 2 2 2 3 2 4 2" xfId="17102"/>
    <cellStyle name="Input 17 2 2 2 3 2 5" xfId="17103"/>
    <cellStyle name="Input 17 2 2 2 3 2 6" xfId="17104"/>
    <cellStyle name="Input 17 2 2 2 3 2 7" xfId="17105"/>
    <cellStyle name="Input 17 2 2 2 3 3" xfId="17106"/>
    <cellStyle name="Input 17 2 2 2 3 3 2" xfId="17107"/>
    <cellStyle name="Input 17 2 2 2 3 3 2 2" xfId="17108"/>
    <cellStyle name="Input 17 2 2 2 3 3 3" xfId="17109"/>
    <cellStyle name="Input 17 2 2 2 3 3 3 2" xfId="17110"/>
    <cellStyle name="Input 17 2 2 2 3 3 4" xfId="17111"/>
    <cellStyle name="Input 17 2 2 2 3 3 5" xfId="17112"/>
    <cellStyle name="Input 17 2 2 2 3 3 6" xfId="17113"/>
    <cellStyle name="Input 17 2 2 2 3 4" xfId="17114"/>
    <cellStyle name="Input 17 2 2 2 3 4 2" xfId="17115"/>
    <cellStyle name="Input 17 2 2 2 3 5" xfId="17116"/>
    <cellStyle name="Input 17 2 2 2 3 5 2" xfId="17117"/>
    <cellStyle name="Input 17 2 2 2 3 6" xfId="17118"/>
    <cellStyle name="Input 17 2 2 2 3 7" xfId="17119"/>
    <cellStyle name="Input 17 2 2 2 3 8" xfId="17120"/>
    <cellStyle name="Input 17 2 2 2 4" xfId="17121"/>
    <cellStyle name="Input 17 2 2 2 4 2" xfId="17122"/>
    <cellStyle name="Input 17 2 2 2 4 2 2" xfId="17123"/>
    <cellStyle name="Input 17 2 2 2 4 2 2 2" xfId="17124"/>
    <cellStyle name="Input 17 2 2 2 4 2 3" xfId="17125"/>
    <cellStyle name="Input 17 2 2 2 4 2 3 2" xfId="17126"/>
    <cellStyle name="Input 17 2 2 2 4 2 4" xfId="17127"/>
    <cellStyle name="Input 17 2 2 2 4 2 5" xfId="17128"/>
    <cellStyle name="Input 17 2 2 2 4 2 6" xfId="17129"/>
    <cellStyle name="Input 17 2 2 2 4 3" xfId="17130"/>
    <cellStyle name="Input 17 2 2 2 4 3 2" xfId="17131"/>
    <cellStyle name="Input 17 2 2 2 4 4" xfId="17132"/>
    <cellStyle name="Input 17 2 2 2 4 4 2" xfId="17133"/>
    <cellStyle name="Input 17 2 2 2 4 5" xfId="17134"/>
    <cellStyle name="Input 17 2 2 2 4 6" xfId="17135"/>
    <cellStyle name="Input 17 2 2 2 4 7" xfId="17136"/>
    <cellStyle name="Input 17 2 2 2 5" xfId="17137"/>
    <cellStyle name="Input 17 2 2 2 5 2" xfId="17138"/>
    <cellStyle name="Input 17 2 2 2 5 2 2" xfId="17139"/>
    <cellStyle name="Input 17 2 2 2 5 3" xfId="17140"/>
    <cellStyle name="Input 17 2 2 2 5 3 2" xfId="17141"/>
    <cellStyle name="Input 17 2 2 2 5 4" xfId="17142"/>
    <cellStyle name="Input 17 2 2 2 5 5" xfId="17143"/>
    <cellStyle name="Input 17 2 2 2 5 6" xfId="17144"/>
    <cellStyle name="Input 17 2 2 2 6" xfId="17145"/>
    <cellStyle name="Input 17 2 2 2 6 2" xfId="17146"/>
    <cellStyle name="Input 17 2 2 2 7" xfId="17147"/>
    <cellStyle name="Input 17 2 2 2 7 2" xfId="17148"/>
    <cellStyle name="Input 17 2 2 2 8" xfId="17149"/>
    <cellStyle name="Input 17 2 2 2 9" xfId="17150"/>
    <cellStyle name="Input 17 2 2 3" xfId="17151"/>
    <cellStyle name="Input 17 2 2 3 2" xfId="17152"/>
    <cellStyle name="Input 17 2 2 3 2 2" xfId="17153"/>
    <cellStyle name="Input 17 2 2 3 2 2 2" xfId="17154"/>
    <cellStyle name="Input 17 2 2 3 2 2 2 2" xfId="17155"/>
    <cellStyle name="Input 17 2 2 3 2 2 3" xfId="17156"/>
    <cellStyle name="Input 17 2 2 3 2 2 3 2" xfId="17157"/>
    <cellStyle name="Input 17 2 2 3 2 2 4" xfId="17158"/>
    <cellStyle name="Input 17 2 2 3 2 2 5" xfId="17159"/>
    <cellStyle name="Input 17 2 2 3 2 2 6" xfId="17160"/>
    <cellStyle name="Input 17 2 2 3 2 3" xfId="17161"/>
    <cellStyle name="Input 17 2 2 3 2 3 2" xfId="17162"/>
    <cellStyle name="Input 17 2 2 3 2 4" xfId="17163"/>
    <cellStyle name="Input 17 2 2 3 2 4 2" xfId="17164"/>
    <cellStyle name="Input 17 2 2 3 2 5" xfId="17165"/>
    <cellStyle name="Input 17 2 2 3 2 6" xfId="17166"/>
    <cellStyle name="Input 17 2 2 3 2 7" xfId="17167"/>
    <cellStyle name="Input 17 2 2 3 3" xfId="17168"/>
    <cellStyle name="Input 17 2 2 3 3 2" xfId="17169"/>
    <cellStyle name="Input 17 2 2 3 3 2 2" xfId="17170"/>
    <cellStyle name="Input 17 2 2 3 3 3" xfId="17171"/>
    <cellStyle name="Input 17 2 2 3 3 3 2" xfId="17172"/>
    <cellStyle name="Input 17 2 2 3 3 4" xfId="17173"/>
    <cellStyle name="Input 17 2 2 3 3 5" xfId="17174"/>
    <cellStyle name="Input 17 2 2 3 3 6" xfId="17175"/>
    <cellStyle name="Input 17 2 2 3 4" xfId="17176"/>
    <cellStyle name="Input 17 2 2 3 4 2" xfId="17177"/>
    <cellStyle name="Input 17 2 2 3 5" xfId="17178"/>
    <cellStyle name="Input 17 2 2 3 5 2" xfId="17179"/>
    <cellStyle name="Input 17 2 2 3 6" xfId="17180"/>
    <cellStyle name="Input 17 2 2 3 7" xfId="17181"/>
    <cellStyle name="Input 17 2 2 3 8" xfId="17182"/>
    <cellStyle name="Input 17 2 2 4" xfId="17183"/>
    <cellStyle name="Input 17 2 2 4 2" xfId="17184"/>
    <cellStyle name="Input 17 2 2 4 2 2" xfId="17185"/>
    <cellStyle name="Input 17 2 2 4 2 2 2" xfId="17186"/>
    <cellStyle name="Input 17 2 2 4 2 2 2 2" xfId="17187"/>
    <cellStyle name="Input 17 2 2 4 2 2 3" xfId="17188"/>
    <cellStyle name="Input 17 2 2 4 2 2 3 2" xfId="17189"/>
    <cellStyle name="Input 17 2 2 4 2 2 4" xfId="17190"/>
    <cellStyle name="Input 17 2 2 4 2 2 5" xfId="17191"/>
    <cellStyle name="Input 17 2 2 4 2 2 6" xfId="17192"/>
    <cellStyle name="Input 17 2 2 4 2 3" xfId="17193"/>
    <cellStyle name="Input 17 2 2 4 2 3 2" xfId="17194"/>
    <cellStyle name="Input 17 2 2 4 2 4" xfId="17195"/>
    <cellStyle name="Input 17 2 2 4 2 4 2" xfId="17196"/>
    <cellStyle name="Input 17 2 2 4 2 5" xfId="17197"/>
    <cellStyle name="Input 17 2 2 4 2 6" xfId="17198"/>
    <cellStyle name="Input 17 2 2 4 2 7" xfId="17199"/>
    <cellStyle name="Input 17 2 2 4 3" xfId="17200"/>
    <cellStyle name="Input 17 2 2 4 3 2" xfId="17201"/>
    <cellStyle name="Input 17 2 2 4 3 2 2" xfId="17202"/>
    <cellStyle name="Input 17 2 2 4 3 3" xfId="17203"/>
    <cellStyle name="Input 17 2 2 4 3 3 2" xfId="17204"/>
    <cellStyle name="Input 17 2 2 4 3 4" xfId="17205"/>
    <cellStyle name="Input 17 2 2 4 3 5" xfId="17206"/>
    <cellStyle name="Input 17 2 2 4 3 6" xfId="17207"/>
    <cellStyle name="Input 17 2 2 4 4" xfId="17208"/>
    <cellStyle name="Input 17 2 2 4 4 2" xfId="17209"/>
    <cellStyle name="Input 17 2 2 4 5" xfId="17210"/>
    <cellStyle name="Input 17 2 2 4 5 2" xfId="17211"/>
    <cellStyle name="Input 17 2 2 4 6" xfId="17212"/>
    <cellStyle name="Input 17 2 2 4 7" xfId="17213"/>
    <cellStyle name="Input 17 2 2 4 8" xfId="17214"/>
    <cellStyle name="Input 17 2 2 5" xfId="17215"/>
    <cellStyle name="Input 17 2 2 5 2" xfId="17216"/>
    <cellStyle name="Input 17 2 2 5 2 2" xfId="17217"/>
    <cellStyle name="Input 17 2 2 5 2 2 2" xfId="17218"/>
    <cellStyle name="Input 17 2 2 5 2 3" xfId="17219"/>
    <cellStyle name="Input 17 2 2 5 2 3 2" xfId="17220"/>
    <cellStyle name="Input 17 2 2 5 2 4" xfId="17221"/>
    <cellStyle name="Input 17 2 2 5 2 5" xfId="17222"/>
    <cellStyle name="Input 17 2 2 5 2 6" xfId="17223"/>
    <cellStyle name="Input 17 2 2 5 3" xfId="17224"/>
    <cellStyle name="Input 17 2 2 5 3 2" xfId="17225"/>
    <cellStyle name="Input 17 2 2 5 4" xfId="17226"/>
    <cellStyle name="Input 17 2 2 5 4 2" xfId="17227"/>
    <cellStyle name="Input 17 2 2 5 5" xfId="17228"/>
    <cellStyle name="Input 17 2 2 5 6" xfId="17229"/>
    <cellStyle name="Input 17 2 2 5 7" xfId="17230"/>
    <cellStyle name="Input 17 2 2 6" xfId="17231"/>
    <cellStyle name="Input 17 2 2 6 2" xfId="17232"/>
    <cellStyle name="Input 17 2 2 6 2 2" xfId="17233"/>
    <cellStyle name="Input 17 2 2 6 3" xfId="17234"/>
    <cellStyle name="Input 17 2 2 6 3 2" xfId="17235"/>
    <cellStyle name="Input 17 2 2 6 4" xfId="17236"/>
    <cellStyle name="Input 17 2 2 6 5" xfId="17237"/>
    <cellStyle name="Input 17 2 2 6 6" xfId="17238"/>
    <cellStyle name="Input 17 2 2 7" xfId="17239"/>
    <cellStyle name="Input 17 2 2 7 2" xfId="17240"/>
    <cellStyle name="Input 17 2 2 8" xfId="17241"/>
    <cellStyle name="Input 17 2 2 8 2" xfId="17242"/>
    <cellStyle name="Input 17 2 2 9" xfId="17243"/>
    <cellStyle name="Input 17 2 3" xfId="17244"/>
    <cellStyle name="Input 17 2 3 10" xfId="17245"/>
    <cellStyle name="Input 17 2 3 2" xfId="17246"/>
    <cellStyle name="Input 17 2 3 2 10" xfId="17247"/>
    <cellStyle name="Input 17 2 3 2 2" xfId="17248"/>
    <cellStyle name="Input 17 2 3 2 2 2" xfId="17249"/>
    <cellStyle name="Input 17 2 3 2 2 2 2" xfId="17250"/>
    <cellStyle name="Input 17 2 3 2 2 2 2 2" xfId="17251"/>
    <cellStyle name="Input 17 2 3 2 2 2 2 2 2" xfId="17252"/>
    <cellStyle name="Input 17 2 3 2 2 2 2 3" xfId="17253"/>
    <cellStyle name="Input 17 2 3 2 2 2 2 3 2" xfId="17254"/>
    <cellStyle name="Input 17 2 3 2 2 2 2 4" xfId="17255"/>
    <cellStyle name="Input 17 2 3 2 2 2 2 5" xfId="17256"/>
    <cellStyle name="Input 17 2 3 2 2 2 2 6" xfId="17257"/>
    <cellStyle name="Input 17 2 3 2 2 2 3" xfId="17258"/>
    <cellStyle name="Input 17 2 3 2 2 2 3 2" xfId="17259"/>
    <cellStyle name="Input 17 2 3 2 2 2 4" xfId="17260"/>
    <cellStyle name="Input 17 2 3 2 2 2 4 2" xfId="17261"/>
    <cellStyle name="Input 17 2 3 2 2 2 5" xfId="17262"/>
    <cellStyle name="Input 17 2 3 2 2 2 6" xfId="17263"/>
    <cellStyle name="Input 17 2 3 2 2 2 7" xfId="17264"/>
    <cellStyle name="Input 17 2 3 2 2 3" xfId="17265"/>
    <cellStyle name="Input 17 2 3 2 2 3 2" xfId="17266"/>
    <cellStyle name="Input 17 2 3 2 2 3 2 2" xfId="17267"/>
    <cellStyle name="Input 17 2 3 2 2 3 3" xfId="17268"/>
    <cellStyle name="Input 17 2 3 2 2 3 3 2" xfId="17269"/>
    <cellStyle name="Input 17 2 3 2 2 3 4" xfId="17270"/>
    <cellStyle name="Input 17 2 3 2 2 3 5" xfId="17271"/>
    <cellStyle name="Input 17 2 3 2 2 3 6" xfId="17272"/>
    <cellStyle name="Input 17 2 3 2 2 4" xfId="17273"/>
    <cellStyle name="Input 17 2 3 2 2 4 2" xfId="17274"/>
    <cellStyle name="Input 17 2 3 2 2 5" xfId="17275"/>
    <cellStyle name="Input 17 2 3 2 2 5 2" xfId="17276"/>
    <cellStyle name="Input 17 2 3 2 2 6" xfId="17277"/>
    <cellStyle name="Input 17 2 3 2 2 7" xfId="17278"/>
    <cellStyle name="Input 17 2 3 2 2 8" xfId="17279"/>
    <cellStyle name="Input 17 2 3 2 3" xfId="17280"/>
    <cellStyle name="Input 17 2 3 2 3 2" xfId="17281"/>
    <cellStyle name="Input 17 2 3 2 3 2 2" xfId="17282"/>
    <cellStyle name="Input 17 2 3 2 3 2 2 2" xfId="17283"/>
    <cellStyle name="Input 17 2 3 2 3 2 2 2 2" xfId="17284"/>
    <cellStyle name="Input 17 2 3 2 3 2 2 3" xfId="17285"/>
    <cellStyle name="Input 17 2 3 2 3 2 2 3 2" xfId="17286"/>
    <cellStyle name="Input 17 2 3 2 3 2 2 4" xfId="17287"/>
    <cellStyle name="Input 17 2 3 2 3 2 2 5" xfId="17288"/>
    <cellStyle name="Input 17 2 3 2 3 2 2 6" xfId="17289"/>
    <cellStyle name="Input 17 2 3 2 3 2 3" xfId="17290"/>
    <cellStyle name="Input 17 2 3 2 3 2 3 2" xfId="17291"/>
    <cellStyle name="Input 17 2 3 2 3 2 4" xfId="17292"/>
    <cellStyle name="Input 17 2 3 2 3 2 4 2" xfId="17293"/>
    <cellStyle name="Input 17 2 3 2 3 2 5" xfId="17294"/>
    <cellStyle name="Input 17 2 3 2 3 2 6" xfId="17295"/>
    <cellStyle name="Input 17 2 3 2 3 2 7" xfId="17296"/>
    <cellStyle name="Input 17 2 3 2 3 3" xfId="17297"/>
    <cellStyle name="Input 17 2 3 2 3 3 2" xfId="17298"/>
    <cellStyle name="Input 17 2 3 2 3 3 2 2" xfId="17299"/>
    <cellStyle name="Input 17 2 3 2 3 3 3" xfId="17300"/>
    <cellStyle name="Input 17 2 3 2 3 3 3 2" xfId="17301"/>
    <cellStyle name="Input 17 2 3 2 3 3 4" xfId="17302"/>
    <cellStyle name="Input 17 2 3 2 3 3 5" xfId="17303"/>
    <cellStyle name="Input 17 2 3 2 3 3 6" xfId="17304"/>
    <cellStyle name="Input 17 2 3 2 3 4" xfId="17305"/>
    <cellStyle name="Input 17 2 3 2 3 4 2" xfId="17306"/>
    <cellStyle name="Input 17 2 3 2 3 5" xfId="17307"/>
    <cellStyle name="Input 17 2 3 2 3 5 2" xfId="17308"/>
    <cellStyle name="Input 17 2 3 2 3 6" xfId="17309"/>
    <cellStyle name="Input 17 2 3 2 3 7" xfId="17310"/>
    <cellStyle name="Input 17 2 3 2 3 8" xfId="17311"/>
    <cellStyle name="Input 17 2 3 2 4" xfId="17312"/>
    <cellStyle name="Input 17 2 3 2 4 2" xfId="17313"/>
    <cellStyle name="Input 17 2 3 2 4 2 2" xfId="17314"/>
    <cellStyle name="Input 17 2 3 2 4 2 2 2" xfId="17315"/>
    <cellStyle name="Input 17 2 3 2 4 2 3" xfId="17316"/>
    <cellStyle name="Input 17 2 3 2 4 2 3 2" xfId="17317"/>
    <cellStyle name="Input 17 2 3 2 4 2 4" xfId="17318"/>
    <cellStyle name="Input 17 2 3 2 4 2 5" xfId="17319"/>
    <cellStyle name="Input 17 2 3 2 4 2 6" xfId="17320"/>
    <cellStyle name="Input 17 2 3 2 4 3" xfId="17321"/>
    <cellStyle name="Input 17 2 3 2 4 3 2" xfId="17322"/>
    <cellStyle name="Input 17 2 3 2 4 4" xfId="17323"/>
    <cellStyle name="Input 17 2 3 2 4 4 2" xfId="17324"/>
    <cellStyle name="Input 17 2 3 2 4 5" xfId="17325"/>
    <cellStyle name="Input 17 2 3 2 4 6" xfId="17326"/>
    <cellStyle name="Input 17 2 3 2 4 7" xfId="17327"/>
    <cellStyle name="Input 17 2 3 2 5" xfId="17328"/>
    <cellStyle name="Input 17 2 3 2 5 2" xfId="17329"/>
    <cellStyle name="Input 17 2 3 2 5 2 2" xfId="17330"/>
    <cellStyle name="Input 17 2 3 2 5 3" xfId="17331"/>
    <cellStyle name="Input 17 2 3 2 5 3 2" xfId="17332"/>
    <cellStyle name="Input 17 2 3 2 5 4" xfId="17333"/>
    <cellStyle name="Input 17 2 3 2 5 5" xfId="17334"/>
    <cellStyle name="Input 17 2 3 2 5 6" xfId="17335"/>
    <cellStyle name="Input 17 2 3 2 6" xfId="17336"/>
    <cellStyle name="Input 17 2 3 2 6 2" xfId="17337"/>
    <cellStyle name="Input 17 2 3 2 7" xfId="17338"/>
    <cellStyle name="Input 17 2 3 2 7 2" xfId="17339"/>
    <cellStyle name="Input 17 2 3 2 8" xfId="17340"/>
    <cellStyle name="Input 17 2 3 2 9" xfId="17341"/>
    <cellStyle name="Input 17 2 3 3" xfId="17342"/>
    <cellStyle name="Input 17 2 3 3 2" xfId="17343"/>
    <cellStyle name="Input 17 2 3 3 2 2" xfId="17344"/>
    <cellStyle name="Input 17 2 3 3 2 2 2" xfId="17345"/>
    <cellStyle name="Input 17 2 3 3 2 2 2 2" xfId="17346"/>
    <cellStyle name="Input 17 2 3 3 2 2 3" xfId="17347"/>
    <cellStyle name="Input 17 2 3 3 2 2 3 2" xfId="17348"/>
    <cellStyle name="Input 17 2 3 3 2 2 4" xfId="17349"/>
    <cellStyle name="Input 17 2 3 3 2 2 5" xfId="17350"/>
    <cellStyle name="Input 17 2 3 3 2 2 6" xfId="17351"/>
    <cellStyle name="Input 17 2 3 3 2 3" xfId="17352"/>
    <cellStyle name="Input 17 2 3 3 2 3 2" xfId="17353"/>
    <cellStyle name="Input 17 2 3 3 2 4" xfId="17354"/>
    <cellStyle name="Input 17 2 3 3 2 4 2" xfId="17355"/>
    <cellStyle name="Input 17 2 3 3 2 5" xfId="17356"/>
    <cellStyle name="Input 17 2 3 3 2 6" xfId="17357"/>
    <cellStyle name="Input 17 2 3 3 2 7" xfId="17358"/>
    <cellStyle name="Input 17 2 3 3 3" xfId="17359"/>
    <cellStyle name="Input 17 2 3 3 3 2" xfId="17360"/>
    <cellStyle name="Input 17 2 3 3 3 2 2" xfId="17361"/>
    <cellStyle name="Input 17 2 3 3 3 3" xfId="17362"/>
    <cellStyle name="Input 17 2 3 3 3 3 2" xfId="17363"/>
    <cellStyle name="Input 17 2 3 3 3 4" xfId="17364"/>
    <cellStyle name="Input 17 2 3 3 3 5" xfId="17365"/>
    <cellStyle name="Input 17 2 3 3 3 6" xfId="17366"/>
    <cellStyle name="Input 17 2 3 3 4" xfId="17367"/>
    <cellStyle name="Input 17 2 3 3 4 2" xfId="17368"/>
    <cellStyle name="Input 17 2 3 3 5" xfId="17369"/>
    <cellStyle name="Input 17 2 3 3 5 2" xfId="17370"/>
    <cellStyle name="Input 17 2 3 3 6" xfId="17371"/>
    <cellStyle name="Input 17 2 3 3 7" xfId="17372"/>
    <cellStyle name="Input 17 2 3 3 8" xfId="17373"/>
    <cellStyle name="Input 17 2 3 4" xfId="17374"/>
    <cellStyle name="Input 17 2 3 4 2" xfId="17375"/>
    <cellStyle name="Input 17 2 3 4 2 2" xfId="17376"/>
    <cellStyle name="Input 17 2 3 4 2 2 2" xfId="17377"/>
    <cellStyle name="Input 17 2 3 4 2 3" xfId="17378"/>
    <cellStyle name="Input 17 2 3 4 2 3 2" xfId="17379"/>
    <cellStyle name="Input 17 2 3 4 2 4" xfId="17380"/>
    <cellStyle name="Input 17 2 3 4 2 5" xfId="17381"/>
    <cellStyle name="Input 17 2 3 4 2 6" xfId="17382"/>
    <cellStyle name="Input 17 2 3 4 3" xfId="17383"/>
    <cellStyle name="Input 17 2 3 4 3 2" xfId="17384"/>
    <cellStyle name="Input 17 2 3 4 4" xfId="17385"/>
    <cellStyle name="Input 17 2 3 4 4 2" xfId="17386"/>
    <cellStyle name="Input 17 2 3 4 5" xfId="17387"/>
    <cellStyle name="Input 17 2 3 4 6" xfId="17388"/>
    <cellStyle name="Input 17 2 3 4 7" xfId="17389"/>
    <cellStyle name="Input 17 2 3 5" xfId="17390"/>
    <cellStyle name="Input 17 2 3 5 2" xfId="17391"/>
    <cellStyle name="Input 17 2 3 5 2 2" xfId="17392"/>
    <cellStyle name="Input 17 2 3 5 3" xfId="17393"/>
    <cellStyle name="Input 17 2 3 5 3 2" xfId="17394"/>
    <cellStyle name="Input 17 2 3 5 4" xfId="17395"/>
    <cellStyle name="Input 17 2 3 5 5" xfId="17396"/>
    <cellStyle name="Input 17 2 3 5 6" xfId="17397"/>
    <cellStyle name="Input 17 2 3 6" xfId="17398"/>
    <cellStyle name="Input 17 2 3 6 2" xfId="17399"/>
    <cellStyle name="Input 17 2 3 7" xfId="17400"/>
    <cellStyle name="Input 17 2 3 7 2" xfId="17401"/>
    <cellStyle name="Input 17 2 3 8" xfId="17402"/>
    <cellStyle name="Input 17 2 3 9" xfId="17403"/>
    <cellStyle name="Input 17 2 4" xfId="17404"/>
    <cellStyle name="Input 17 2 4 10" xfId="17405"/>
    <cellStyle name="Input 17 2 4 2" xfId="17406"/>
    <cellStyle name="Input 17 2 4 2 2" xfId="17407"/>
    <cellStyle name="Input 17 2 4 2 2 2" xfId="17408"/>
    <cellStyle name="Input 17 2 4 2 2 2 2" xfId="17409"/>
    <cellStyle name="Input 17 2 4 2 2 2 2 2" xfId="17410"/>
    <cellStyle name="Input 17 2 4 2 2 2 3" xfId="17411"/>
    <cellStyle name="Input 17 2 4 2 2 2 3 2" xfId="17412"/>
    <cellStyle name="Input 17 2 4 2 2 2 4" xfId="17413"/>
    <cellStyle name="Input 17 2 4 2 2 2 5" xfId="17414"/>
    <cellStyle name="Input 17 2 4 2 2 2 6" xfId="17415"/>
    <cellStyle name="Input 17 2 4 2 2 3" xfId="17416"/>
    <cellStyle name="Input 17 2 4 2 2 3 2" xfId="17417"/>
    <cellStyle name="Input 17 2 4 2 2 4" xfId="17418"/>
    <cellStyle name="Input 17 2 4 2 2 4 2" xfId="17419"/>
    <cellStyle name="Input 17 2 4 2 2 5" xfId="17420"/>
    <cellStyle name="Input 17 2 4 2 2 6" xfId="17421"/>
    <cellStyle name="Input 17 2 4 2 2 7" xfId="17422"/>
    <cellStyle name="Input 17 2 4 2 3" xfId="17423"/>
    <cellStyle name="Input 17 2 4 2 3 2" xfId="17424"/>
    <cellStyle name="Input 17 2 4 2 3 2 2" xfId="17425"/>
    <cellStyle name="Input 17 2 4 2 3 3" xfId="17426"/>
    <cellStyle name="Input 17 2 4 2 3 3 2" xfId="17427"/>
    <cellStyle name="Input 17 2 4 2 3 4" xfId="17428"/>
    <cellStyle name="Input 17 2 4 2 3 5" xfId="17429"/>
    <cellStyle name="Input 17 2 4 2 3 6" xfId="17430"/>
    <cellStyle name="Input 17 2 4 2 4" xfId="17431"/>
    <cellStyle name="Input 17 2 4 2 4 2" xfId="17432"/>
    <cellStyle name="Input 17 2 4 2 5" xfId="17433"/>
    <cellStyle name="Input 17 2 4 2 5 2" xfId="17434"/>
    <cellStyle name="Input 17 2 4 2 6" xfId="17435"/>
    <cellStyle name="Input 17 2 4 2 7" xfId="17436"/>
    <cellStyle name="Input 17 2 4 2 8" xfId="17437"/>
    <cellStyle name="Input 17 2 4 3" xfId="17438"/>
    <cellStyle name="Input 17 2 4 3 2" xfId="17439"/>
    <cellStyle name="Input 17 2 4 3 2 2" xfId="17440"/>
    <cellStyle name="Input 17 2 4 3 2 2 2" xfId="17441"/>
    <cellStyle name="Input 17 2 4 3 2 2 2 2" xfId="17442"/>
    <cellStyle name="Input 17 2 4 3 2 2 3" xfId="17443"/>
    <cellStyle name="Input 17 2 4 3 2 2 3 2" xfId="17444"/>
    <cellStyle name="Input 17 2 4 3 2 2 4" xfId="17445"/>
    <cellStyle name="Input 17 2 4 3 2 2 5" xfId="17446"/>
    <cellStyle name="Input 17 2 4 3 2 2 6" xfId="17447"/>
    <cellStyle name="Input 17 2 4 3 2 3" xfId="17448"/>
    <cellStyle name="Input 17 2 4 3 2 3 2" xfId="17449"/>
    <cellStyle name="Input 17 2 4 3 2 4" xfId="17450"/>
    <cellStyle name="Input 17 2 4 3 2 4 2" xfId="17451"/>
    <cellStyle name="Input 17 2 4 3 2 5" xfId="17452"/>
    <cellStyle name="Input 17 2 4 3 2 6" xfId="17453"/>
    <cellStyle name="Input 17 2 4 3 2 7" xfId="17454"/>
    <cellStyle name="Input 17 2 4 3 3" xfId="17455"/>
    <cellStyle name="Input 17 2 4 3 3 2" xfId="17456"/>
    <cellStyle name="Input 17 2 4 3 3 2 2" xfId="17457"/>
    <cellStyle name="Input 17 2 4 3 3 3" xfId="17458"/>
    <cellStyle name="Input 17 2 4 3 3 3 2" xfId="17459"/>
    <cellStyle name="Input 17 2 4 3 3 4" xfId="17460"/>
    <cellStyle name="Input 17 2 4 3 3 5" xfId="17461"/>
    <cellStyle name="Input 17 2 4 3 3 6" xfId="17462"/>
    <cellStyle name="Input 17 2 4 3 4" xfId="17463"/>
    <cellStyle name="Input 17 2 4 3 4 2" xfId="17464"/>
    <cellStyle name="Input 17 2 4 3 5" xfId="17465"/>
    <cellStyle name="Input 17 2 4 3 5 2" xfId="17466"/>
    <cellStyle name="Input 17 2 4 3 6" xfId="17467"/>
    <cellStyle name="Input 17 2 4 3 7" xfId="17468"/>
    <cellStyle name="Input 17 2 4 3 8" xfId="17469"/>
    <cellStyle name="Input 17 2 4 4" xfId="17470"/>
    <cellStyle name="Input 17 2 4 4 2" xfId="17471"/>
    <cellStyle name="Input 17 2 4 4 2 2" xfId="17472"/>
    <cellStyle name="Input 17 2 4 4 2 2 2" xfId="17473"/>
    <cellStyle name="Input 17 2 4 4 2 3" xfId="17474"/>
    <cellStyle name="Input 17 2 4 4 2 3 2" xfId="17475"/>
    <cellStyle name="Input 17 2 4 4 2 4" xfId="17476"/>
    <cellStyle name="Input 17 2 4 4 2 5" xfId="17477"/>
    <cellStyle name="Input 17 2 4 4 2 6" xfId="17478"/>
    <cellStyle name="Input 17 2 4 4 3" xfId="17479"/>
    <cellStyle name="Input 17 2 4 4 3 2" xfId="17480"/>
    <cellStyle name="Input 17 2 4 4 4" xfId="17481"/>
    <cellStyle name="Input 17 2 4 4 4 2" xfId="17482"/>
    <cellStyle name="Input 17 2 4 4 5" xfId="17483"/>
    <cellStyle name="Input 17 2 4 4 6" xfId="17484"/>
    <cellStyle name="Input 17 2 4 4 7" xfId="17485"/>
    <cellStyle name="Input 17 2 4 5" xfId="17486"/>
    <cellStyle name="Input 17 2 4 5 2" xfId="17487"/>
    <cellStyle name="Input 17 2 4 5 2 2" xfId="17488"/>
    <cellStyle name="Input 17 2 4 5 3" xfId="17489"/>
    <cellStyle name="Input 17 2 4 5 3 2" xfId="17490"/>
    <cellStyle name="Input 17 2 4 5 4" xfId="17491"/>
    <cellStyle name="Input 17 2 4 5 5" xfId="17492"/>
    <cellStyle name="Input 17 2 4 5 6" xfId="17493"/>
    <cellStyle name="Input 17 2 4 6" xfId="17494"/>
    <cellStyle name="Input 17 2 4 6 2" xfId="17495"/>
    <cellStyle name="Input 17 2 4 7" xfId="17496"/>
    <cellStyle name="Input 17 2 4 7 2" xfId="17497"/>
    <cellStyle name="Input 17 2 4 8" xfId="17498"/>
    <cellStyle name="Input 17 2 4 9" xfId="17499"/>
    <cellStyle name="Input 17 2 5" xfId="17500"/>
    <cellStyle name="Input 17 2 5 2" xfId="17501"/>
    <cellStyle name="Input 17 2 5 2 2" xfId="17502"/>
    <cellStyle name="Input 17 2 5 2 2 2" xfId="17503"/>
    <cellStyle name="Input 17 2 5 2 2 2 2" xfId="17504"/>
    <cellStyle name="Input 17 2 5 2 2 3" xfId="17505"/>
    <cellStyle name="Input 17 2 5 2 2 3 2" xfId="17506"/>
    <cellStyle name="Input 17 2 5 2 2 4" xfId="17507"/>
    <cellStyle name="Input 17 2 5 2 2 5" xfId="17508"/>
    <cellStyle name="Input 17 2 5 2 2 6" xfId="17509"/>
    <cellStyle name="Input 17 2 5 2 3" xfId="17510"/>
    <cellStyle name="Input 17 2 5 2 3 2" xfId="17511"/>
    <cellStyle name="Input 17 2 5 2 4" xfId="17512"/>
    <cellStyle name="Input 17 2 5 2 4 2" xfId="17513"/>
    <cellStyle name="Input 17 2 5 2 5" xfId="17514"/>
    <cellStyle name="Input 17 2 5 2 6" xfId="17515"/>
    <cellStyle name="Input 17 2 5 2 7" xfId="17516"/>
    <cellStyle name="Input 17 2 5 3" xfId="17517"/>
    <cellStyle name="Input 17 2 5 3 2" xfId="17518"/>
    <cellStyle name="Input 17 2 5 3 2 2" xfId="17519"/>
    <cellStyle name="Input 17 2 5 3 3" xfId="17520"/>
    <cellStyle name="Input 17 2 5 3 3 2" xfId="17521"/>
    <cellStyle name="Input 17 2 5 3 4" xfId="17522"/>
    <cellStyle name="Input 17 2 5 3 5" xfId="17523"/>
    <cellStyle name="Input 17 2 5 3 6" xfId="17524"/>
    <cellStyle name="Input 17 2 5 4" xfId="17525"/>
    <cellStyle name="Input 17 2 5 4 2" xfId="17526"/>
    <cellStyle name="Input 17 2 5 5" xfId="17527"/>
    <cellStyle name="Input 17 2 5 5 2" xfId="17528"/>
    <cellStyle name="Input 17 2 5 6" xfId="17529"/>
    <cellStyle name="Input 17 2 5 7" xfId="17530"/>
    <cellStyle name="Input 17 2 5 8" xfId="17531"/>
    <cellStyle name="Input 17 2 6" xfId="17532"/>
    <cellStyle name="Input 17 2 6 2" xfId="17533"/>
    <cellStyle name="Input 17 2 6 2 2" xfId="17534"/>
    <cellStyle name="Input 17 2 6 2 2 2" xfId="17535"/>
    <cellStyle name="Input 17 2 6 2 3" xfId="17536"/>
    <cellStyle name="Input 17 2 6 2 3 2" xfId="17537"/>
    <cellStyle name="Input 17 2 6 2 4" xfId="17538"/>
    <cellStyle name="Input 17 2 6 2 5" xfId="17539"/>
    <cellStyle name="Input 17 2 6 2 6" xfId="17540"/>
    <cellStyle name="Input 17 2 6 3" xfId="17541"/>
    <cellStyle name="Input 17 2 6 3 2" xfId="17542"/>
    <cellStyle name="Input 17 2 6 4" xfId="17543"/>
    <cellStyle name="Input 17 2 6 4 2" xfId="17544"/>
    <cellStyle name="Input 17 2 6 5" xfId="17545"/>
    <cellStyle name="Input 17 2 6 6" xfId="17546"/>
    <cellStyle name="Input 17 2 6 7" xfId="17547"/>
    <cellStyle name="Input 17 2 7" xfId="17548"/>
    <cellStyle name="Input 17 2 7 2" xfId="17549"/>
    <cellStyle name="Input 17 2 7 2 2" xfId="17550"/>
    <cellStyle name="Input 17 2 7 3" xfId="17551"/>
    <cellStyle name="Input 17 2 7 3 2" xfId="17552"/>
    <cellStyle name="Input 17 2 7 4" xfId="17553"/>
    <cellStyle name="Input 17 2 7 5" xfId="17554"/>
    <cellStyle name="Input 17 2 7 6" xfId="17555"/>
    <cellStyle name="Input 17 2 8" xfId="17556"/>
    <cellStyle name="Input 17 2 8 2" xfId="17557"/>
    <cellStyle name="Input 17 2 9" xfId="17558"/>
    <cellStyle name="Input 17 2 9 2" xfId="17559"/>
    <cellStyle name="Input 17 3" xfId="17560"/>
    <cellStyle name="Input 17 3 10" xfId="17561"/>
    <cellStyle name="Input 17 3 11" xfId="17562"/>
    <cellStyle name="Input 17 3 2" xfId="17563"/>
    <cellStyle name="Input 17 3 2 10" xfId="17564"/>
    <cellStyle name="Input 17 3 2 2" xfId="17565"/>
    <cellStyle name="Input 17 3 2 2 10" xfId="17566"/>
    <cellStyle name="Input 17 3 2 2 2" xfId="17567"/>
    <cellStyle name="Input 17 3 2 2 2 2" xfId="17568"/>
    <cellStyle name="Input 17 3 2 2 2 2 2" xfId="17569"/>
    <cellStyle name="Input 17 3 2 2 2 2 2 2" xfId="17570"/>
    <cellStyle name="Input 17 3 2 2 2 2 2 2 2" xfId="17571"/>
    <cellStyle name="Input 17 3 2 2 2 2 2 3" xfId="17572"/>
    <cellStyle name="Input 17 3 2 2 2 2 2 3 2" xfId="17573"/>
    <cellStyle name="Input 17 3 2 2 2 2 2 4" xfId="17574"/>
    <cellStyle name="Input 17 3 2 2 2 2 2 5" xfId="17575"/>
    <cellStyle name="Input 17 3 2 2 2 2 2 6" xfId="17576"/>
    <cellStyle name="Input 17 3 2 2 2 2 3" xfId="17577"/>
    <cellStyle name="Input 17 3 2 2 2 2 3 2" xfId="17578"/>
    <cellStyle name="Input 17 3 2 2 2 2 4" xfId="17579"/>
    <cellStyle name="Input 17 3 2 2 2 2 4 2" xfId="17580"/>
    <cellStyle name="Input 17 3 2 2 2 2 5" xfId="17581"/>
    <cellStyle name="Input 17 3 2 2 2 2 6" xfId="17582"/>
    <cellStyle name="Input 17 3 2 2 2 2 7" xfId="17583"/>
    <cellStyle name="Input 17 3 2 2 2 3" xfId="17584"/>
    <cellStyle name="Input 17 3 2 2 2 3 2" xfId="17585"/>
    <cellStyle name="Input 17 3 2 2 2 3 2 2" xfId="17586"/>
    <cellStyle name="Input 17 3 2 2 2 3 3" xfId="17587"/>
    <cellStyle name="Input 17 3 2 2 2 3 3 2" xfId="17588"/>
    <cellStyle name="Input 17 3 2 2 2 3 4" xfId="17589"/>
    <cellStyle name="Input 17 3 2 2 2 3 5" xfId="17590"/>
    <cellStyle name="Input 17 3 2 2 2 3 6" xfId="17591"/>
    <cellStyle name="Input 17 3 2 2 2 4" xfId="17592"/>
    <cellStyle name="Input 17 3 2 2 2 4 2" xfId="17593"/>
    <cellStyle name="Input 17 3 2 2 2 5" xfId="17594"/>
    <cellStyle name="Input 17 3 2 2 2 5 2" xfId="17595"/>
    <cellStyle name="Input 17 3 2 2 2 6" xfId="17596"/>
    <cellStyle name="Input 17 3 2 2 2 7" xfId="17597"/>
    <cellStyle name="Input 17 3 2 2 2 8" xfId="17598"/>
    <cellStyle name="Input 17 3 2 2 3" xfId="17599"/>
    <cellStyle name="Input 17 3 2 2 3 2" xfId="17600"/>
    <cellStyle name="Input 17 3 2 2 3 2 2" xfId="17601"/>
    <cellStyle name="Input 17 3 2 2 3 2 2 2" xfId="17602"/>
    <cellStyle name="Input 17 3 2 2 3 2 2 2 2" xfId="17603"/>
    <cellStyle name="Input 17 3 2 2 3 2 2 3" xfId="17604"/>
    <cellStyle name="Input 17 3 2 2 3 2 2 3 2" xfId="17605"/>
    <cellStyle name="Input 17 3 2 2 3 2 2 4" xfId="17606"/>
    <cellStyle name="Input 17 3 2 2 3 2 2 5" xfId="17607"/>
    <cellStyle name="Input 17 3 2 2 3 2 2 6" xfId="17608"/>
    <cellStyle name="Input 17 3 2 2 3 2 3" xfId="17609"/>
    <cellStyle name="Input 17 3 2 2 3 2 3 2" xfId="17610"/>
    <cellStyle name="Input 17 3 2 2 3 2 4" xfId="17611"/>
    <cellStyle name="Input 17 3 2 2 3 2 4 2" xfId="17612"/>
    <cellStyle name="Input 17 3 2 2 3 2 5" xfId="17613"/>
    <cellStyle name="Input 17 3 2 2 3 2 6" xfId="17614"/>
    <cellStyle name="Input 17 3 2 2 3 2 7" xfId="17615"/>
    <cellStyle name="Input 17 3 2 2 3 3" xfId="17616"/>
    <cellStyle name="Input 17 3 2 2 3 3 2" xfId="17617"/>
    <cellStyle name="Input 17 3 2 2 3 3 2 2" xfId="17618"/>
    <cellStyle name="Input 17 3 2 2 3 3 3" xfId="17619"/>
    <cellStyle name="Input 17 3 2 2 3 3 3 2" xfId="17620"/>
    <cellStyle name="Input 17 3 2 2 3 3 4" xfId="17621"/>
    <cellStyle name="Input 17 3 2 2 3 3 5" xfId="17622"/>
    <cellStyle name="Input 17 3 2 2 3 3 6" xfId="17623"/>
    <cellStyle name="Input 17 3 2 2 3 4" xfId="17624"/>
    <cellStyle name="Input 17 3 2 2 3 4 2" xfId="17625"/>
    <cellStyle name="Input 17 3 2 2 3 5" xfId="17626"/>
    <cellStyle name="Input 17 3 2 2 3 5 2" xfId="17627"/>
    <cellStyle name="Input 17 3 2 2 3 6" xfId="17628"/>
    <cellStyle name="Input 17 3 2 2 3 7" xfId="17629"/>
    <cellStyle name="Input 17 3 2 2 3 8" xfId="17630"/>
    <cellStyle name="Input 17 3 2 2 4" xfId="17631"/>
    <cellStyle name="Input 17 3 2 2 4 2" xfId="17632"/>
    <cellStyle name="Input 17 3 2 2 4 2 2" xfId="17633"/>
    <cellStyle name="Input 17 3 2 2 4 2 2 2" xfId="17634"/>
    <cellStyle name="Input 17 3 2 2 4 2 3" xfId="17635"/>
    <cellStyle name="Input 17 3 2 2 4 2 3 2" xfId="17636"/>
    <cellStyle name="Input 17 3 2 2 4 2 4" xfId="17637"/>
    <cellStyle name="Input 17 3 2 2 4 2 5" xfId="17638"/>
    <cellStyle name="Input 17 3 2 2 4 2 6" xfId="17639"/>
    <cellStyle name="Input 17 3 2 2 4 3" xfId="17640"/>
    <cellStyle name="Input 17 3 2 2 4 3 2" xfId="17641"/>
    <cellStyle name="Input 17 3 2 2 4 4" xfId="17642"/>
    <cellStyle name="Input 17 3 2 2 4 4 2" xfId="17643"/>
    <cellStyle name="Input 17 3 2 2 4 5" xfId="17644"/>
    <cellStyle name="Input 17 3 2 2 4 6" xfId="17645"/>
    <cellStyle name="Input 17 3 2 2 4 7" xfId="17646"/>
    <cellStyle name="Input 17 3 2 2 5" xfId="17647"/>
    <cellStyle name="Input 17 3 2 2 5 2" xfId="17648"/>
    <cellStyle name="Input 17 3 2 2 5 2 2" xfId="17649"/>
    <cellStyle name="Input 17 3 2 2 5 3" xfId="17650"/>
    <cellStyle name="Input 17 3 2 2 5 3 2" xfId="17651"/>
    <cellStyle name="Input 17 3 2 2 5 4" xfId="17652"/>
    <cellStyle name="Input 17 3 2 2 5 5" xfId="17653"/>
    <cellStyle name="Input 17 3 2 2 5 6" xfId="17654"/>
    <cellStyle name="Input 17 3 2 2 6" xfId="17655"/>
    <cellStyle name="Input 17 3 2 2 6 2" xfId="17656"/>
    <cellStyle name="Input 17 3 2 2 7" xfId="17657"/>
    <cellStyle name="Input 17 3 2 2 7 2" xfId="17658"/>
    <cellStyle name="Input 17 3 2 2 8" xfId="17659"/>
    <cellStyle name="Input 17 3 2 2 9" xfId="17660"/>
    <cellStyle name="Input 17 3 2 3" xfId="17661"/>
    <cellStyle name="Input 17 3 2 3 2" xfId="17662"/>
    <cellStyle name="Input 17 3 2 3 2 2" xfId="17663"/>
    <cellStyle name="Input 17 3 2 3 2 2 2" xfId="17664"/>
    <cellStyle name="Input 17 3 2 3 2 2 2 2" xfId="17665"/>
    <cellStyle name="Input 17 3 2 3 2 2 3" xfId="17666"/>
    <cellStyle name="Input 17 3 2 3 2 2 3 2" xfId="17667"/>
    <cellStyle name="Input 17 3 2 3 2 2 4" xfId="17668"/>
    <cellStyle name="Input 17 3 2 3 2 2 5" xfId="17669"/>
    <cellStyle name="Input 17 3 2 3 2 2 6" xfId="17670"/>
    <cellStyle name="Input 17 3 2 3 2 3" xfId="17671"/>
    <cellStyle name="Input 17 3 2 3 2 3 2" xfId="17672"/>
    <cellStyle name="Input 17 3 2 3 2 4" xfId="17673"/>
    <cellStyle name="Input 17 3 2 3 2 4 2" xfId="17674"/>
    <cellStyle name="Input 17 3 2 3 2 5" xfId="17675"/>
    <cellStyle name="Input 17 3 2 3 2 6" xfId="17676"/>
    <cellStyle name="Input 17 3 2 3 2 7" xfId="17677"/>
    <cellStyle name="Input 17 3 2 3 3" xfId="17678"/>
    <cellStyle name="Input 17 3 2 3 3 2" xfId="17679"/>
    <cellStyle name="Input 17 3 2 3 3 2 2" xfId="17680"/>
    <cellStyle name="Input 17 3 2 3 3 3" xfId="17681"/>
    <cellStyle name="Input 17 3 2 3 3 3 2" xfId="17682"/>
    <cellStyle name="Input 17 3 2 3 3 4" xfId="17683"/>
    <cellStyle name="Input 17 3 2 3 3 5" xfId="17684"/>
    <cellStyle name="Input 17 3 2 3 3 6" xfId="17685"/>
    <cellStyle name="Input 17 3 2 3 4" xfId="17686"/>
    <cellStyle name="Input 17 3 2 3 4 2" xfId="17687"/>
    <cellStyle name="Input 17 3 2 3 5" xfId="17688"/>
    <cellStyle name="Input 17 3 2 3 5 2" xfId="17689"/>
    <cellStyle name="Input 17 3 2 3 6" xfId="17690"/>
    <cellStyle name="Input 17 3 2 3 7" xfId="17691"/>
    <cellStyle name="Input 17 3 2 3 8" xfId="17692"/>
    <cellStyle name="Input 17 3 2 4" xfId="17693"/>
    <cellStyle name="Input 17 3 2 4 2" xfId="17694"/>
    <cellStyle name="Input 17 3 2 4 2 2" xfId="17695"/>
    <cellStyle name="Input 17 3 2 4 2 2 2" xfId="17696"/>
    <cellStyle name="Input 17 3 2 4 2 3" xfId="17697"/>
    <cellStyle name="Input 17 3 2 4 2 3 2" xfId="17698"/>
    <cellStyle name="Input 17 3 2 4 2 4" xfId="17699"/>
    <cellStyle name="Input 17 3 2 4 2 5" xfId="17700"/>
    <cellStyle name="Input 17 3 2 4 2 6" xfId="17701"/>
    <cellStyle name="Input 17 3 2 4 3" xfId="17702"/>
    <cellStyle name="Input 17 3 2 4 3 2" xfId="17703"/>
    <cellStyle name="Input 17 3 2 4 4" xfId="17704"/>
    <cellStyle name="Input 17 3 2 4 4 2" xfId="17705"/>
    <cellStyle name="Input 17 3 2 4 5" xfId="17706"/>
    <cellStyle name="Input 17 3 2 4 6" xfId="17707"/>
    <cellStyle name="Input 17 3 2 4 7" xfId="17708"/>
    <cellStyle name="Input 17 3 2 5" xfId="17709"/>
    <cellStyle name="Input 17 3 2 5 2" xfId="17710"/>
    <cellStyle name="Input 17 3 2 5 2 2" xfId="17711"/>
    <cellStyle name="Input 17 3 2 5 3" xfId="17712"/>
    <cellStyle name="Input 17 3 2 5 3 2" xfId="17713"/>
    <cellStyle name="Input 17 3 2 5 4" xfId="17714"/>
    <cellStyle name="Input 17 3 2 5 5" xfId="17715"/>
    <cellStyle name="Input 17 3 2 5 6" xfId="17716"/>
    <cellStyle name="Input 17 3 2 6" xfId="17717"/>
    <cellStyle name="Input 17 3 2 6 2" xfId="17718"/>
    <cellStyle name="Input 17 3 2 7" xfId="17719"/>
    <cellStyle name="Input 17 3 2 7 2" xfId="17720"/>
    <cellStyle name="Input 17 3 2 8" xfId="17721"/>
    <cellStyle name="Input 17 3 2 9" xfId="17722"/>
    <cellStyle name="Input 17 3 3" xfId="17723"/>
    <cellStyle name="Input 17 3 3 10" xfId="17724"/>
    <cellStyle name="Input 17 3 3 2" xfId="17725"/>
    <cellStyle name="Input 17 3 3 2 2" xfId="17726"/>
    <cellStyle name="Input 17 3 3 2 2 2" xfId="17727"/>
    <cellStyle name="Input 17 3 3 2 2 2 2" xfId="17728"/>
    <cellStyle name="Input 17 3 3 2 2 2 2 2" xfId="17729"/>
    <cellStyle name="Input 17 3 3 2 2 2 3" xfId="17730"/>
    <cellStyle name="Input 17 3 3 2 2 2 3 2" xfId="17731"/>
    <cellStyle name="Input 17 3 3 2 2 2 4" xfId="17732"/>
    <cellStyle name="Input 17 3 3 2 2 2 5" xfId="17733"/>
    <cellStyle name="Input 17 3 3 2 2 2 6" xfId="17734"/>
    <cellStyle name="Input 17 3 3 2 2 3" xfId="17735"/>
    <cellStyle name="Input 17 3 3 2 2 3 2" xfId="17736"/>
    <cellStyle name="Input 17 3 3 2 2 4" xfId="17737"/>
    <cellStyle name="Input 17 3 3 2 2 4 2" xfId="17738"/>
    <cellStyle name="Input 17 3 3 2 2 5" xfId="17739"/>
    <cellStyle name="Input 17 3 3 2 2 6" xfId="17740"/>
    <cellStyle name="Input 17 3 3 2 2 7" xfId="17741"/>
    <cellStyle name="Input 17 3 3 2 3" xfId="17742"/>
    <cellStyle name="Input 17 3 3 2 3 2" xfId="17743"/>
    <cellStyle name="Input 17 3 3 2 3 2 2" xfId="17744"/>
    <cellStyle name="Input 17 3 3 2 3 3" xfId="17745"/>
    <cellStyle name="Input 17 3 3 2 3 3 2" xfId="17746"/>
    <cellStyle name="Input 17 3 3 2 3 4" xfId="17747"/>
    <cellStyle name="Input 17 3 3 2 3 5" xfId="17748"/>
    <cellStyle name="Input 17 3 3 2 3 6" xfId="17749"/>
    <cellStyle name="Input 17 3 3 2 4" xfId="17750"/>
    <cellStyle name="Input 17 3 3 2 4 2" xfId="17751"/>
    <cellStyle name="Input 17 3 3 2 5" xfId="17752"/>
    <cellStyle name="Input 17 3 3 2 5 2" xfId="17753"/>
    <cellStyle name="Input 17 3 3 2 6" xfId="17754"/>
    <cellStyle name="Input 17 3 3 2 7" xfId="17755"/>
    <cellStyle name="Input 17 3 3 2 8" xfId="17756"/>
    <cellStyle name="Input 17 3 3 3" xfId="17757"/>
    <cellStyle name="Input 17 3 3 3 2" xfId="17758"/>
    <cellStyle name="Input 17 3 3 3 2 2" xfId="17759"/>
    <cellStyle name="Input 17 3 3 3 2 2 2" xfId="17760"/>
    <cellStyle name="Input 17 3 3 3 2 2 2 2" xfId="17761"/>
    <cellStyle name="Input 17 3 3 3 2 2 3" xfId="17762"/>
    <cellStyle name="Input 17 3 3 3 2 2 3 2" xfId="17763"/>
    <cellStyle name="Input 17 3 3 3 2 2 4" xfId="17764"/>
    <cellStyle name="Input 17 3 3 3 2 2 5" xfId="17765"/>
    <cellStyle name="Input 17 3 3 3 2 2 6" xfId="17766"/>
    <cellStyle name="Input 17 3 3 3 2 3" xfId="17767"/>
    <cellStyle name="Input 17 3 3 3 2 3 2" xfId="17768"/>
    <cellStyle name="Input 17 3 3 3 2 4" xfId="17769"/>
    <cellStyle name="Input 17 3 3 3 2 4 2" xfId="17770"/>
    <cellStyle name="Input 17 3 3 3 2 5" xfId="17771"/>
    <cellStyle name="Input 17 3 3 3 2 6" xfId="17772"/>
    <cellStyle name="Input 17 3 3 3 2 7" xfId="17773"/>
    <cellStyle name="Input 17 3 3 3 3" xfId="17774"/>
    <cellStyle name="Input 17 3 3 3 3 2" xfId="17775"/>
    <cellStyle name="Input 17 3 3 3 3 2 2" xfId="17776"/>
    <cellStyle name="Input 17 3 3 3 3 3" xfId="17777"/>
    <cellStyle name="Input 17 3 3 3 3 3 2" xfId="17778"/>
    <cellStyle name="Input 17 3 3 3 3 4" xfId="17779"/>
    <cellStyle name="Input 17 3 3 3 3 5" xfId="17780"/>
    <cellStyle name="Input 17 3 3 3 3 6" xfId="17781"/>
    <cellStyle name="Input 17 3 3 3 4" xfId="17782"/>
    <cellStyle name="Input 17 3 3 3 4 2" xfId="17783"/>
    <cellStyle name="Input 17 3 3 3 5" xfId="17784"/>
    <cellStyle name="Input 17 3 3 3 5 2" xfId="17785"/>
    <cellStyle name="Input 17 3 3 3 6" xfId="17786"/>
    <cellStyle name="Input 17 3 3 3 7" xfId="17787"/>
    <cellStyle name="Input 17 3 3 3 8" xfId="17788"/>
    <cellStyle name="Input 17 3 3 4" xfId="17789"/>
    <cellStyle name="Input 17 3 3 4 2" xfId="17790"/>
    <cellStyle name="Input 17 3 3 4 2 2" xfId="17791"/>
    <cellStyle name="Input 17 3 3 4 2 2 2" xfId="17792"/>
    <cellStyle name="Input 17 3 3 4 2 3" xfId="17793"/>
    <cellStyle name="Input 17 3 3 4 2 3 2" xfId="17794"/>
    <cellStyle name="Input 17 3 3 4 2 4" xfId="17795"/>
    <cellStyle name="Input 17 3 3 4 2 5" xfId="17796"/>
    <cellStyle name="Input 17 3 3 4 2 6" xfId="17797"/>
    <cellStyle name="Input 17 3 3 4 3" xfId="17798"/>
    <cellStyle name="Input 17 3 3 4 3 2" xfId="17799"/>
    <cellStyle name="Input 17 3 3 4 4" xfId="17800"/>
    <cellStyle name="Input 17 3 3 4 4 2" xfId="17801"/>
    <cellStyle name="Input 17 3 3 4 5" xfId="17802"/>
    <cellStyle name="Input 17 3 3 4 6" xfId="17803"/>
    <cellStyle name="Input 17 3 3 4 7" xfId="17804"/>
    <cellStyle name="Input 17 3 3 5" xfId="17805"/>
    <cellStyle name="Input 17 3 3 5 2" xfId="17806"/>
    <cellStyle name="Input 17 3 3 5 2 2" xfId="17807"/>
    <cellStyle name="Input 17 3 3 5 3" xfId="17808"/>
    <cellStyle name="Input 17 3 3 5 3 2" xfId="17809"/>
    <cellStyle name="Input 17 3 3 5 4" xfId="17810"/>
    <cellStyle name="Input 17 3 3 5 5" xfId="17811"/>
    <cellStyle name="Input 17 3 3 5 6" xfId="17812"/>
    <cellStyle name="Input 17 3 3 6" xfId="17813"/>
    <cellStyle name="Input 17 3 3 6 2" xfId="17814"/>
    <cellStyle name="Input 17 3 3 7" xfId="17815"/>
    <cellStyle name="Input 17 3 3 7 2" xfId="17816"/>
    <cellStyle name="Input 17 3 3 8" xfId="17817"/>
    <cellStyle name="Input 17 3 3 9" xfId="17818"/>
    <cellStyle name="Input 17 3 4" xfId="17819"/>
    <cellStyle name="Input 17 3 4 2" xfId="17820"/>
    <cellStyle name="Input 17 3 4 2 2" xfId="17821"/>
    <cellStyle name="Input 17 3 4 2 2 2" xfId="17822"/>
    <cellStyle name="Input 17 3 4 2 2 2 2" xfId="17823"/>
    <cellStyle name="Input 17 3 4 2 2 3" xfId="17824"/>
    <cellStyle name="Input 17 3 4 2 2 3 2" xfId="17825"/>
    <cellStyle name="Input 17 3 4 2 2 4" xfId="17826"/>
    <cellStyle name="Input 17 3 4 2 2 5" xfId="17827"/>
    <cellStyle name="Input 17 3 4 2 2 6" xfId="17828"/>
    <cellStyle name="Input 17 3 4 2 3" xfId="17829"/>
    <cellStyle name="Input 17 3 4 2 3 2" xfId="17830"/>
    <cellStyle name="Input 17 3 4 2 4" xfId="17831"/>
    <cellStyle name="Input 17 3 4 2 4 2" xfId="17832"/>
    <cellStyle name="Input 17 3 4 2 5" xfId="17833"/>
    <cellStyle name="Input 17 3 4 2 6" xfId="17834"/>
    <cellStyle name="Input 17 3 4 2 7" xfId="17835"/>
    <cellStyle name="Input 17 3 4 3" xfId="17836"/>
    <cellStyle name="Input 17 3 4 3 2" xfId="17837"/>
    <cellStyle name="Input 17 3 4 3 2 2" xfId="17838"/>
    <cellStyle name="Input 17 3 4 3 3" xfId="17839"/>
    <cellStyle name="Input 17 3 4 3 3 2" xfId="17840"/>
    <cellStyle name="Input 17 3 4 3 4" xfId="17841"/>
    <cellStyle name="Input 17 3 4 3 5" xfId="17842"/>
    <cellStyle name="Input 17 3 4 3 6" xfId="17843"/>
    <cellStyle name="Input 17 3 4 4" xfId="17844"/>
    <cellStyle name="Input 17 3 4 4 2" xfId="17845"/>
    <cellStyle name="Input 17 3 4 5" xfId="17846"/>
    <cellStyle name="Input 17 3 4 5 2" xfId="17847"/>
    <cellStyle name="Input 17 3 4 6" xfId="17848"/>
    <cellStyle name="Input 17 3 4 7" xfId="17849"/>
    <cellStyle name="Input 17 3 4 8" xfId="17850"/>
    <cellStyle name="Input 17 3 5" xfId="17851"/>
    <cellStyle name="Input 17 3 5 2" xfId="17852"/>
    <cellStyle name="Input 17 3 5 2 2" xfId="17853"/>
    <cellStyle name="Input 17 3 5 2 2 2" xfId="17854"/>
    <cellStyle name="Input 17 3 5 2 3" xfId="17855"/>
    <cellStyle name="Input 17 3 5 2 3 2" xfId="17856"/>
    <cellStyle name="Input 17 3 5 2 4" xfId="17857"/>
    <cellStyle name="Input 17 3 5 2 5" xfId="17858"/>
    <cellStyle name="Input 17 3 5 2 6" xfId="17859"/>
    <cellStyle name="Input 17 3 5 3" xfId="17860"/>
    <cellStyle name="Input 17 3 5 3 2" xfId="17861"/>
    <cellStyle name="Input 17 3 5 4" xfId="17862"/>
    <cellStyle name="Input 17 3 5 4 2" xfId="17863"/>
    <cellStyle name="Input 17 3 5 5" xfId="17864"/>
    <cellStyle name="Input 17 3 5 6" xfId="17865"/>
    <cellStyle name="Input 17 3 5 7" xfId="17866"/>
    <cellStyle name="Input 17 3 6" xfId="17867"/>
    <cellStyle name="Input 17 3 6 2" xfId="17868"/>
    <cellStyle name="Input 17 3 6 2 2" xfId="17869"/>
    <cellStyle name="Input 17 3 6 3" xfId="17870"/>
    <cellStyle name="Input 17 3 6 3 2" xfId="17871"/>
    <cellStyle name="Input 17 3 6 4" xfId="17872"/>
    <cellStyle name="Input 17 3 6 5" xfId="17873"/>
    <cellStyle name="Input 17 3 6 6" xfId="17874"/>
    <cellStyle name="Input 17 3 7" xfId="17875"/>
    <cellStyle name="Input 17 3 7 2" xfId="17876"/>
    <cellStyle name="Input 17 3 8" xfId="17877"/>
    <cellStyle name="Input 17 3 8 2" xfId="17878"/>
    <cellStyle name="Input 17 3 9" xfId="17879"/>
    <cellStyle name="Input 17 4" xfId="17880"/>
    <cellStyle name="Input 17 4 10" xfId="17881"/>
    <cellStyle name="Input 17 4 11" xfId="17882"/>
    <cellStyle name="Input 17 4 2" xfId="17883"/>
    <cellStyle name="Input 17 4 2 10" xfId="17884"/>
    <cellStyle name="Input 17 4 2 2" xfId="17885"/>
    <cellStyle name="Input 17 4 2 2 2" xfId="17886"/>
    <cellStyle name="Input 17 4 2 2 2 2" xfId="17887"/>
    <cellStyle name="Input 17 4 2 2 2 2 2" xfId="17888"/>
    <cellStyle name="Input 17 4 2 2 2 2 2 2" xfId="17889"/>
    <cellStyle name="Input 17 4 2 2 2 2 3" xfId="17890"/>
    <cellStyle name="Input 17 4 2 2 2 2 3 2" xfId="17891"/>
    <cellStyle name="Input 17 4 2 2 2 2 4" xfId="17892"/>
    <cellStyle name="Input 17 4 2 2 2 2 5" xfId="17893"/>
    <cellStyle name="Input 17 4 2 2 2 2 6" xfId="17894"/>
    <cellStyle name="Input 17 4 2 2 2 3" xfId="17895"/>
    <cellStyle name="Input 17 4 2 2 2 3 2" xfId="17896"/>
    <cellStyle name="Input 17 4 2 2 2 4" xfId="17897"/>
    <cellStyle name="Input 17 4 2 2 2 4 2" xfId="17898"/>
    <cellStyle name="Input 17 4 2 2 2 5" xfId="17899"/>
    <cellStyle name="Input 17 4 2 2 2 6" xfId="17900"/>
    <cellStyle name="Input 17 4 2 2 2 7" xfId="17901"/>
    <cellStyle name="Input 17 4 2 2 3" xfId="17902"/>
    <cellStyle name="Input 17 4 2 2 3 2" xfId="17903"/>
    <cellStyle name="Input 17 4 2 2 3 2 2" xfId="17904"/>
    <cellStyle name="Input 17 4 2 2 3 3" xfId="17905"/>
    <cellStyle name="Input 17 4 2 2 3 3 2" xfId="17906"/>
    <cellStyle name="Input 17 4 2 2 3 4" xfId="17907"/>
    <cellStyle name="Input 17 4 2 2 3 5" xfId="17908"/>
    <cellStyle name="Input 17 4 2 2 3 6" xfId="17909"/>
    <cellStyle name="Input 17 4 2 2 4" xfId="17910"/>
    <cellStyle name="Input 17 4 2 2 4 2" xfId="17911"/>
    <cellStyle name="Input 17 4 2 2 5" xfId="17912"/>
    <cellStyle name="Input 17 4 2 2 5 2" xfId="17913"/>
    <cellStyle name="Input 17 4 2 2 6" xfId="17914"/>
    <cellStyle name="Input 17 4 2 2 7" xfId="17915"/>
    <cellStyle name="Input 17 4 2 2 8" xfId="17916"/>
    <cellStyle name="Input 17 4 2 3" xfId="17917"/>
    <cellStyle name="Input 17 4 2 3 2" xfId="17918"/>
    <cellStyle name="Input 17 4 2 3 2 2" xfId="17919"/>
    <cellStyle name="Input 17 4 2 3 2 2 2" xfId="17920"/>
    <cellStyle name="Input 17 4 2 3 2 2 2 2" xfId="17921"/>
    <cellStyle name="Input 17 4 2 3 2 2 3" xfId="17922"/>
    <cellStyle name="Input 17 4 2 3 2 2 3 2" xfId="17923"/>
    <cellStyle name="Input 17 4 2 3 2 2 4" xfId="17924"/>
    <cellStyle name="Input 17 4 2 3 2 2 5" xfId="17925"/>
    <cellStyle name="Input 17 4 2 3 2 2 6" xfId="17926"/>
    <cellStyle name="Input 17 4 2 3 2 3" xfId="17927"/>
    <cellStyle name="Input 17 4 2 3 2 3 2" xfId="17928"/>
    <cellStyle name="Input 17 4 2 3 2 4" xfId="17929"/>
    <cellStyle name="Input 17 4 2 3 2 4 2" xfId="17930"/>
    <cellStyle name="Input 17 4 2 3 2 5" xfId="17931"/>
    <cellStyle name="Input 17 4 2 3 2 6" xfId="17932"/>
    <cellStyle name="Input 17 4 2 3 2 7" xfId="17933"/>
    <cellStyle name="Input 17 4 2 3 3" xfId="17934"/>
    <cellStyle name="Input 17 4 2 3 3 2" xfId="17935"/>
    <cellStyle name="Input 17 4 2 3 3 2 2" xfId="17936"/>
    <cellStyle name="Input 17 4 2 3 3 3" xfId="17937"/>
    <cellStyle name="Input 17 4 2 3 3 3 2" xfId="17938"/>
    <cellStyle name="Input 17 4 2 3 3 4" xfId="17939"/>
    <cellStyle name="Input 17 4 2 3 3 5" xfId="17940"/>
    <cellStyle name="Input 17 4 2 3 3 6" xfId="17941"/>
    <cellStyle name="Input 17 4 2 3 4" xfId="17942"/>
    <cellStyle name="Input 17 4 2 3 4 2" xfId="17943"/>
    <cellStyle name="Input 17 4 2 3 5" xfId="17944"/>
    <cellStyle name="Input 17 4 2 3 5 2" xfId="17945"/>
    <cellStyle name="Input 17 4 2 3 6" xfId="17946"/>
    <cellStyle name="Input 17 4 2 3 7" xfId="17947"/>
    <cellStyle name="Input 17 4 2 3 8" xfId="17948"/>
    <cellStyle name="Input 17 4 2 4" xfId="17949"/>
    <cellStyle name="Input 17 4 2 4 2" xfId="17950"/>
    <cellStyle name="Input 17 4 2 4 2 2" xfId="17951"/>
    <cellStyle name="Input 17 4 2 4 2 2 2" xfId="17952"/>
    <cellStyle name="Input 17 4 2 4 2 3" xfId="17953"/>
    <cellStyle name="Input 17 4 2 4 2 3 2" xfId="17954"/>
    <cellStyle name="Input 17 4 2 4 2 4" xfId="17955"/>
    <cellStyle name="Input 17 4 2 4 2 5" xfId="17956"/>
    <cellStyle name="Input 17 4 2 4 2 6" xfId="17957"/>
    <cellStyle name="Input 17 4 2 4 3" xfId="17958"/>
    <cellStyle name="Input 17 4 2 4 3 2" xfId="17959"/>
    <cellStyle name="Input 17 4 2 4 4" xfId="17960"/>
    <cellStyle name="Input 17 4 2 4 4 2" xfId="17961"/>
    <cellStyle name="Input 17 4 2 4 5" xfId="17962"/>
    <cellStyle name="Input 17 4 2 4 6" xfId="17963"/>
    <cellStyle name="Input 17 4 2 4 7" xfId="17964"/>
    <cellStyle name="Input 17 4 2 5" xfId="17965"/>
    <cellStyle name="Input 17 4 2 5 2" xfId="17966"/>
    <cellStyle name="Input 17 4 2 5 2 2" xfId="17967"/>
    <cellStyle name="Input 17 4 2 5 3" xfId="17968"/>
    <cellStyle name="Input 17 4 2 5 3 2" xfId="17969"/>
    <cellStyle name="Input 17 4 2 5 4" xfId="17970"/>
    <cellStyle name="Input 17 4 2 5 5" xfId="17971"/>
    <cellStyle name="Input 17 4 2 5 6" xfId="17972"/>
    <cellStyle name="Input 17 4 2 6" xfId="17973"/>
    <cellStyle name="Input 17 4 2 6 2" xfId="17974"/>
    <cellStyle name="Input 17 4 2 7" xfId="17975"/>
    <cellStyle name="Input 17 4 2 7 2" xfId="17976"/>
    <cellStyle name="Input 17 4 2 8" xfId="17977"/>
    <cellStyle name="Input 17 4 2 9" xfId="17978"/>
    <cellStyle name="Input 17 4 3" xfId="17979"/>
    <cellStyle name="Input 17 4 3 2" xfId="17980"/>
    <cellStyle name="Input 17 4 3 2 2" xfId="17981"/>
    <cellStyle name="Input 17 4 3 2 2 2" xfId="17982"/>
    <cellStyle name="Input 17 4 3 2 2 2 2" xfId="17983"/>
    <cellStyle name="Input 17 4 3 2 2 3" xfId="17984"/>
    <cellStyle name="Input 17 4 3 2 2 3 2" xfId="17985"/>
    <cellStyle name="Input 17 4 3 2 2 4" xfId="17986"/>
    <cellStyle name="Input 17 4 3 2 2 5" xfId="17987"/>
    <cellStyle name="Input 17 4 3 2 2 6" xfId="17988"/>
    <cellStyle name="Input 17 4 3 2 3" xfId="17989"/>
    <cellStyle name="Input 17 4 3 2 3 2" xfId="17990"/>
    <cellStyle name="Input 17 4 3 2 4" xfId="17991"/>
    <cellStyle name="Input 17 4 3 2 4 2" xfId="17992"/>
    <cellStyle name="Input 17 4 3 2 5" xfId="17993"/>
    <cellStyle name="Input 17 4 3 2 6" xfId="17994"/>
    <cellStyle name="Input 17 4 3 2 7" xfId="17995"/>
    <cellStyle name="Input 17 4 3 3" xfId="17996"/>
    <cellStyle name="Input 17 4 3 3 2" xfId="17997"/>
    <cellStyle name="Input 17 4 3 3 2 2" xfId="17998"/>
    <cellStyle name="Input 17 4 3 3 3" xfId="17999"/>
    <cellStyle name="Input 17 4 3 3 3 2" xfId="18000"/>
    <cellStyle name="Input 17 4 3 3 4" xfId="18001"/>
    <cellStyle name="Input 17 4 3 3 5" xfId="18002"/>
    <cellStyle name="Input 17 4 3 3 6" xfId="18003"/>
    <cellStyle name="Input 17 4 3 4" xfId="18004"/>
    <cellStyle name="Input 17 4 3 4 2" xfId="18005"/>
    <cellStyle name="Input 17 4 3 5" xfId="18006"/>
    <cellStyle name="Input 17 4 3 5 2" xfId="18007"/>
    <cellStyle name="Input 17 4 3 6" xfId="18008"/>
    <cellStyle name="Input 17 4 3 7" xfId="18009"/>
    <cellStyle name="Input 17 4 3 8" xfId="18010"/>
    <cellStyle name="Input 17 4 4" xfId="18011"/>
    <cellStyle name="Input 17 4 4 2" xfId="18012"/>
    <cellStyle name="Input 17 4 4 2 2" xfId="18013"/>
    <cellStyle name="Input 17 4 4 2 2 2" xfId="18014"/>
    <cellStyle name="Input 17 4 4 2 2 2 2" xfId="18015"/>
    <cellStyle name="Input 17 4 4 2 2 3" xfId="18016"/>
    <cellStyle name="Input 17 4 4 2 2 3 2" xfId="18017"/>
    <cellStyle name="Input 17 4 4 2 2 4" xfId="18018"/>
    <cellStyle name="Input 17 4 4 2 2 5" xfId="18019"/>
    <cellStyle name="Input 17 4 4 2 2 6" xfId="18020"/>
    <cellStyle name="Input 17 4 4 2 3" xfId="18021"/>
    <cellStyle name="Input 17 4 4 2 3 2" xfId="18022"/>
    <cellStyle name="Input 17 4 4 2 4" xfId="18023"/>
    <cellStyle name="Input 17 4 4 2 4 2" xfId="18024"/>
    <cellStyle name="Input 17 4 4 2 5" xfId="18025"/>
    <cellStyle name="Input 17 4 4 2 6" xfId="18026"/>
    <cellStyle name="Input 17 4 4 2 7" xfId="18027"/>
    <cellStyle name="Input 17 4 4 3" xfId="18028"/>
    <cellStyle name="Input 17 4 4 3 2" xfId="18029"/>
    <cellStyle name="Input 17 4 4 3 2 2" xfId="18030"/>
    <cellStyle name="Input 17 4 4 3 3" xfId="18031"/>
    <cellStyle name="Input 17 4 4 3 3 2" xfId="18032"/>
    <cellStyle name="Input 17 4 4 3 4" xfId="18033"/>
    <cellStyle name="Input 17 4 4 3 5" xfId="18034"/>
    <cellStyle name="Input 17 4 4 3 6" xfId="18035"/>
    <cellStyle name="Input 17 4 4 4" xfId="18036"/>
    <cellStyle name="Input 17 4 4 4 2" xfId="18037"/>
    <cellStyle name="Input 17 4 4 5" xfId="18038"/>
    <cellStyle name="Input 17 4 4 5 2" xfId="18039"/>
    <cellStyle name="Input 17 4 4 6" xfId="18040"/>
    <cellStyle name="Input 17 4 4 7" xfId="18041"/>
    <cellStyle name="Input 17 4 4 8" xfId="18042"/>
    <cellStyle name="Input 17 4 5" xfId="18043"/>
    <cellStyle name="Input 17 4 5 2" xfId="18044"/>
    <cellStyle name="Input 17 4 5 2 2" xfId="18045"/>
    <cellStyle name="Input 17 4 5 2 2 2" xfId="18046"/>
    <cellStyle name="Input 17 4 5 2 3" xfId="18047"/>
    <cellStyle name="Input 17 4 5 2 3 2" xfId="18048"/>
    <cellStyle name="Input 17 4 5 2 4" xfId="18049"/>
    <cellStyle name="Input 17 4 5 2 5" xfId="18050"/>
    <cellStyle name="Input 17 4 5 2 6" xfId="18051"/>
    <cellStyle name="Input 17 4 5 3" xfId="18052"/>
    <cellStyle name="Input 17 4 5 3 2" xfId="18053"/>
    <cellStyle name="Input 17 4 5 4" xfId="18054"/>
    <cellStyle name="Input 17 4 5 4 2" xfId="18055"/>
    <cellStyle name="Input 17 4 5 5" xfId="18056"/>
    <cellStyle name="Input 17 4 5 6" xfId="18057"/>
    <cellStyle name="Input 17 4 5 7" xfId="18058"/>
    <cellStyle name="Input 17 4 6" xfId="18059"/>
    <cellStyle name="Input 17 4 6 2" xfId="18060"/>
    <cellStyle name="Input 17 4 6 2 2" xfId="18061"/>
    <cellStyle name="Input 17 4 6 3" xfId="18062"/>
    <cellStyle name="Input 17 4 6 3 2" xfId="18063"/>
    <cellStyle name="Input 17 4 6 4" xfId="18064"/>
    <cellStyle name="Input 17 4 6 5" xfId="18065"/>
    <cellStyle name="Input 17 4 6 6" xfId="18066"/>
    <cellStyle name="Input 17 4 7" xfId="18067"/>
    <cellStyle name="Input 17 4 7 2" xfId="18068"/>
    <cellStyle name="Input 17 4 8" xfId="18069"/>
    <cellStyle name="Input 17 4 8 2" xfId="18070"/>
    <cellStyle name="Input 17 4 9" xfId="18071"/>
    <cellStyle name="Input 17 5" xfId="18072"/>
    <cellStyle name="Input 17 5 10" xfId="18073"/>
    <cellStyle name="Input 17 5 2" xfId="18074"/>
    <cellStyle name="Input 17 5 2 2" xfId="18075"/>
    <cellStyle name="Input 17 5 2 2 2" xfId="18076"/>
    <cellStyle name="Input 17 5 2 2 2 2" xfId="18077"/>
    <cellStyle name="Input 17 5 2 2 2 2 2" xfId="18078"/>
    <cellStyle name="Input 17 5 2 2 2 3" xfId="18079"/>
    <cellStyle name="Input 17 5 2 2 2 3 2" xfId="18080"/>
    <cellStyle name="Input 17 5 2 2 2 4" xfId="18081"/>
    <cellStyle name="Input 17 5 2 2 2 5" xfId="18082"/>
    <cellStyle name="Input 17 5 2 2 2 6" xfId="18083"/>
    <cellStyle name="Input 17 5 2 2 3" xfId="18084"/>
    <cellStyle name="Input 17 5 2 2 3 2" xfId="18085"/>
    <cellStyle name="Input 17 5 2 2 4" xfId="18086"/>
    <cellStyle name="Input 17 5 2 2 4 2" xfId="18087"/>
    <cellStyle name="Input 17 5 2 2 5" xfId="18088"/>
    <cellStyle name="Input 17 5 2 2 6" xfId="18089"/>
    <cellStyle name="Input 17 5 2 2 7" xfId="18090"/>
    <cellStyle name="Input 17 5 2 3" xfId="18091"/>
    <cellStyle name="Input 17 5 2 3 2" xfId="18092"/>
    <cellStyle name="Input 17 5 2 3 2 2" xfId="18093"/>
    <cellStyle name="Input 17 5 2 3 3" xfId="18094"/>
    <cellStyle name="Input 17 5 2 3 3 2" xfId="18095"/>
    <cellStyle name="Input 17 5 2 3 4" xfId="18096"/>
    <cellStyle name="Input 17 5 2 3 5" xfId="18097"/>
    <cellStyle name="Input 17 5 2 3 6" xfId="18098"/>
    <cellStyle name="Input 17 5 2 4" xfId="18099"/>
    <cellStyle name="Input 17 5 2 4 2" xfId="18100"/>
    <cellStyle name="Input 17 5 2 5" xfId="18101"/>
    <cellStyle name="Input 17 5 2 5 2" xfId="18102"/>
    <cellStyle name="Input 17 5 2 6" xfId="18103"/>
    <cellStyle name="Input 17 5 2 7" xfId="18104"/>
    <cellStyle name="Input 17 5 2 8" xfId="18105"/>
    <cellStyle name="Input 17 5 3" xfId="18106"/>
    <cellStyle name="Input 17 5 3 2" xfId="18107"/>
    <cellStyle name="Input 17 5 3 2 2" xfId="18108"/>
    <cellStyle name="Input 17 5 3 2 2 2" xfId="18109"/>
    <cellStyle name="Input 17 5 3 2 2 2 2" xfId="18110"/>
    <cellStyle name="Input 17 5 3 2 2 3" xfId="18111"/>
    <cellStyle name="Input 17 5 3 2 2 3 2" xfId="18112"/>
    <cellStyle name="Input 17 5 3 2 2 4" xfId="18113"/>
    <cellStyle name="Input 17 5 3 2 2 5" xfId="18114"/>
    <cellStyle name="Input 17 5 3 2 2 6" xfId="18115"/>
    <cellStyle name="Input 17 5 3 2 3" xfId="18116"/>
    <cellStyle name="Input 17 5 3 2 3 2" xfId="18117"/>
    <cellStyle name="Input 17 5 3 2 4" xfId="18118"/>
    <cellStyle name="Input 17 5 3 2 4 2" xfId="18119"/>
    <cellStyle name="Input 17 5 3 2 5" xfId="18120"/>
    <cellStyle name="Input 17 5 3 2 6" xfId="18121"/>
    <cellStyle name="Input 17 5 3 2 7" xfId="18122"/>
    <cellStyle name="Input 17 5 3 3" xfId="18123"/>
    <cellStyle name="Input 17 5 3 3 2" xfId="18124"/>
    <cellStyle name="Input 17 5 3 3 2 2" xfId="18125"/>
    <cellStyle name="Input 17 5 3 3 3" xfId="18126"/>
    <cellStyle name="Input 17 5 3 3 3 2" xfId="18127"/>
    <cellStyle name="Input 17 5 3 3 4" xfId="18128"/>
    <cellStyle name="Input 17 5 3 3 5" xfId="18129"/>
    <cellStyle name="Input 17 5 3 3 6" xfId="18130"/>
    <cellStyle name="Input 17 5 3 4" xfId="18131"/>
    <cellStyle name="Input 17 5 3 4 2" xfId="18132"/>
    <cellStyle name="Input 17 5 3 5" xfId="18133"/>
    <cellStyle name="Input 17 5 3 5 2" xfId="18134"/>
    <cellStyle name="Input 17 5 3 6" xfId="18135"/>
    <cellStyle name="Input 17 5 3 7" xfId="18136"/>
    <cellStyle name="Input 17 5 3 8" xfId="18137"/>
    <cellStyle name="Input 17 5 4" xfId="18138"/>
    <cellStyle name="Input 17 5 4 2" xfId="18139"/>
    <cellStyle name="Input 17 5 4 2 2" xfId="18140"/>
    <cellStyle name="Input 17 5 4 2 2 2" xfId="18141"/>
    <cellStyle name="Input 17 5 4 2 3" xfId="18142"/>
    <cellStyle name="Input 17 5 4 2 3 2" xfId="18143"/>
    <cellStyle name="Input 17 5 4 2 4" xfId="18144"/>
    <cellStyle name="Input 17 5 4 2 5" xfId="18145"/>
    <cellStyle name="Input 17 5 4 2 6" xfId="18146"/>
    <cellStyle name="Input 17 5 4 3" xfId="18147"/>
    <cellStyle name="Input 17 5 4 3 2" xfId="18148"/>
    <cellStyle name="Input 17 5 4 4" xfId="18149"/>
    <cellStyle name="Input 17 5 4 4 2" xfId="18150"/>
    <cellStyle name="Input 17 5 4 5" xfId="18151"/>
    <cellStyle name="Input 17 5 4 6" xfId="18152"/>
    <cellStyle name="Input 17 5 4 7" xfId="18153"/>
    <cellStyle name="Input 17 5 5" xfId="18154"/>
    <cellStyle name="Input 17 5 5 2" xfId="18155"/>
    <cellStyle name="Input 17 5 5 2 2" xfId="18156"/>
    <cellStyle name="Input 17 5 5 3" xfId="18157"/>
    <cellStyle name="Input 17 5 5 3 2" xfId="18158"/>
    <cellStyle name="Input 17 5 5 4" xfId="18159"/>
    <cellStyle name="Input 17 5 5 5" xfId="18160"/>
    <cellStyle name="Input 17 5 5 6" xfId="18161"/>
    <cellStyle name="Input 17 5 6" xfId="18162"/>
    <cellStyle name="Input 17 5 6 2" xfId="18163"/>
    <cellStyle name="Input 17 5 7" xfId="18164"/>
    <cellStyle name="Input 17 5 7 2" xfId="18165"/>
    <cellStyle name="Input 17 5 8" xfId="18166"/>
    <cellStyle name="Input 17 5 9" xfId="18167"/>
    <cellStyle name="Input 17 6" xfId="18168"/>
    <cellStyle name="Input 17 6 2" xfId="18169"/>
    <cellStyle name="Input 17 6 2 2" xfId="18170"/>
    <cellStyle name="Input 17 6 2 2 2" xfId="18171"/>
    <cellStyle name="Input 17 6 2 2 2 2" xfId="18172"/>
    <cellStyle name="Input 17 6 2 2 3" xfId="18173"/>
    <cellStyle name="Input 17 6 2 2 3 2" xfId="18174"/>
    <cellStyle name="Input 17 6 2 2 4" xfId="18175"/>
    <cellStyle name="Input 17 6 2 2 5" xfId="18176"/>
    <cellStyle name="Input 17 6 2 2 6" xfId="18177"/>
    <cellStyle name="Input 17 6 2 3" xfId="18178"/>
    <cellStyle name="Input 17 6 2 3 2" xfId="18179"/>
    <cellStyle name="Input 17 6 2 4" xfId="18180"/>
    <cellStyle name="Input 17 6 2 4 2" xfId="18181"/>
    <cellStyle name="Input 17 6 2 5" xfId="18182"/>
    <cellStyle name="Input 17 6 2 6" xfId="18183"/>
    <cellStyle name="Input 17 6 2 7" xfId="18184"/>
    <cellStyle name="Input 17 6 3" xfId="18185"/>
    <cellStyle name="Input 17 6 3 2" xfId="18186"/>
    <cellStyle name="Input 17 6 3 2 2" xfId="18187"/>
    <cellStyle name="Input 17 6 3 3" xfId="18188"/>
    <cellStyle name="Input 17 6 3 3 2" xfId="18189"/>
    <cellStyle name="Input 17 6 3 4" xfId="18190"/>
    <cellStyle name="Input 17 6 3 5" xfId="18191"/>
    <cellStyle name="Input 17 6 3 6" xfId="18192"/>
    <cellStyle name="Input 17 6 4" xfId="18193"/>
    <cellStyle name="Input 17 6 4 2" xfId="18194"/>
    <cellStyle name="Input 17 6 5" xfId="18195"/>
    <cellStyle name="Input 17 6 5 2" xfId="18196"/>
    <cellStyle name="Input 17 6 6" xfId="18197"/>
    <cellStyle name="Input 17 6 7" xfId="18198"/>
    <cellStyle name="Input 17 6 8" xfId="18199"/>
    <cellStyle name="Input 17 7" xfId="18200"/>
    <cellStyle name="Input 17 7 2" xfId="18201"/>
    <cellStyle name="Input 17 7 2 2" xfId="18202"/>
    <cellStyle name="Input 17 7 2 2 2" xfId="18203"/>
    <cellStyle name="Input 17 7 2 3" xfId="18204"/>
    <cellStyle name="Input 17 7 2 3 2" xfId="18205"/>
    <cellStyle name="Input 17 7 2 4" xfId="18206"/>
    <cellStyle name="Input 17 7 2 5" xfId="18207"/>
    <cellStyle name="Input 17 7 2 6" xfId="18208"/>
    <cellStyle name="Input 17 7 3" xfId="18209"/>
    <cellStyle name="Input 17 7 3 2" xfId="18210"/>
    <cellStyle name="Input 17 7 4" xfId="18211"/>
    <cellStyle name="Input 17 7 4 2" xfId="18212"/>
    <cellStyle name="Input 17 7 5" xfId="18213"/>
    <cellStyle name="Input 17 7 6" xfId="18214"/>
    <cellStyle name="Input 17 7 7" xfId="18215"/>
    <cellStyle name="Input 17 8" xfId="18216"/>
    <cellStyle name="Input 17 8 2" xfId="18217"/>
    <cellStyle name="Input 17 9" xfId="18218"/>
    <cellStyle name="Input 17 9 2" xfId="18219"/>
    <cellStyle name="Input 18" xfId="18220"/>
    <cellStyle name="Input 18 10" xfId="18221"/>
    <cellStyle name="Input 18 11" xfId="18222"/>
    <cellStyle name="Input 18 12" xfId="18223"/>
    <cellStyle name="Input 18 2" xfId="18224"/>
    <cellStyle name="Input 18 2 10" xfId="18225"/>
    <cellStyle name="Input 18 2 11" xfId="18226"/>
    <cellStyle name="Input 18 2 2" xfId="18227"/>
    <cellStyle name="Input 18 2 2 10" xfId="18228"/>
    <cellStyle name="Input 18 2 2 2" xfId="18229"/>
    <cellStyle name="Input 18 2 2 2 2" xfId="18230"/>
    <cellStyle name="Input 18 2 2 2 2 2" xfId="18231"/>
    <cellStyle name="Input 18 2 2 2 2 2 2" xfId="18232"/>
    <cellStyle name="Input 18 2 2 2 2 2 2 2" xfId="18233"/>
    <cellStyle name="Input 18 2 2 2 2 2 3" xfId="18234"/>
    <cellStyle name="Input 18 2 2 2 2 2 3 2" xfId="18235"/>
    <cellStyle name="Input 18 2 2 2 2 2 4" xfId="18236"/>
    <cellStyle name="Input 18 2 2 2 2 2 5" xfId="18237"/>
    <cellStyle name="Input 18 2 2 2 2 2 6" xfId="18238"/>
    <cellStyle name="Input 18 2 2 2 2 3" xfId="18239"/>
    <cellStyle name="Input 18 2 2 2 2 3 2" xfId="18240"/>
    <cellStyle name="Input 18 2 2 2 2 4" xfId="18241"/>
    <cellStyle name="Input 18 2 2 2 2 4 2" xfId="18242"/>
    <cellStyle name="Input 18 2 2 2 2 5" xfId="18243"/>
    <cellStyle name="Input 18 2 2 2 2 6" xfId="18244"/>
    <cellStyle name="Input 18 2 2 2 2 7" xfId="18245"/>
    <cellStyle name="Input 18 2 2 2 3" xfId="18246"/>
    <cellStyle name="Input 18 2 2 2 3 2" xfId="18247"/>
    <cellStyle name="Input 18 2 2 2 3 2 2" xfId="18248"/>
    <cellStyle name="Input 18 2 2 2 3 3" xfId="18249"/>
    <cellStyle name="Input 18 2 2 2 3 3 2" xfId="18250"/>
    <cellStyle name="Input 18 2 2 2 3 4" xfId="18251"/>
    <cellStyle name="Input 18 2 2 2 3 5" xfId="18252"/>
    <cellStyle name="Input 18 2 2 2 3 6" xfId="18253"/>
    <cellStyle name="Input 18 2 2 2 4" xfId="18254"/>
    <cellStyle name="Input 18 2 2 2 4 2" xfId="18255"/>
    <cellStyle name="Input 18 2 2 2 5" xfId="18256"/>
    <cellStyle name="Input 18 2 2 2 5 2" xfId="18257"/>
    <cellStyle name="Input 18 2 2 2 6" xfId="18258"/>
    <cellStyle name="Input 18 2 2 2 7" xfId="18259"/>
    <cellStyle name="Input 18 2 2 2 8" xfId="18260"/>
    <cellStyle name="Input 18 2 2 3" xfId="18261"/>
    <cellStyle name="Input 18 2 2 3 2" xfId="18262"/>
    <cellStyle name="Input 18 2 2 3 2 2" xfId="18263"/>
    <cellStyle name="Input 18 2 2 3 2 2 2" xfId="18264"/>
    <cellStyle name="Input 18 2 2 3 2 2 2 2" xfId="18265"/>
    <cellStyle name="Input 18 2 2 3 2 2 3" xfId="18266"/>
    <cellStyle name="Input 18 2 2 3 2 2 3 2" xfId="18267"/>
    <cellStyle name="Input 18 2 2 3 2 2 4" xfId="18268"/>
    <cellStyle name="Input 18 2 2 3 2 2 5" xfId="18269"/>
    <cellStyle name="Input 18 2 2 3 2 2 6" xfId="18270"/>
    <cellStyle name="Input 18 2 2 3 2 3" xfId="18271"/>
    <cellStyle name="Input 18 2 2 3 2 3 2" xfId="18272"/>
    <cellStyle name="Input 18 2 2 3 2 4" xfId="18273"/>
    <cellStyle name="Input 18 2 2 3 2 4 2" xfId="18274"/>
    <cellStyle name="Input 18 2 2 3 2 5" xfId="18275"/>
    <cellStyle name="Input 18 2 2 3 2 6" xfId="18276"/>
    <cellStyle name="Input 18 2 2 3 2 7" xfId="18277"/>
    <cellStyle name="Input 18 2 2 3 3" xfId="18278"/>
    <cellStyle name="Input 18 2 2 3 3 2" xfId="18279"/>
    <cellStyle name="Input 18 2 2 3 3 2 2" xfId="18280"/>
    <cellStyle name="Input 18 2 2 3 3 3" xfId="18281"/>
    <cellStyle name="Input 18 2 2 3 3 3 2" xfId="18282"/>
    <cellStyle name="Input 18 2 2 3 3 4" xfId="18283"/>
    <cellStyle name="Input 18 2 2 3 3 5" xfId="18284"/>
    <cellStyle name="Input 18 2 2 3 3 6" xfId="18285"/>
    <cellStyle name="Input 18 2 2 3 4" xfId="18286"/>
    <cellStyle name="Input 18 2 2 3 4 2" xfId="18287"/>
    <cellStyle name="Input 18 2 2 3 5" xfId="18288"/>
    <cellStyle name="Input 18 2 2 3 5 2" xfId="18289"/>
    <cellStyle name="Input 18 2 2 3 6" xfId="18290"/>
    <cellStyle name="Input 18 2 2 3 7" xfId="18291"/>
    <cellStyle name="Input 18 2 2 3 8" xfId="18292"/>
    <cellStyle name="Input 18 2 2 4" xfId="18293"/>
    <cellStyle name="Input 18 2 2 4 2" xfId="18294"/>
    <cellStyle name="Input 18 2 2 4 2 2" xfId="18295"/>
    <cellStyle name="Input 18 2 2 4 2 2 2" xfId="18296"/>
    <cellStyle name="Input 18 2 2 4 2 3" xfId="18297"/>
    <cellStyle name="Input 18 2 2 4 2 3 2" xfId="18298"/>
    <cellStyle name="Input 18 2 2 4 2 4" xfId="18299"/>
    <cellStyle name="Input 18 2 2 4 2 5" xfId="18300"/>
    <cellStyle name="Input 18 2 2 4 2 6" xfId="18301"/>
    <cellStyle name="Input 18 2 2 4 3" xfId="18302"/>
    <cellStyle name="Input 18 2 2 4 3 2" xfId="18303"/>
    <cellStyle name="Input 18 2 2 4 4" xfId="18304"/>
    <cellStyle name="Input 18 2 2 4 4 2" xfId="18305"/>
    <cellStyle name="Input 18 2 2 4 5" xfId="18306"/>
    <cellStyle name="Input 18 2 2 4 6" xfId="18307"/>
    <cellStyle name="Input 18 2 2 4 7" xfId="18308"/>
    <cellStyle name="Input 18 2 2 5" xfId="18309"/>
    <cellStyle name="Input 18 2 2 5 2" xfId="18310"/>
    <cellStyle name="Input 18 2 2 5 2 2" xfId="18311"/>
    <cellStyle name="Input 18 2 2 5 3" xfId="18312"/>
    <cellStyle name="Input 18 2 2 5 3 2" xfId="18313"/>
    <cellStyle name="Input 18 2 2 5 4" xfId="18314"/>
    <cellStyle name="Input 18 2 2 5 5" xfId="18315"/>
    <cellStyle name="Input 18 2 2 5 6" xfId="18316"/>
    <cellStyle name="Input 18 2 2 6" xfId="18317"/>
    <cellStyle name="Input 18 2 2 6 2" xfId="18318"/>
    <cellStyle name="Input 18 2 2 7" xfId="18319"/>
    <cellStyle name="Input 18 2 2 7 2" xfId="18320"/>
    <cellStyle name="Input 18 2 2 8" xfId="18321"/>
    <cellStyle name="Input 18 2 2 9" xfId="18322"/>
    <cellStyle name="Input 18 2 3" xfId="18323"/>
    <cellStyle name="Input 18 2 3 2" xfId="18324"/>
    <cellStyle name="Input 18 2 3 2 2" xfId="18325"/>
    <cellStyle name="Input 18 2 3 2 2 2" xfId="18326"/>
    <cellStyle name="Input 18 2 3 2 2 2 2" xfId="18327"/>
    <cellStyle name="Input 18 2 3 2 2 3" xfId="18328"/>
    <cellStyle name="Input 18 2 3 2 2 3 2" xfId="18329"/>
    <cellStyle name="Input 18 2 3 2 2 4" xfId="18330"/>
    <cellStyle name="Input 18 2 3 2 2 5" xfId="18331"/>
    <cellStyle name="Input 18 2 3 2 2 6" xfId="18332"/>
    <cellStyle name="Input 18 2 3 2 3" xfId="18333"/>
    <cellStyle name="Input 18 2 3 2 3 2" xfId="18334"/>
    <cellStyle name="Input 18 2 3 2 4" xfId="18335"/>
    <cellStyle name="Input 18 2 3 2 4 2" xfId="18336"/>
    <cellStyle name="Input 18 2 3 2 5" xfId="18337"/>
    <cellStyle name="Input 18 2 3 2 6" xfId="18338"/>
    <cellStyle name="Input 18 2 3 2 7" xfId="18339"/>
    <cellStyle name="Input 18 2 3 3" xfId="18340"/>
    <cellStyle name="Input 18 2 3 3 2" xfId="18341"/>
    <cellStyle name="Input 18 2 3 3 2 2" xfId="18342"/>
    <cellStyle name="Input 18 2 3 3 3" xfId="18343"/>
    <cellStyle name="Input 18 2 3 3 3 2" xfId="18344"/>
    <cellStyle name="Input 18 2 3 3 4" xfId="18345"/>
    <cellStyle name="Input 18 2 3 3 5" xfId="18346"/>
    <cellStyle name="Input 18 2 3 3 6" xfId="18347"/>
    <cellStyle name="Input 18 2 3 4" xfId="18348"/>
    <cellStyle name="Input 18 2 3 4 2" xfId="18349"/>
    <cellStyle name="Input 18 2 3 5" xfId="18350"/>
    <cellStyle name="Input 18 2 3 5 2" xfId="18351"/>
    <cellStyle name="Input 18 2 3 6" xfId="18352"/>
    <cellStyle name="Input 18 2 3 7" xfId="18353"/>
    <cellStyle name="Input 18 2 3 8" xfId="18354"/>
    <cellStyle name="Input 18 2 4" xfId="18355"/>
    <cellStyle name="Input 18 2 4 2" xfId="18356"/>
    <cellStyle name="Input 18 2 4 2 2" xfId="18357"/>
    <cellStyle name="Input 18 2 4 2 2 2" xfId="18358"/>
    <cellStyle name="Input 18 2 4 2 2 2 2" xfId="18359"/>
    <cellStyle name="Input 18 2 4 2 2 3" xfId="18360"/>
    <cellStyle name="Input 18 2 4 2 2 3 2" xfId="18361"/>
    <cellStyle name="Input 18 2 4 2 2 4" xfId="18362"/>
    <cellStyle name="Input 18 2 4 2 2 5" xfId="18363"/>
    <cellStyle name="Input 18 2 4 2 2 6" xfId="18364"/>
    <cellStyle name="Input 18 2 4 2 3" xfId="18365"/>
    <cellStyle name="Input 18 2 4 2 3 2" xfId="18366"/>
    <cellStyle name="Input 18 2 4 2 4" xfId="18367"/>
    <cellStyle name="Input 18 2 4 2 4 2" xfId="18368"/>
    <cellStyle name="Input 18 2 4 2 5" xfId="18369"/>
    <cellStyle name="Input 18 2 4 2 6" xfId="18370"/>
    <cellStyle name="Input 18 2 4 2 7" xfId="18371"/>
    <cellStyle name="Input 18 2 4 3" xfId="18372"/>
    <cellStyle name="Input 18 2 4 3 2" xfId="18373"/>
    <cellStyle name="Input 18 2 4 3 2 2" xfId="18374"/>
    <cellStyle name="Input 18 2 4 3 3" xfId="18375"/>
    <cellStyle name="Input 18 2 4 3 3 2" xfId="18376"/>
    <cellStyle name="Input 18 2 4 3 4" xfId="18377"/>
    <cellStyle name="Input 18 2 4 3 5" xfId="18378"/>
    <cellStyle name="Input 18 2 4 3 6" xfId="18379"/>
    <cellStyle name="Input 18 2 4 4" xfId="18380"/>
    <cellStyle name="Input 18 2 4 4 2" xfId="18381"/>
    <cellStyle name="Input 18 2 4 5" xfId="18382"/>
    <cellStyle name="Input 18 2 4 5 2" xfId="18383"/>
    <cellStyle name="Input 18 2 4 6" xfId="18384"/>
    <cellStyle name="Input 18 2 4 7" xfId="18385"/>
    <cellStyle name="Input 18 2 4 8" xfId="18386"/>
    <cellStyle name="Input 18 2 5" xfId="18387"/>
    <cellStyle name="Input 18 2 5 2" xfId="18388"/>
    <cellStyle name="Input 18 2 5 2 2" xfId="18389"/>
    <cellStyle name="Input 18 2 5 2 2 2" xfId="18390"/>
    <cellStyle name="Input 18 2 5 2 3" xfId="18391"/>
    <cellStyle name="Input 18 2 5 2 3 2" xfId="18392"/>
    <cellStyle name="Input 18 2 5 2 4" xfId="18393"/>
    <cellStyle name="Input 18 2 5 2 5" xfId="18394"/>
    <cellStyle name="Input 18 2 5 2 6" xfId="18395"/>
    <cellStyle name="Input 18 2 5 3" xfId="18396"/>
    <cellStyle name="Input 18 2 5 3 2" xfId="18397"/>
    <cellStyle name="Input 18 2 5 4" xfId="18398"/>
    <cellStyle name="Input 18 2 5 4 2" xfId="18399"/>
    <cellStyle name="Input 18 2 5 5" xfId="18400"/>
    <cellStyle name="Input 18 2 5 6" xfId="18401"/>
    <cellStyle name="Input 18 2 5 7" xfId="18402"/>
    <cellStyle name="Input 18 2 6" xfId="18403"/>
    <cellStyle name="Input 18 2 6 2" xfId="18404"/>
    <cellStyle name="Input 18 2 6 2 2" xfId="18405"/>
    <cellStyle name="Input 18 2 6 3" xfId="18406"/>
    <cellStyle name="Input 18 2 6 3 2" xfId="18407"/>
    <cellStyle name="Input 18 2 6 4" xfId="18408"/>
    <cellStyle name="Input 18 2 6 5" xfId="18409"/>
    <cellStyle name="Input 18 2 6 6" xfId="18410"/>
    <cellStyle name="Input 18 2 7" xfId="18411"/>
    <cellStyle name="Input 18 2 7 2" xfId="18412"/>
    <cellStyle name="Input 18 2 8" xfId="18413"/>
    <cellStyle name="Input 18 2 8 2" xfId="18414"/>
    <cellStyle name="Input 18 2 9" xfId="18415"/>
    <cellStyle name="Input 18 3" xfId="18416"/>
    <cellStyle name="Input 18 3 10" xfId="18417"/>
    <cellStyle name="Input 18 3 2" xfId="18418"/>
    <cellStyle name="Input 18 3 2 10" xfId="18419"/>
    <cellStyle name="Input 18 3 2 2" xfId="18420"/>
    <cellStyle name="Input 18 3 2 2 2" xfId="18421"/>
    <cellStyle name="Input 18 3 2 2 2 2" xfId="18422"/>
    <cellStyle name="Input 18 3 2 2 2 2 2" xfId="18423"/>
    <cellStyle name="Input 18 3 2 2 2 2 2 2" xfId="18424"/>
    <cellStyle name="Input 18 3 2 2 2 2 3" xfId="18425"/>
    <cellStyle name="Input 18 3 2 2 2 2 3 2" xfId="18426"/>
    <cellStyle name="Input 18 3 2 2 2 2 4" xfId="18427"/>
    <cellStyle name="Input 18 3 2 2 2 2 5" xfId="18428"/>
    <cellStyle name="Input 18 3 2 2 2 2 6" xfId="18429"/>
    <cellStyle name="Input 18 3 2 2 2 3" xfId="18430"/>
    <cellStyle name="Input 18 3 2 2 2 3 2" xfId="18431"/>
    <cellStyle name="Input 18 3 2 2 2 4" xfId="18432"/>
    <cellStyle name="Input 18 3 2 2 2 4 2" xfId="18433"/>
    <cellStyle name="Input 18 3 2 2 2 5" xfId="18434"/>
    <cellStyle name="Input 18 3 2 2 2 6" xfId="18435"/>
    <cellStyle name="Input 18 3 2 2 2 7" xfId="18436"/>
    <cellStyle name="Input 18 3 2 2 3" xfId="18437"/>
    <cellStyle name="Input 18 3 2 2 3 2" xfId="18438"/>
    <cellStyle name="Input 18 3 2 2 3 2 2" xfId="18439"/>
    <cellStyle name="Input 18 3 2 2 3 3" xfId="18440"/>
    <cellStyle name="Input 18 3 2 2 3 3 2" xfId="18441"/>
    <cellStyle name="Input 18 3 2 2 3 4" xfId="18442"/>
    <cellStyle name="Input 18 3 2 2 3 5" xfId="18443"/>
    <cellStyle name="Input 18 3 2 2 3 6" xfId="18444"/>
    <cellStyle name="Input 18 3 2 2 4" xfId="18445"/>
    <cellStyle name="Input 18 3 2 2 4 2" xfId="18446"/>
    <cellStyle name="Input 18 3 2 2 5" xfId="18447"/>
    <cellStyle name="Input 18 3 2 2 5 2" xfId="18448"/>
    <cellStyle name="Input 18 3 2 2 6" xfId="18449"/>
    <cellStyle name="Input 18 3 2 2 7" xfId="18450"/>
    <cellStyle name="Input 18 3 2 2 8" xfId="18451"/>
    <cellStyle name="Input 18 3 2 3" xfId="18452"/>
    <cellStyle name="Input 18 3 2 3 2" xfId="18453"/>
    <cellStyle name="Input 18 3 2 3 2 2" xfId="18454"/>
    <cellStyle name="Input 18 3 2 3 2 2 2" xfId="18455"/>
    <cellStyle name="Input 18 3 2 3 2 2 2 2" xfId="18456"/>
    <cellStyle name="Input 18 3 2 3 2 2 3" xfId="18457"/>
    <cellStyle name="Input 18 3 2 3 2 2 3 2" xfId="18458"/>
    <cellStyle name="Input 18 3 2 3 2 2 4" xfId="18459"/>
    <cellStyle name="Input 18 3 2 3 2 2 5" xfId="18460"/>
    <cellStyle name="Input 18 3 2 3 2 2 6" xfId="18461"/>
    <cellStyle name="Input 18 3 2 3 2 3" xfId="18462"/>
    <cellStyle name="Input 18 3 2 3 2 3 2" xfId="18463"/>
    <cellStyle name="Input 18 3 2 3 2 4" xfId="18464"/>
    <cellStyle name="Input 18 3 2 3 2 4 2" xfId="18465"/>
    <cellStyle name="Input 18 3 2 3 2 5" xfId="18466"/>
    <cellStyle name="Input 18 3 2 3 2 6" xfId="18467"/>
    <cellStyle name="Input 18 3 2 3 2 7" xfId="18468"/>
    <cellStyle name="Input 18 3 2 3 3" xfId="18469"/>
    <cellStyle name="Input 18 3 2 3 3 2" xfId="18470"/>
    <cellStyle name="Input 18 3 2 3 3 2 2" xfId="18471"/>
    <cellStyle name="Input 18 3 2 3 3 3" xfId="18472"/>
    <cellStyle name="Input 18 3 2 3 3 3 2" xfId="18473"/>
    <cellStyle name="Input 18 3 2 3 3 4" xfId="18474"/>
    <cellStyle name="Input 18 3 2 3 3 5" xfId="18475"/>
    <cellStyle name="Input 18 3 2 3 3 6" xfId="18476"/>
    <cellStyle name="Input 18 3 2 3 4" xfId="18477"/>
    <cellStyle name="Input 18 3 2 3 4 2" xfId="18478"/>
    <cellStyle name="Input 18 3 2 3 5" xfId="18479"/>
    <cellStyle name="Input 18 3 2 3 5 2" xfId="18480"/>
    <cellStyle name="Input 18 3 2 3 6" xfId="18481"/>
    <cellStyle name="Input 18 3 2 3 7" xfId="18482"/>
    <cellStyle name="Input 18 3 2 3 8" xfId="18483"/>
    <cellStyle name="Input 18 3 2 4" xfId="18484"/>
    <cellStyle name="Input 18 3 2 4 2" xfId="18485"/>
    <cellStyle name="Input 18 3 2 4 2 2" xfId="18486"/>
    <cellStyle name="Input 18 3 2 4 2 2 2" xfId="18487"/>
    <cellStyle name="Input 18 3 2 4 2 3" xfId="18488"/>
    <cellStyle name="Input 18 3 2 4 2 3 2" xfId="18489"/>
    <cellStyle name="Input 18 3 2 4 2 4" xfId="18490"/>
    <cellStyle name="Input 18 3 2 4 2 5" xfId="18491"/>
    <cellStyle name="Input 18 3 2 4 2 6" xfId="18492"/>
    <cellStyle name="Input 18 3 2 4 3" xfId="18493"/>
    <cellStyle name="Input 18 3 2 4 3 2" xfId="18494"/>
    <cellStyle name="Input 18 3 2 4 4" xfId="18495"/>
    <cellStyle name="Input 18 3 2 4 4 2" xfId="18496"/>
    <cellStyle name="Input 18 3 2 4 5" xfId="18497"/>
    <cellStyle name="Input 18 3 2 4 6" xfId="18498"/>
    <cellStyle name="Input 18 3 2 4 7" xfId="18499"/>
    <cellStyle name="Input 18 3 2 5" xfId="18500"/>
    <cellStyle name="Input 18 3 2 5 2" xfId="18501"/>
    <cellStyle name="Input 18 3 2 5 2 2" xfId="18502"/>
    <cellStyle name="Input 18 3 2 5 3" xfId="18503"/>
    <cellStyle name="Input 18 3 2 5 3 2" xfId="18504"/>
    <cellStyle name="Input 18 3 2 5 4" xfId="18505"/>
    <cellStyle name="Input 18 3 2 5 5" xfId="18506"/>
    <cellStyle name="Input 18 3 2 5 6" xfId="18507"/>
    <cellStyle name="Input 18 3 2 6" xfId="18508"/>
    <cellStyle name="Input 18 3 2 6 2" xfId="18509"/>
    <cellStyle name="Input 18 3 2 7" xfId="18510"/>
    <cellStyle name="Input 18 3 2 7 2" xfId="18511"/>
    <cellStyle name="Input 18 3 2 8" xfId="18512"/>
    <cellStyle name="Input 18 3 2 9" xfId="18513"/>
    <cellStyle name="Input 18 3 3" xfId="18514"/>
    <cellStyle name="Input 18 3 3 2" xfId="18515"/>
    <cellStyle name="Input 18 3 3 2 2" xfId="18516"/>
    <cellStyle name="Input 18 3 3 2 2 2" xfId="18517"/>
    <cellStyle name="Input 18 3 3 2 2 2 2" xfId="18518"/>
    <cellStyle name="Input 18 3 3 2 2 3" xfId="18519"/>
    <cellStyle name="Input 18 3 3 2 2 3 2" xfId="18520"/>
    <cellStyle name="Input 18 3 3 2 2 4" xfId="18521"/>
    <cellStyle name="Input 18 3 3 2 2 5" xfId="18522"/>
    <cellStyle name="Input 18 3 3 2 2 6" xfId="18523"/>
    <cellStyle name="Input 18 3 3 2 3" xfId="18524"/>
    <cellStyle name="Input 18 3 3 2 3 2" xfId="18525"/>
    <cellStyle name="Input 18 3 3 2 4" xfId="18526"/>
    <cellStyle name="Input 18 3 3 2 4 2" xfId="18527"/>
    <cellStyle name="Input 18 3 3 2 5" xfId="18528"/>
    <cellStyle name="Input 18 3 3 2 6" xfId="18529"/>
    <cellStyle name="Input 18 3 3 2 7" xfId="18530"/>
    <cellStyle name="Input 18 3 3 3" xfId="18531"/>
    <cellStyle name="Input 18 3 3 3 2" xfId="18532"/>
    <cellStyle name="Input 18 3 3 3 2 2" xfId="18533"/>
    <cellStyle name="Input 18 3 3 3 3" xfId="18534"/>
    <cellStyle name="Input 18 3 3 3 3 2" xfId="18535"/>
    <cellStyle name="Input 18 3 3 3 4" xfId="18536"/>
    <cellStyle name="Input 18 3 3 3 5" xfId="18537"/>
    <cellStyle name="Input 18 3 3 3 6" xfId="18538"/>
    <cellStyle name="Input 18 3 3 4" xfId="18539"/>
    <cellStyle name="Input 18 3 3 4 2" xfId="18540"/>
    <cellStyle name="Input 18 3 3 5" xfId="18541"/>
    <cellStyle name="Input 18 3 3 5 2" xfId="18542"/>
    <cellStyle name="Input 18 3 3 6" xfId="18543"/>
    <cellStyle name="Input 18 3 3 7" xfId="18544"/>
    <cellStyle name="Input 18 3 3 8" xfId="18545"/>
    <cellStyle name="Input 18 3 4" xfId="18546"/>
    <cellStyle name="Input 18 3 4 2" xfId="18547"/>
    <cellStyle name="Input 18 3 4 2 2" xfId="18548"/>
    <cellStyle name="Input 18 3 4 2 2 2" xfId="18549"/>
    <cellStyle name="Input 18 3 4 2 3" xfId="18550"/>
    <cellStyle name="Input 18 3 4 2 3 2" xfId="18551"/>
    <cellStyle name="Input 18 3 4 2 4" xfId="18552"/>
    <cellStyle name="Input 18 3 4 2 5" xfId="18553"/>
    <cellStyle name="Input 18 3 4 2 6" xfId="18554"/>
    <cellStyle name="Input 18 3 4 3" xfId="18555"/>
    <cellStyle name="Input 18 3 4 3 2" xfId="18556"/>
    <cellStyle name="Input 18 3 4 4" xfId="18557"/>
    <cellStyle name="Input 18 3 4 4 2" xfId="18558"/>
    <cellStyle name="Input 18 3 4 5" xfId="18559"/>
    <cellStyle name="Input 18 3 4 6" xfId="18560"/>
    <cellStyle name="Input 18 3 4 7" xfId="18561"/>
    <cellStyle name="Input 18 3 5" xfId="18562"/>
    <cellStyle name="Input 18 3 5 2" xfId="18563"/>
    <cellStyle name="Input 18 3 5 2 2" xfId="18564"/>
    <cellStyle name="Input 18 3 5 3" xfId="18565"/>
    <cellStyle name="Input 18 3 5 3 2" xfId="18566"/>
    <cellStyle name="Input 18 3 5 4" xfId="18567"/>
    <cellStyle name="Input 18 3 5 5" xfId="18568"/>
    <cellStyle name="Input 18 3 5 6" xfId="18569"/>
    <cellStyle name="Input 18 3 6" xfId="18570"/>
    <cellStyle name="Input 18 3 6 2" xfId="18571"/>
    <cellStyle name="Input 18 3 7" xfId="18572"/>
    <cellStyle name="Input 18 3 7 2" xfId="18573"/>
    <cellStyle name="Input 18 3 8" xfId="18574"/>
    <cellStyle name="Input 18 3 9" xfId="18575"/>
    <cellStyle name="Input 18 4" xfId="18576"/>
    <cellStyle name="Input 18 4 10" xfId="18577"/>
    <cellStyle name="Input 18 4 2" xfId="18578"/>
    <cellStyle name="Input 18 4 2 2" xfId="18579"/>
    <cellStyle name="Input 18 4 2 2 2" xfId="18580"/>
    <cellStyle name="Input 18 4 2 2 2 2" xfId="18581"/>
    <cellStyle name="Input 18 4 2 2 2 2 2" xfId="18582"/>
    <cellStyle name="Input 18 4 2 2 2 3" xfId="18583"/>
    <cellStyle name="Input 18 4 2 2 2 3 2" xfId="18584"/>
    <cellStyle name="Input 18 4 2 2 2 4" xfId="18585"/>
    <cellStyle name="Input 18 4 2 2 2 5" xfId="18586"/>
    <cellStyle name="Input 18 4 2 2 2 6" xfId="18587"/>
    <cellStyle name="Input 18 4 2 2 3" xfId="18588"/>
    <cellStyle name="Input 18 4 2 2 3 2" xfId="18589"/>
    <cellStyle name="Input 18 4 2 2 4" xfId="18590"/>
    <cellStyle name="Input 18 4 2 2 4 2" xfId="18591"/>
    <cellStyle name="Input 18 4 2 2 5" xfId="18592"/>
    <cellStyle name="Input 18 4 2 2 6" xfId="18593"/>
    <cellStyle name="Input 18 4 2 2 7" xfId="18594"/>
    <cellStyle name="Input 18 4 2 3" xfId="18595"/>
    <cellStyle name="Input 18 4 2 3 2" xfId="18596"/>
    <cellStyle name="Input 18 4 2 3 2 2" xfId="18597"/>
    <cellStyle name="Input 18 4 2 3 3" xfId="18598"/>
    <cellStyle name="Input 18 4 2 3 3 2" xfId="18599"/>
    <cellStyle name="Input 18 4 2 3 4" xfId="18600"/>
    <cellStyle name="Input 18 4 2 3 5" xfId="18601"/>
    <cellStyle name="Input 18 4 2 3 6" xfId="18602"/>
    <cellStyle name="Input 18 4 2 4" xfId="18603"/>
    <cellStyle name="Input 18 4 2 4 2" xfId="18604"/>
    <cellStyle name="Input 18 4 2 5" xfId="18605"/>
    <cellStyle name="Input 18 4 2 5 2" xfId="18606"/>
    <cellStyle name="Input 18 4 2 6" xfId="18607"/>
    <cellStyle name="Input 18 4 2 7" xfId="18608"/>
    <cellStyle name="Input 18 4 2 8" xfId="18609"/>
    <cellStyle name="Input 18 4 3" xfId="18610"/>
    <cellStyle name="Input 18 4 3 2" xfId="18611"/>
    <cellStyle name="Input 18 4 3 2 2" xfId="18612"/>
    <cellStyle name="Input 18 4 3 2 2 2" xfId="18613"/>
    <cellStyle name="Input 18 4 3 2 2 2 2" xfId="18614"/>
    <cellStyle name="Input 18 4 3 2 2 3" xfId="18615"/>
    <cellStyle name="Input 18 4 3 2 2 3 2" xfId="18616"/>
    <cellStyle name="Input 18 4 3 2 2 4" xfId="18617"/>
    <cellStyle name="Input 18 4 3 2 2 5" xfId="18618"/>
    <cellStyle name="Input 18 4 3 2 2 6" xfId="18619"/>
    <cellStyle name="Input 18 4 3 2 3" xfId="18620"/>
    <cellStyle name="Input 18 4 3 2 3 2" xfId="18621"/>
    <cellStyle name="Input 18 4 3 2 4" xfId="18622"/>
    <cellStyle name="Input 18 4 3 2 4 2" xfId="18623"/>
    <cellStyle name="Input 18 4 3 2 5" xfId="18624"/>
    <cellStyle name="Input 18 4 3 2 6" xfId="18625"/>
    <cellStyle name="Input 18 4 3 2 7" xfId="18626"/>
    <cellStyle name="Input 18 4 3 3" xfId="18627"/>
    <cellStyle name="Input 18 4 3 3 2" xfId="18628"/>
    <cellStyle name="Input 18 4 3 3 2 2" xfId="18629"/>
    <cellStyle name="Input 18 4 3 3 3" xfId="18630"/>
    <cellStyle name="Input 18 4 3 3 3 2" xfId="18631"/>
    <cellStyle name="Input 18 4 3 3 4" xfId="18632"/>
    <cellStyle name="Input 18 4 3 3 5" xfId="18633"/>
    <cellStyle name="Input 18 4 3 3 6" xfId="18634"/>
    <cellStyle name="Input 18 4 3 4" xfId="18635"/>
    <cellStyle name="Input 18 4 3 4 2" xfId="18636"/>
    <cellStyle name="Input 18 4 3 5" xfId="18637"/>
    <cellStyle name="Input 18 4 3 5 2" xfId="18638"/>
    <cellStyle name="Input 18 4 3 6" xfId="18639"/>
    <cellStyle name="Input 18 4 3 7" xfId="18640"/>
    <cellStyle name="Input 18 4 3 8" xfId="18641"/>
    <cellStyle name="Input 18 4 4" xfId="18642"/>
    <cellStyle name="Input 18 4 4 2" xfId="18643"/>
    <cellStyle name="Input 18 4 4 2 2" xfId="18644"/>
    <cellStyle name="Input 18 4 4 2 2 2" xfId="18645"/>
    <cellStyle name="Input 18 4 4 2 3" xfId="18646"/>
    <cellStyle name="Input 18 4 4 2 3 2" xfId="18647"/>
    <cellStyle name="Input 18 4 4 2 4" xfId="18648"/>
    <cellStyle name="Input 18 4 4 2 5" xfId="18649"/>
    <cellStyle name="Input 18 4 4 2 6" xfId="18650"/>
    <cellStyle name="Input 18 4 4 3" xfId="18651"/>
    <cellStyle name="Input 18 4 4 3 2" xfId="18652"/>
    <cellStyle name="Input 18 4 4 4" xfId="18653"/>
    <cellStyle name="Input 18 4 4 4 2" xfId="18654"/>
    <cellStyle name="Input 18 4 4 5" xfId="18655"/>
    <cellStyle name="Input 18 4 4 6" xfId="18656"/>
    <cellStyle name="Input 18 4 4 7" xfId="18657"/>
    <cellStyle name="Input 18 4 5" xfId="18658"/>
    <cellStyle name="Input 18 4 5 2" xfId="18659"/>
    <cellStyle name="Input 18 4 5 2 2" xfId="18660"/>
    <cellStyle name="Input 18 4 5 3" xfId="18661"/>
    <cellStyle name="Input 18 4 5 3 2" xfId="18662"/>
    <cellStyle name="Input 18 4 5 4" xfId="18663"/>
    <cellStyle name="Input 18 4 5 5" xfId="18664"/>
    <cellStyle name="Input 18 4 5 6" xfId="18665"/>
    <cellStyle name="Input 18 4 6" xfId="18666"/>
    <cellStyle name="Input 18 4 6 2" xfId="18667"/>
    <cellStyle name="Input 18 4 7" xfId="18668"/>
    <cellStyle name="Input 18 4 7 2" xfId="18669"/>
    <cellStyle name="Input 18 4 8" xfId="18670"/>
    <cellStyle name="Input 18 4 9" xfId="18671"/>
    <cellStyle name="Input 18 5" xfId="18672"/>
    <cellStyle name="Input 18 5 2" xfId="18673"/>
    <cellStyle name="Input 18 5 2 2" xfId="18674"/>
    <cellStyle name="Input 18 5 2 2 2" xfId="18675"/>
    <cellStyle name="Input 18 5 2 2 2 2" xfId="18676"/>
    <cellStyle name="Input 18 5 2 2 3" xfId="18677"/>
    <cellStyle name="Input 18 5 2 2 3 2" xfId="18678"/>
    <cellStyle name="Input 18 5 2 2 4" xfId="18679"/>
    <cellStyle name="Input 18 5 2 2 5" xfId="18680"/>
    <cellStyle name="Input 18 5 2 2 6" xfId="18681"/>
    <cellStyle name="Input 18 5 2 3" xfId="18682"/>
    <cellStyle name="Input 18 5 2 3 2" xfId="18683"/>
    <cellStyle name="Input 18 5 2 4" xfId="18684"/>
    <cellStyle name="Input 18 5 2 4 2" xfId="18685"/>
    <cellStyle name="Input 18 5 2 5" xfId="18686"/>
    <cellStyle name="Input 18 5 2 6" xfId="18687"/>
    <cellStyle name="Input 18 5 2 7" xfId="18688"/>
    <cellStyle name="Input 18 5 3" xfId="18689"/>
    <cellStyle name="Input 18 5 3 2" xfId="18690"/>
    <cellStyle name="Input 18 5 3 2 2" xfId="18691"/>
    <cellStyle name="Input 18 5 3 3" xfId="18692"/>
    <cellStyle name="Input 18 5 3 3 2" xfId="18693"/>
    <cellStyle name="Input 18 5 3 4" xfId="18694"/>
    <cellStyle name="Input 18 5 3 5" xfId="18695"/>
    <cellStyle name="Input 18 5 3 6" xfId="18696"/>
    <cellStyle name="Input 18 5 4" xfId="18697"/>
    <cellStyle name="Input 18 5 4 2" xfId="18698"/>
    <cellStyle name="Input 18 5 5" xfId="18699"/>
    <cellStyle name="Input 18 5 5 2" xfId="18700"/>
    <cellStyle name="Input 18 5 6" xfId="18701"/>
    <cellStyle name="Input 18 5 7" xfId="18702"/>
    <cellStyle name="Input 18 5 8" xfId="18703"/>
    <cellStyle name="Input 18 6" xfId="18704"/>
    <cellStyle name="Input 18 6 2" xfId="18705"/>
    <cellStyle name="Input 18 6 2 2" xfId="18706"/>
    <cellStyle name="Input 18 6 2 2 2" xfId="18707"/>
    <cellStyle name="Input 18 6 2 3" xfId="18708"/>
    <cellStyle name="Input 18 6 2 3 2" xfId="18709"/>
    <cellStyle name="Input 18 6 2 4" xfId="18710"/>
    <cellStyle name="Input 18 6 2 5" xfId="18711"/>
    <cellStyle name="Input 18 6 2 6" xfId="18712"/>
    <cellStyle name="Input 18 6 3" xfId="18713"/>
    <cellStyle name="Input 18 6 3 2" xfId="18714"/>
    <cellStyle name="Input 18 6 4" xfId="18715"/>
    <cellStyle name="Input 18 6 4 2" xfId="18716"/>
    <cellStyle name="Input 18 6 5" xfId="18717"/>
    <cellStyle name="Input 18 6 6" xfId="18718"/>
    <cellStyle name="Input 18 6 7" xfId="18719"/>
    <cellStyle name="Input 18 7" xfId="18720"/>
    <cellStyle name="Input 18 7 2" xfId="18721"/>
    <cellStyle name="Input 18 7 2 2" xfId="18722"/>
    <cellStyle name="Input 18 7 3" xfId="18723"/>
    <cellStyle name="Input 18 7 3 2" xfId="18724"/>
    <cellStyle name="Input 18 7 4" xfId="18725"/>
    <cellStyle name="Input 18 7 5" xfId="18726"/>
    <cellStyle name="Input 18 7 6" xfId="18727"/>
    <cellStyle name="Input 18 8" xfId="18728"/>
    <cellStyle name="Input 18 8 2" xfId="18729"/>
    <cellStyle name="Input 18 9" xfId="18730"/>
    <cellStyle name="Input 18 9 2" xfId="18731"/>
    <cellStyle name="Input 19" xfId="18732"/>
    <cellStyle name="Input 19 10" xfId="18733"/>
    <cellStyle name="Input 19 11" xfId="18734"/>
    <cellStyle name="Input 19 12" xfId="18735"/>
    <cellStyle name="Input 19 2" xfId="18736"/>
    <cellStyle name="Input 19 2 10" xfId="18737"/>
    <cellStyle name="Input 19 2 11" xfId="18738"/>
    <cellStyle name="Input 19 2 2" xfId="18739"/>
    <cellStyle name="Input 19 2 2 10" xfId="18740"/>
    <cellStyle name="Input 19 2 2 2" xfId="18741"/>
    <cellStyle name="Input 19 2 2 2 2" xfId="18742"/>
    <cellStyle name="Input 19 2 2 2 2 2" xfId="18743"/>
    <cellStyle name="Input 19 2 2 2 2 2 2" xfId="18744"/>
    <cellStyle name="Input 19 2 2 2 2 2 2 2" xfId="18745"/>
    <cellStyle name="Input 19 2 2 2 2 2 3" xfId="18746"/>
    <cellStyle name="Input 19 2 2 2 2 2 3 2" xfId="18747"/>
    <cellStyle name="Input 19 2 2 2 2 2 4" xfId="18748"/>
    <cellStyle name="Input 19 2 2 2 2 2 5" xfId="18749"/>
    <cellStyle name="Input 19 2 2 2 2 2 6" xfId="18750"/>
    <cellStyle name="Input 19 2 2 2 2 3" xfId="18751"/>
    <cellStyle name="Input 19 2 2 2 2 3 2" xfId="18752"/>
    <cellStyle name="Input 19 2 2 2 2 4" xfId="18753"/>
    <cellStyle name="Input 19 2 2 2 2 4 2" xfId="18754"/>
    <cellStyle name="Input 19 2 2 2 2 5" xfId="18755"/>
    <cellStyle name="Input 19 2 2 2 2 6" xfId="18756"/>
    <cellStyle name="Input 19 2 2 2 2 7" xfId="18757"/>
    <cellStyle name="Input 19 2 2 2 3" xfId="18758"/>
    <cellStyle name="Input 19 2 2 2 3 2" xfId="18759"/>
    <cellStyle name="Input 19 2 2 2 3 2 2" xfId="18760"/>
    <cellStyle name="Input 19 2 2 2 3 3" xfId="18761"/>
    <cellStyle name="Input 19 2 2 2 3 3 2" xfId="18762"/>
    <cellStyle name="Input 19 2 2 2 3 4" xfId="18763"/>
    <cellStyle name="Input 19 2 2 2 3 5" xfId="18764"/>
    <cellStyle name="Input 19 2 2 2 3 6" xfId="18765"/>
    <cellStyle name="Input 19 2 2 2 4" xfId="18766"/>
    <cellStyle name="Input 19 2 2 2 4 2" xfId="18767"/>
    <cellStyle name="Input 19 2 2 2 5" xfId="18768"/>
    <cellStyle name="Input 19 2 2 2 5 2" xfId="18769"/>
    <cellStyle name="Input 19 2 2 2 6" xfId="18770"/>
    <cellStyle name="Input 19 2 2 2 7" xfId="18771"/>
    <cellStyle name="Input 19 2 2 2 8" xfId="18772"/>
    <cellStyle name="Input 19 2 2 3" xfId="18773"/>
    <cellStyle name="Input 19 2 2 3 2" xfId="18774"/>
    <cellStyle name="Input 19 2 2 3 2 2" xfId="18775"/>
    <cellStyle name="Input 19 2 2 3 2 2 2" xfId="18776"/>
    <cellStyle name="Input 19 2 2 3 2 2 2 2" xfId="18777"/>
    <cellStyle name="Input 19 2 2 3 2 2 3" xfId="18778"/>
    <cellStyle name="Input 19 2 2 3 2 2 3 2" xfId="18779"/>
    <cellStyle name="Input 19 2 2 3 2 2 4" xfId="18780"/>
    <cellStyle name="Input 19 2 2 3 2 2 5" xfId="18781"/>
    <cellStyle name="Input 19 2 2 3 2 2 6" xfId="18782"/>
    <cellStyle name="Input 19 2 2 3 2 3" xfId="18783"/>
    <cellStyle name="Input 19 2 2 3 2 3 2" xfId="18784"/>
    <cellStyle name="Input 19 2 2 3 2 4" xfId="18785"/>
    <cellStyle name="Input 19 2 2 3 2 4 2" xfId="18786"/>
    <cellStyle name="Input 19 2 2 3 2 5" xfId="18787"/>
    <cellStyle name="Input 19 2 2 3 2 6" xfId="18788"/>
    <cellStyle name="Input 19 2 2 3 2 7" xfId="18789"/>
    <cellStyle name="Input 19 2 2 3 3" xfId="18790"/>
    <cellStyle name="Input 19 2 2 3 3 2" xfId="18791"/>
    <cellStyle name="Input 19 2 2 3 3 2 2" xfId="18792"/>
    <cellStyle name="Input 19 2 2 3 3 3" xfId="18793"/>
    <cellStyle name="Input 19 2 2 3 3 3 2" xfId="18794"/>
    <cellStyle name="Input 19 2 2 3 3 4" xfId="18795"/>
    <cellStyle name="Input 19 2 2 3 3 5" xfId="18796"/>
    <cellStyle name="Input 19 2 2 3 3 6" xfId="18797"/>
    <cellStyle name="Input 19 2 2 3 4" xfId="18798"/>
    <cellStyle name="Input 19 2 2 3 4 2" xfId="18799"/>
    <cellStyle name="Input 19 2 2 3 5" xfId="18800"/>
    <cellStyle name="Input 19 2 2 3 5 2" xfId="18801"/>
    <cellStyle name="Input 19 2 2 3 6" xfId="18802"/>
    <cellStyle name="Input 19 2 2 3 7" xfId="18803"/>
    <cellStyle name="Input 19 2 2 3 8" xfId="18804"/>
    <cellStyle name="Input 19 2 2 4" xfId="18805"/>
    <cellStyle name="Input 19 2 2 4 2" xfId="18806"/>
    <cellStyle name="Input 19 2 2 4 2 2" xfId="18807"/>
    <cellStyle name="Input 19 2 2 4 2 2 2" xfId="18808"/>
    <cellStyle name="Input 19 2 2 4 2 3" xfId="18809"/>
    <cellStyle name="Input 19 2 2 4 2 3 2" xfId="18810"/>
    <cellStyle name="Input 19 2 2 4 2 4" xfId="18811"/>
    <cellStyle name="Input 19 2 2 4 2 5" xfId="18812"/>
    <cellStyle name="Input 19 2 2 4 2 6" xfId="18813"/>
    <cellStyle name="Input 19 2 2 4 3" xfId="18814"/>
    <cellStyle name="Input 19 2 2 4 3 2" xfId="18815"/>
    <cellStyle name="Input 19 2 2 4 4" xfId="18816"/>
    <cellStyle name="Input 19 2 2 4 4 2" xfId="18817"/>
    <cellStyle name="Input 19 2 2 4 5" xfId="18818"/>
    <cellStyle name="Input 19 2 2 4 6" xfId="18819"/>
    <cellStyle name="Input 19 2 2 4 7" xfId="18820"/>
    <cellStyle name="Input 19 2 2 5" xfId="18821"/>
    <cellStyle name="Input 19 2 2 5 2" xfId="18822"/>
    <cellStyle name="Input 19 2 2 5 2 2" xfId="18823"/>
    <cellStyle name="Input 19 2 2 5 3" xfId="18824"/>
    <cellStyle name="Input 19 2 2 5 3 2" xfId="18825"/>
    <cellStyle name="Input 19 2 2 5 4" xfId="18826"/>
    <cellStyle name="Input 19 2 2 5 5" xfId="18827"/>
    <cellStyle name="Input 19 2 2 5 6" xfId="18828"/>
    <cellStyle name="Input 19 2 2 6" xfId="18829"/>
    <cellStyle name="Input 19 2 2 6 2" xfId="18830"/>
    <cellStyle name="Input 19 2 2 7" xfId="18831"/>
    <cellStyle name="Input 19 2 2 7 2" xfId="18832"/>
    <cellStyle name="Input 19 2 2 8" xfId="18833"/>
    <cellStyle name="Input 19 2 2 9" xfId="18834"/>
    <cellStyle name="Input 19 2 3" xfId="18835"/>
    <cellStyle name="Input 19 2 3 2" xfId="18836"/>
    <cellStyle name="Input 19 2 3 2 2" xfId="18837"/>
    <cellStyle name="Input 19 2 3 2 2 2" xfId="18838"/>
    <cellStyle name="Input 19 2 3 2 2 2 2" xfId="18839"/>
    <cellStyle name="Input 19 2 3 2 2 3" xfId="18840"/>
    <cellStyle name="Input 19 2 3 2 2 3 2" xfId="18841"/>
    <cellStyle name="Input 19 2 3 2 2 4" xfId="18842"/>
    <cellStyle name="Input 19 2 3 2 2 5" xfId="18843"/>
    <cellStyle name="Input 19 2 3 2 2 6" xfId="18844"/>
    <cellStyle name="Input 19 2 3 2 3" xfId="18845"/>
    <cellStyle name="Input 19 2 3 2 3 2" xfId="18846"/>
    <cellStyle name="Input 19 2 3 2 4" xfId="18847"/>
    <cellStyle name="Input 19 2 3 2 4 2" xfId="18848"/>
    <cellStyle name="Input 19 2 3 2 5" xfId="18849"/>
    <cellStyle name="Input 19 2 3 2 6" xfId="18850"/>
    <cellStyle name="Input 19 2 3 2 7" xfId="18851"/>
    <cellStyle name="Input 19 2 3 3" xfId="18852"/>
    <cellStyle name="Input 19 2 3 3 2" xfId="18853"/>
    <cellStyle name="Input 19 2 3 3 2 2" xfId="18854"/>
    <cellStyle name="Input 19 2 3 3 3" xfId="18855"/>
    <cellStyle name="Input 19 2 3 3 3 2" xfId="18856"/>
    <cellStyle name="Input 19 2 3 3 4" xfId="18857"/>
    <cellStyle name="Input 19 2 3 3 5" xfId="18858"/>
    <cellStyle name="Input 19 2 3 3 6" xfId="18859"/>
    <cellStyle name="Input 19 2 3 4" xfId="18860"/>
    <cellStyle name="Input 19 2 3 4 2" xfId="18861"/>
    <cellStyle name="Input 19 2 3 5" xfId="18862"/>
    <cellStyle name="Input 19 2 3 5 2" xfId="18863"/>
    <cellStyle name="Input 19 2 3 6" xfId="18864"/>
    <cellStyle name="Input 19 2 3 7" xfId="18865"/>
    <cellStyle name="Input 19 2 3 8" xfId="18866"/>
    <cellStyle name="Input 19 2 4" xfId="18867"/>
    <cellStyle name="Input 19 2 4 2" xfId="18868"/>
    <cellStyle name="Input 19 2 4 2 2" xfId="18869"/>
    <cellStyle name="Input 19 2 4 2 2 2" xfId="18870"/>
    <cellStyle name="Input 19 2 4 2 2 2 2" xfId="18871"/>
    <cellStyle name="Input 19 2 4 2 2 3" xfId="18872"/>
    <cellStyle name="Input 19 2 4 2 2 3 2" xfId="18873"/>
    <cellStyle name="Input 19 2 4 2 2 4" xfId="18874"/>
    <cellStyle name="Input 19 2 4 2 2 5" xfId="18875"/>
    <cellStyle name="Input 19 2 4 2 2 6" xfId="18876"/>
    <cellStyle name="Input 19 2 4 2 3" xfId="18877"/>
    <cellStyle name="Input 19 2 4 2 3 2" xfId="18878"/>
    <cellStyle name="Input 19 2 4 2 4" xfId="18879"/>
    <cellStyle name="Input 19 2 4 2 4 2" xfId="18880"/>
    <cellStyle name="Input 19 2 4 2 5" xfId="18881"/>
    <cellStyle name="Input 19 2 4 2 6" xfId="18882"/>
    <cellStyle name="Input 19 2 4 2 7" xfId="18883"/>
    <cellStyle name="Input 19 2 4 3" xfId="18884"/>
    <cellStyle name="Input 19 2 4 3 2" xfId="18885"/>
    <cellStyle name="Input 19 2 4 3 2 2" xfId="18886"/>
    <cellStyle name="Input 19 2 4 3 3" xfId="18887"/>
    <cellStyle name="Input 19 2 4 3 3 2" xfId="18888"/>
    <cellStyle name="Input 19 2 4 3 4" xfId="18889"/>
    <cellStyle name="Input 19 2 4 3 5" xfId="18890"/>
    <cellStyle name="Input 19 2 4 3 6" xfId="18891"/>
    <cellStyle name="Input 19 2 4 4" xfId="18892"/>
    <cellStyle name="Input 19 2 4 4 2" xfId="18893"/>
    <cellStyle name="Input 19 2 4 5" xfId="18894"/>
    <cellStyle name="Input 19 2 4 5 2" xfId="18895"/>
    <cellStyle name="Input 19 2 4 6" xfId="18896"/>
    <cellStyle name="Input 19 2 4 7" xfId="18897"/>
    <cellStyle name="Input 19 2 4 8" xfId="18898"/>
    <cellStyle name="Input 19 2 5" xfId="18899"/>
    <cellStyle name="Input 19 2 5 2" xfId="18900"/>
    <cellStyle name="Input 19 2 5 2 2" xfId="18901"/>
    <cellStyle name="Input 19 2 5 2 2 2" xfId="18902"/>
    <cellStyle name="Input 19 2 5 2 3" xfId="18903"/>
    <cellStyle name="Input 19 2 5 2 3 2" xfId="18904"/>
    <cellStyle name="Input 19 2 5 2 4" xfId="18905"/>
    <cellStyle name="Input 19 2 5 2 5" xfId="18906"/>
    <cellStyle name="Input 19 2 5 2 6" xfId="18907"/>
    <cellStyle name="Input 19 2 5 3" xfId="18908"/>
    <cellStyle name="Input 19 2 5 3 2" xfId="18909"/>
    <cellStyle name="Input 19 2 5 4" xfId="18910"/>
    <cellStyle name="Input 19 2 5 4 2" xfId="18911"/>
    <cellStyle name="Input 19 2 5 5" xfId="18912"/>
    <cellStyle name="Input 19 2 5 6" xfId="18913"/>
    <cellStyle name="Input 19 2 5 7" xfId="18914"/>
    <cellStyle name="Input 19 2 6" xfId="18915"/>
    <cellStyle name="Input 19 2 6 2" xfId="18916"/>
    <cellStyle name="Input 19 2 6 2 2" xfId="18917"/>
    <cellStyle name="Input 19 2 6 3" xfId="18918"/>
    <cellStyle name="Input 19 2 6 3 2" xfId="18919"/>
    <cellStyle name="Input 19 2 6 4" xfId="18920"/>
    <cellStyle name="Input 19 2 6 5" xfId="18921"/>
    <cellStyle name="Input 19 2 6 6" xfId="18922"/>
    <cellStyle name="Input 19 2 7" xfId="18923"/>
    <cellStyle name="Input 19 2 7 2" xfId="18924"/>
    <cellStyle name="Input 19 2 8" xfId="18925"/>
    <cellStyle name="Input 19 2 8 2" xfId="18926"/>
    <cellStyle name="Input 19 2 9" xfId="18927"/>
    <cellStyle name="Input 19 3" xfId="18928"/>
    <cellStyle name="Input 19 3 10" xfId="18929"/>
    <cellStyle name="Input 19 3 2" xfId="18930"/>
    <cellStyle name="Input 19 3 2 10" xfId="18931"/>
    <cellStyle name="Input 19 3 2 2" xfId="18932"/>
    <cellStyle name="Input 19 3 2 2 2" xfId="18933"/>
    <cellStyle name="Input 19 3 2 2 2 2" xfId="18934"/>
    <cellStyle name="Input 19 3 2 2 2 2 2" xfId="18935"/>
    <cellStyle name="Input 19 3 2 2 2 2 2 2" xfId="18936"/>
    <cellStyle name="Input 19 3 2 2 2 2 3" xfId="18937"/>
    <cellStyle name="Input 19 3 2 2 2 2 3 2" xfId="18938"/>
    <cellStyle name="Input 19 3 2 2 2 2 4" xfId="18939"/>
    <cellStyle name="Input 19 3 2 2 2 2 5" xfId="18940"/>
    <cellStyle name="Input 19 3 2 2 2 2 6" xfId="18941"/>
    <cellStyle name="Input 19 3 2 2 2 3" xfId="18942"/>
    <cellStyle name="Input 19 3 2 2 2 3 2" xfId="18943"/>
    <cellStyle name="Input 19 3 2 2 2 4" xfId="18944"/>
    <cellStyle name="Input 19 3 2 2 2 4 2" xfId="18945"/>
    <cellStyle name="Input 19 3 2 2 2 5" xfId="18946"/>
    <cellStyle name="Input 19 3 2 2 2 6" xfId="18947"/>
    <cellStyle name="Input 19 3 2 2 2 7" xfId="18948"/>
    <cellStyle name="Input 19 3 2 2 3" xfId="18949"/>
    <cellStyle name="Input 19 3 2 2 3 2" xfId="18950"/>
    <cellStyle name="Input 19 3 2 2 3 2 2" xfId="18951"/>
    <cellStyle name="Input 19 3 2 2 3 3" xfId="18952"/>
    <cellStyle name="Input 19 3 2 2 3 3 2" xfId="18953"/>
    <cellStyle name="Input 19 3 2 2 3 4" xfId="18954"/>
    <cellStyle name="Input 19 3 2 2 3 5" xfId="18955"/>
    <cellStyle name="Input 19 3 2 2 3 6" xfId="18956"/>
    <cellStyle name="Input 19 3 2 2 4" xfId="18957"/>
    <cellStyle name="Input 19 3 2 2 4 2" xfId="18958"/>
    <cellStyle name="Input 19 3 2 2 5" xfId="18959"/>
    <cellStyle name="Input 19 3 2 2 5 2" xfId="18960"/>
    <cellStyle name="Input 19 3 2 2 6" xfId="18961"/>
    <cellStyle name="Input 19 3 2 2 7" xfId="18962"/>
    <cellStyle name="Input 19 3 2 2 8" xfId="18963"/>
    <cellStyle name="Input 19 3 2 3" xfId="18964"/>
    <cellStyle name="Input 19 3 2 3 2" xfId="18965"/>
    <cellStyle name="Input 19 3 2 3 2 2" xfId="18966"/>
    <cellStyle name="Input 19 3 2 3 2 2 2" xfId="18967"/>
    <cellStyle name="Input 19 3 2 3 2 2 2 2" xfId="18968"/>
    <cellStyle name="Input 19 3 2 3 2 2 3" xfId="18969"/>
    <cellStyle name="Input 19 3 2 3 2 2 3 2" xfId="18970"/>
    <cellStyle name="Input 19 3 2 3 2 2 4" xfId="18971"/>
    <cellStyle name="Input 19 3 2 3 2 2 5" xfId="18972"/>
    <cellStyle name="Input 19 3 2 3 2 2 6" xfId="18973"/>
    <cellStyle name="Input 19 3 2 3 2 3" xfId="18974"/>
    <cellStyle name="Input 19 3 2 3 2 3 2" xfId="18975"/>
    <cellStyle name="Input 19 3 2 3 2 4" xfId="18976"/>
    <cellStyle name="Input 19 3 2 3 2 4 2" xfId="18977"/>
    <cellStyle name="Input 19 3 2 3 2 5" xfId="18978"/>
    <cellStyle name="Input 19 3 2 3 2 6" xfId="18979"/>
    <cellStyle name="Input 19 3 2 3 2 7" xfId="18980"/>
    <cellStyle name="Input 19 3 2 3 3" xfId="18981"/>
    <cellStyle name="Input 19 3 2 3 3 2" xfId="18982"/>
    <cellStyle name="Input 19 3 2 3 3 2 2" xfId="18983"/>
    <cellStyle name="Input 19 3 2 3 3 3" xfId="18984"/>
    <cellStyle name="Input 19 3 2 3 3 3 2" xfId="18985"/>
    <cellStyle name="Input 19 3 2 3 3 4" xfId="18986"/>
    <cellStyle name="Input 19 3 2 3 3 5" xfId="18987"/>
    <cellStyle name="Input 19 3 2 3 3 6" xfId="18988"/>
    <cellStyle name="Input 19 3 2 3 4" xfId="18989"/>
    <cellStyle name="Input 19 3 2 3 4 2" xfId="18990"/>
    <cellStyle name="Input 19 3 2 3 5" xfId="18991"/>
    <cellStyle name="Input 19 3 2 3 5 2" xfId="18992"/>
    <cellStyle name="Input 19 3 2 3 6" xfId="18993"/>
    <cellStyle name="Input 19 3 2 3 7" xfId="18994"/>
    <cellStyle name="Input 19 3 2 3 8" xfId="18995"/>
    <cellStyle name="Input 19 3 2 4" xfId="18996"/>
    <cellStyle name="Input 19 3 2 4 2" xfId="18997"/>
    <cellStyle name="Input 19 3 2 4 2 2" xfId="18998"/>
    <cellStyle name="Input 19 3 2 4 2 2 2" xfId="18999"/>
    <cellStyle name="Input 19 3 2 4 2 3" xfId="19000"/>
    <cellStyle name="Input 19 3 2 4 2 3 2" xfId="19001"/>
    <cellStyle name="Input 19 3 2 4 2 4" xfId="19002"/>
    <cellStyle name="Input 19 3 2 4 2 5" xfId="19003"/>
    <cellStyle name="Input 19 3 2 4 2 6" xfId="19004"/>
    <cellStyle name="Input 19 3 2 4 3" xfId="19005"/>
    <cellStyle name="Input 19 3 2 4 3 2" xfId="19006"/>
    <cellStyle name="Input 19 3 2 4 4" xfId="19007"/>
    <cellStyle name="Input 19 3 2 4 4 2" xfId="19008"/>
    <cellStyle name="Input 19 3 2 4 5" xfId="19009"/>
    <cellStyle name="Input 19 3 2 4 6" xfId="19010"/>
    <cellStyle name="Input 19 3 2 4 7" xfId="19011"/>
    <cellStyle name="Input 19 3 2 5" xfId="19012"/>
    <cellStyle name="Input 19 3 2 5 2" xfId="19013"/>
    <cellStyle name="Input 19 3 2 5 2 2" xfId="19014"/>
    <cellStyle name="Input 19 3 2 5 3" xfId="19015"/>
    <cellStyle name="Input 19 3 2 5 3 2" xfId="19016"/>
    <cellStyle name="Input 19 3 2 5 4" xfId="19017"/>
    <cellStyle name="Input 19 3 2 5 5" xfId="19018"/>
    <cellStyle name="Input 19 3 2 5 6" xfId="19019"/>
    <cellStyle name="Input 19 3 2 6" xfId="19020"/>
    <cellStyle name="Input 19 3 2 6 2" xfId="19021"/>
    <cellStyle name="Input 19 3 2 7" xfId="19022"/>
    <cellStyle name="Input 19 3 2 7 2" xfId="19023"/>
    <cellStyle name="Input 19 3 2 8" xfId="19024"/>
    <cellStyle name="Input 19 3 2 9" xfId="19025"/>
    <cellStyle name="Input 19 3 3" xfId="19026"/>
    <cellStyle name="Input 19 3 3 2" xfId="19027"/>
    <cellStyle name="Input 19 3 3 2 2" xfId="19028"/>
    <cellStyle name="Input 19 3 3 2 2 2" xfId="19029"/>
    <cellStyle name="Input 19 3 3 2 2 2 2" xfId="19030"/>
    <cellStyle name="Input 19 3 3 2 2 3" xfId="19031"/>
    <cellStyle name="Input 19 3 3 2 2 3 2" xfId="19032"/>
    <cellStyle name="Input 19 3 3 2 2 4" xfId="19033"/>
    <cellStyle name="Input 19 3 3 2 2 5" xfId="19034"/>
    <cellStyle name="Input 19 3 3 2 2 6" xfId="19035"/>
    <cellStyle name="Input 19 3 3 2 3" xfId="19036"/>
    <cellStyle name="Input 19 3 3 2 3 2" xfId="19037"/>
    <cellStyle name="Input 19 3 3 2 4" xfId="19038"/>
    <cellStyle name="Input 19 3 3 2 4 2" xfId="19039"/>
    <cellStyle name="Input 19 3 3 2 5" xfId="19040"/>
    <cellStyle name="Input 19 3 3 2 6" xfId="19041"/>
    <cellStyle name="Input 19 3 3 2 7" xfId="19042"/>
    <cellStyle name="Input 19 3 3 3" xfId="19043"/>
    <cellStyle name="Input 19 3 3 3 2" xfId="19044"/>
    <cellStyle name="Input 19 3 3 3 2 2" xfId="19045"/>
    <cellStyle name="Input 19 3 3 3 3" xfId="19046"/>
    <cellStyle name="Input 19 3 3 3 3 2" xfId="19047"/>
    <cellStyle name="Input 19 3 3 3 4" xfId="19048"/>
    <cellStyle name="Input 19 3 3 3 5" xfId="19049"/>
    <cellStyle name="Input 19 3 3 3 6" xfId="19050"/>
    <cellStyle name="Input 19 3 3 4" xfId="19051"/>
    <cellStyle name="Input 19 3 3 4 2" xfId="19052"/>
    <cellStyle name="Input 19 3 3 5" xfId="19053"/>
    <cellStyle name="Input 19 3 3 5 2" xfId="19054"/>
    <cellStyle name="Input 19 3 3 6" xfId="19055"/>
    <cellStyle name="Input 19 3 3 7" xfId="19056"/>
    <cellStyle name="Input 19 3 3 8" xfId="19057"/>
    <cellStyle name="Input 19 3 4" xfId="19058"/>
    <cellStyle name="Input 19 3 4 2" xfId="19059"/>
    <cellStyle name="Input 19 3 4 2 2" xfId="19060"/>
    <cellStyle name="Input 19 3 4 2 2 2" xfId="19061"/>
    <cellStyle name="Input 19 3 4 2 3" xfId="19062"/>
    <cellStyle name="Input 19 3 4 2 3 2" xfId="19063"/>
    <cellStyle name="Input 19 3 4 2 4" xfId="19064"/>
    <cellStyle name="Input 19 3 4 2 5" xfId="19065"/>
    <cellStyle name="Input 19 3 4 2 6" xfId="19066"/>
    <cellStyle name="Input 19 3 4 3" xfId="19067"/>
    <cellStyle name="Input 19 3 4 3 2" xfId="19068"/>
    <cellStyle name="Input 19 3 4 4" xfId="19069"/>
    <cellStyle name="Input 19 3 4 4 2" xfId="19070"/>
    <cellStyle name="Input 19 3 4 5" xfId="19071"/>
    <cellStyle name="Input 19 3 4 6" xfId="19072"/>
    <cellStyle name="Input 19 3 4 7" xfId="19073"/>
    <cellStyle name="Input 19 3 5" xfId="19074"/>
    <cellStyle name="Input 19 3 5 2" xfId="19075"/>
    <cellStyle name="Input 19 3 5 2 2" xfId="19076"/>
    <cellStyle name="Input 19 3 5 3" xfId="19077"/>
    <cellStyle name="Input 19 3 5 3 2" xfId="19078"/>
    <cellStyle name="Input 19 3 5 4" xfId="19079"/>
    <cellStyle name="Input 19 3 5 5" xfId="19080"/>
    <cellStyle name="Input 19 3 5 6" xfId="19081"/>
    <cellStyle name="Input 19 3 6" xfId="19082"/>
    <cellStyle name="Input 19 3 6 2" xfId="19083"/>
    <cellStyle name="Input 19 3 7" xfId="19084"/>
    <cellStyle name="Input 19 3 7 2" xfId="19085"/>
    <cellStyle name="Input 19 3 8" xfId="19086"/>
    <cellStyle name="Input 19 3 9" xfId="19087"/>
    <cellStyle name="Input 19 4" xfId="19088"/>
    <cellStyle name="Input 19 4 10" xfId="19089"/>
    <cellStyle name="Input 19 4 2" xfId="19090"/>
    <cellStyle name="Input 19 4 2 2" xfId="19091"/>
    <cellStyle name="Input 19 4 2 2 2" xfId="19092"/>
    <cellStyle name="Input 19 4 2 2 2 2" xfId="19093"/>
    <cellStyle name="Input 19 4 2 2 2 2 2" xfId="19094"/>
    <cellStyle name="Input 19 4 2 2 2 3" xfId="19095"/>
    <cellStyle name="Input 19 4 2 2 2 3 2" xfId="19096"/>
    <cellStyle name="Input 19 4 2 2 2 4" xfId="19097"/>
    <cellStyle name="Input 19 4 2 2 2 5" xfId="19098"/>
    <cellStyle name="Input 19 4 2 2 2 6" xfId="19099"/>
    <cellStyle name="Input 19 4 2 2 3" xfId="19100"/>
    <cellStyle name="Input 19 4 2 2 3 2" xfId="19101"/>
    <cellStyle name="Input 19 4 2 2 4" xfId="19102"/>
    <cellStyle name="Input 19 4 2 2 4 2" xfId="19103"/>
    <cellStyle name="Input 19 4 2 2 5" xfId="19104"/>
    <cellStyle name="Input 19 4 2 2 6" xfId="19105"/>
    <cellStyle name="Input 19 4 2 2 7" xfId="19106"/>
    <cellStyle name="Input 19 4 2 3" xfId="19107"/>
    <cellStyle name="Input 19 4 2 3 2" xfId="19108"/>
    <cellStyle name="Input 19 4 2 3 2 2" xfId="19109"/>
    <cellStyle name="Input 19 4 2 3 3" xfId="19110"/>
    <cellStyle name="Input 19 4 2 3 3 2" xfId="19111"/>
    <cellStyle name="Input 19 4 2 3 4" xfId="19112"/>
    <cellStyle name="Input 19 4 2 3 5" xfId="19113"/>
    <cellStyle name="Input 19 4 2 3 6" xfId="19114"/>
    <cellStyle name="Input 19 4 2 4" xfId="19115"/>
    <cellStyle name="Input 19 4 2 4 2" xfId="19116"/>
    <cellStyle name="Input 19 4 2 5" xfId="19117"/>
    <cellStyle name="Input 19 4 2 5 2" xfId="19118"/>
    <cellStyle name="Input 19 4 2 6" xfId="19119"/>
    <cellStyle name="Input 19 4 2 7" xfId="19120"/>
    <cellStyle name="Input 19 4 2 8" xfId="19121"/>
    <cellStyle name="Input 19 4 3" xfId="19122"/>
    <cellStyle name="Input 19 4 3 2" xfId="19123"/>
    <cellStyle name="Input 19 4 3 2 2" xfId="19124"/>
    <cellStyle name="Input 19 4 3 2 2 2" xfId="19125"/>
    <cellStyle name="Input 19 4 3 2 2 2 2" xfId="19126"/>
    <cellStyle name="Input 19 4 3 2 2 3" xfId="19127"/>
    <cellStyle name="Input 19 4 3 2 2 3 2" xfId="19128"/>
    <cellStyle name="Input 19 4 3 2 2 4" xfId="19129"/>
    <cellStyle name="Input 19 4 3 2 2 5" xfId="19130"/>
    <cellStyle name="Input 19 4 3 2 2 6" xfId="19131"/>
    <cellStyle name="Input 19 4 3 2 3" xfId="19132"/>
    <cellStyle name="Input 19 4 3 2 3 2" xfId="19133"/>
    <cellStyle name="Input 19 4 3 2 4" xfId="19134"/>
    <cellStyle name="Input 19 4 3 2 4 2" xfId="19135"/>
    <cellStyle name="Input 19 4 3 2 5" xfId="19136"/>
    <cellStyle name="Input 19 4 3 2 6" xfId="19137"/>
    <cellStyle name="Input 19 4 3 2 7" xfId="19138"/>
    <cellStyle name="Input 19 4 3 3" xfId="19139"/>
    <cellStyle name="Input 19 4 3 3 2" xfId="19140"/>
    <cellStyle name="Input 19 4 3 3 2 2" xfId="19141"/>
    <cellStyle name="Input 19 4 3 3 3" xfId="19142"/>
    <cellStyle name="Input 19 4 3 3 3 2" xfId="19143"/>
    <cellStyle name="Input 19 4 3 3 4" xfId="19144"/>
    <cellStyle name="Input 19 4 3 3 5" xfId="19145"/>
    <cellStyle name="Input 19 4 3 3 6" xfId="19146"/>
    <cellStyle name="Input 19 4 3 4" xfId="19147"/>
    <cellStyle name="Input 19 4 3 4 2" xfId="19148"/>
    <cellStyle name="Input 19 4 3 5" xfId="19149"/>
    <cellStyle name="Input 19 4 3 5 2" xfId="19150"/>
    <cellStyle name="Input 19 4 3 6" xfId="19151"/>
    <cellStyle name="Input 19 4 3 7" xfId="19152"/>
    <cellStyle name="Input 19 4 3 8" xfId="19153"/>
    <cellStyle name="Input 19 4 4" xfId="19154"/>
    <cellStyle name="Input 19 4 4 2" xfId="19155"/>
    <cellStyle name="Input 19 4 4 2 2" xfId="19156"/>
    <cellStyle name="Input 19 4 4 2 2 2" xfId="19157"/>
    <cellStyle name="Input 19 4 4 2 3" xfId="19158"/>
    <cellStyle name="Input 19 4 4 2 3 2" xfId="19159"/>
    <cellStyle name="Input 19 4 4 2 4" xfId="19160"/>
    <cellStyle name="Input 19 4 4 2 5" xfId="19161"/>
    <cellStyle name="Input 19 4 4 2 6" xfId="19162"/>
    <cellStyle name="Input 19 4 4 3" xfId="19163"/>
    <cellStyle name="Input 19 4 4 3 2" xfId="19164"/>
    <cellStyle name="Input 19 4 4 4" xfId="19165"/>
    <cellStyle name="Input 19 4 4 4 2" xfId="19166"/>
    <cellStyle name="Input 19 4 4 5" xfId="19167"/>
    <cellStyle name="Input 19 4 4 6" xfId="19168"/>
    <cellStyle name="Input 19 4 4 7" xfId="19169"/>
    <cellStyle name="Input 19 4 5" xfId="19170"/>
    <cellStyle name="Input 19 4 5 2" xfId="19171"/>
    <cellStyle name="Input 19 4 5 2 2" xfId="19172"/>
    <cellStyle name="Input 19 4 5 3" xfId="19173"/>
    <cellStyle name="Input 19 4 5 3 2" xfId="19174"/>
    <cellStyle name="Input 19 4 5 4" xfId="19175"/>
    <cellStyle name="Input 19 4 5 5" xfId="19176"/>
    <cellStyle name="Input 19 4 5 6" xfId="19177"/>
    <cellStyle name="Input 19 4 6" xfId="19178"/>
    <cellStyle name="Input 19 4 6 2" xfId="19179"/>
    <cellStyle name="Input 19 4 7" xfId="19180"/>
    <cellStyle name="Input 19 4 7 2" xfId="19181"/>
    <cellStyle name="Input 19 4 8" xfId="19182"/>
    <cellStyle name="Input 19 4 9" xfId="19183"/>
    <cellStyle name="Input 19 5" xfId="19184"/>
    <cellStyle name="Input 19 5 2" xfId="19185"/>
    <cellStyle name="Input 19 5 2 2" xfId="19186"/>
    <cellStyle name="Input 19 5 2 2 2" xfId="19187"/>
    <cellStyle name="Input 19 5 2 2 2 2" xfId="19188"/>
    <cellStyle name="Input 19 5 2 2 3" xfId="19189"/>
    <cellStyle name="Input 19 5 2 2 3 2" xfId="19190"/>
    <cellStyle name="Input 19 5 2 2 4" xfId="19191"/>
    <cellStyle name="Input 19 5 2 2 5" xfId="19192"/>
    <cellStyle name="Input 19 5 2 2 6" xfId="19193"/>
    <cellStyle name="Input 19 5 2 3" xfId="19194"/>
    <cellStyle name="Input 19 5 2 3 2" xfId="19195"/>
    <cellStyle name="Input 19 5 2 4" xfId="19196"/>
    <cellStyle name="Input 19 5 2 4 2" xfId="19197"/>
    <cellStyle name="Input 19 5 2 5" xfId="19198"/>
    <cellStyle name="Input 19 5 2 6" xfId="19199"/>
    <cellStyle name="Input 19 5 2 7" xfId="19200"/>
    <cellStyle name="Input 19 5 3" xfId="19201"/>
    <cellStyle name="Input 19 5 3 2" xfId="19202"/>
    <cellStyle name="Input 19 5 3 2 2" xfId="19203"/>
    <cellStyle name="Input 19 5 3 3" xfId="19204"/>
    <cellStyle name="Input 19 5 3 3 2" xfId="19205"/>
    <cellStyle name="Input 19 5 3 4" xfId="19206"/>
    <cellStyle name="Input 19 5 3 5" xfId="19207"/>
    <cellStyle name="Input 19 5 3 6" xfId="19208"/>
    <cellStyle name="Input 19 5 4" xfId="19209"/>
    <cellStyle name="Input 19 5 4 2" xfId="19210"/>
    <cellStyle name="Input 19 5 5" xfId="19211"/>
    <cellStyle name="Input 19 5 5 2" xfId="19212"/>
    <cellStyle name="Input 19 5 6" xfId="19213"/>
    <cellStyle name="Input 19 5 7" xfId="19214"/>
    <cellStyle name="Input 19 5 8" xfId="19215"/>
    <cellStyle name="Input 19 6" xfId="19216"/>
    <cellStyle name="Input 19 6 2" xfId="19217"/>
    <cellStyle name="Input 19 6 2 2" xfId="19218"/>
    <cellStyle name="Input 19 6 2 2 2" xfId="19219"/>
    <cellStyle name="Input 19 6 2 3" xfId="19220"/>
    <cellStyle name="Input 19 6 2 3 2" xfId="19221"/>
    <cellStyle name="Input 19 6 2 4" xfId="19222"/>
    <cellStyle name="Input 19 6 2 5" xfId="19223"/>
    <cellStyle name="Input 19 6 2 6" xfId="19224"/>
    <cellStyle name="Input 19 6 3" xfId="19225"/>
    <cellStyle name="Input 19 6 3 2" xfId="19226"/>
    <cellStyle name="Input 19 6 4" xfId="19227"/>
    <cellStyle name="Input 19 6 4 2" xfId="19228"/>
    <cellStyle name="Input 19 6 5" xfId="19229"/>
    <cellStyle name="Input 19 6 6" xfId="19230"/>
    <cellStyle name="Input 19 6 7" xfId="19231"/>
    <cellStyle name="Input 19 7" xfId="19232"/>
    <cellStyle name="Input 19 7 2" xfId="19233"/>
    <cellStyle name="Input 19 7 2 2" xfId="19234"/>
    <cellStyle name="Input 19 7 3" xfId="19235"/>
    <cellStyle name="Input 19 7 3 2" xfId="19236"/>
    <cellStyle name="Input 19 7 4" xfId="19237"/>
    <cellStyle name="Input 19 7 5" xfId="19238"/>
    <cellStyle name="Input 19 7 6" xfId="19239"/>
    <cellStyle name="Input 19 8" xfId="19240"/>
    <cellStyle name="Input 19 8 2" xfId="19241"/>
    <cellStyle name="Input 19 9" xfId="19242"/>
    <cellStyle name="Input 19 9 2" xfId="19243"/>
    <cellStyle name="Input 2" xfId="19244"/>
    <cellStyle name="Input 2 10" xfId="19245"/>
    <cellStyle name="Input 2 11" xfId="19246"/>
    <cellStyle name="Input 2 12" xfId="19247"/>
    <cellStyle name="Input 2 2" xfId="19248"/>
    <cellStyle name="Input 2 2 10" xfId="19249"/>
    <cellStyle name="Input 2 2 11" xfId="19250"/>
    <cellStyle name="Input 2 2 12" xfId="19251"/>
    <cellStyle name="Input 2 2 2" xfId="19252"/>
    <cellStyle name="Input 2 2 2 10" xfId="19253"/>
    <cellStyle name="Input 2 2 2 11" xfId="19254"/>
    <cellStyle name="Input 2 2 2 12" xfId="19255"/>
    <cellStyle name="Input 2 2 2 2" xfId="19256"/>
    <cellStyle name="Input 2 2 2 2 10" xfId="19257"/>
    <cellStyle name="Input 2 2 2 2 11" xfId="19258"/>
    <cellStyle name="Input 2 2 2 2 2" xfId="19259"/>
    <cellStyle name="Input 2 2 2 2 2 10" xfId="19260"/>
    <cellStyle name="Input 2 2 2 2 2 2" xfId="19261"/>
    <cellStyle name="Input 2 2 2 2 2 2 2" xfId="19262"/>
    <cellStyle name="Input 2 2 2 2 2 2 2 2" xfId="19263"/>
    <cellStyle name="Input 2 2 2 2 2 2 2 2 2" xfId="19264"/>
    <cellStyle name="Input 2 2 2 2 2 2 2 2 2 2" xfId="19265"/>
    <cellStyle name="Input 2 2 2 2 2 2 2 2 3" xfId="19266"/>
    <cellStyle name="Input 2 2 2 2 2 2 2 2 3 2" xfId="19267"/>
    <cellStyle name="Input 2 2 2 2 2 2 2 2 4" xfId="19268"/>
    <cellStyle name="Input 2 2 2 2 2 2 2 2 5" xfId="19269"/>
    <cellStyle name="Input 2 2 2 2 2 2 2 2 6" xfId="19270"/>
    <cellStyle name="Input 2 2 2 2 2 2 2 3" xfId="19271"/>
    <cellStyle name="Input 2 2 2 2 2 2 2 3 2" xfId="19272"/>
    <cellStyle name="Input 2 2 2 2 2 2 2 4" xfId="19273"/>
    <cellStyle name="Input 2 2 2 2 2 2 2 4 2" xfId="19274"/>
    <cellStyle name="Input 2 2 2 2 2 2 2 5" xfId="19275"/>
    <cellStyle name="Input 2 2 2 2 2 2 2 6" xfId="19276"/>
    <cellStyle name="Input 2 2 2 2 2 2 2 7" xfId="19277"/>
    <cellStyle name="Input 2 2 2 2 2 2 3" xfId="19278"/>
    <cellStyle name="Input 2 2 2 2 2 2 3 2" xfId="19279"/>
    <cellStyle name="Input 2 2 2 2 2 2 3 2 2" xfId="19280"/>
    <cellStyle name="Input 2 2 2 2 2 2 3 3" xfId="19281"/>
    <cellStyle name="Input 2 2 2 2 2 2 3 3 2" xfId="19282"/>
    <cellStyle name="Input 2 2 2 2 2 2 3 4" xfId="19283"/>
    <cellStyle name="Input 2 2 2 2 2 2 3 5" xfId="19284"/>
    <cellStyle name="Input 2 2 2 2 2 2 3 6" xfId="19285"/>
    <cellStyle name="Input 2 2 2 2 2 2 4" xfId="19286"/>
    <cellStyle name="Input 2 2 2 2 2 2 4 2" xfId="19287"/>
    <cellStyle name="Input 2 2 2 2 2 2 5" xfId="19288"/>
    <cellStyle name="Input 2 2 2 2 2 2 5 2" xfId="19289"/>
    <cellStyle name="Input 2 2 2 2 2 2 6" xfId="19290"/>
    <cellStyle name="Input 2 2 2 2 2 2 7" xfId="19291"/>
    <cellStyle name="Input 2 2 2 2 2 2 8" xfId="19292"/>
    <cellStyle name="Input 2 2 2 2 2 3" xfId="19293"/>
    <cellStyle name="Input 2 2 2 2 2 3 2" xfId="19294"/>
    <cellStyle name="Input 2 2 2 2 2 3 2 2" xfId="19295"/>
    <cellStyle name="Input 2 2 2 2 2 3 2 2 2" xfId="19296"/>
    <cellStyle name="Input 2 2 2 2 2 3 2 2 2 2" xfId="19297"/>
    <cellStyle name="Input 2 2 2 2 2 3 2 2 3" xfId="19298"/>
    <cellStyle name="Input 2 2 2 2 2 3 2 2 3 2" xfId="19299"/>
    <cellStyle name="Input 2 2 2 2 2 3 2 2 4" xfId="19300"/>
    <cellStyle name="Input 2 2 2 2 2 3 2 2 5" xfId="19301"/>
    <cellStyle name="Input 2 2 2 2 2 3 2 2 6" xfId="19302"/>
    <cellStyle name="Input 2 2 2 2 2 3 2 3" xfId="19303"/>
    <cellStyle name="Input 2 2 2 2 2 3 2 3 2" xfId="19304"/>
    <cellStyle name="Input 2 2 2 2 2 3 2 4" xfId="19305"/>
    <cellStyle name="Input 2 2 2 2 2 3 2 4 2" xfId="19306"/>
    <cellStyle name="Input 2 2 2 2 2 3 2 5" xfId="19307"/>
    <cellStyle name="Input 2 2 2 2 2 3 2 6" xfId="19308"/>
    <cellStyle name="Input 2 2 2 2 2 3 2 7" xfId="19309"/>
    <cellStyle name="Input 2 2 2 2 2 3 3" xfId="19310"/>
    <cellStyle name="Input 2 2 2 2 2 3 3 2" xfId="19311"/>
    <cellStyle name="Input 2 2 2 2 2 3 3 2 2" xfId="19312"/>
    <cellStyle name="Input 2 2 2 2 2 3 3 3" xfId="19313"/>
    <cellStyle name="Input 2 2 2 2 2 3 3 3 2" xfId="19314"/>
    <cellStyle name="Input 2 2 2 2 2 3 3 4" xfId="19315"/>
    <cellStyle name="Input 2 2 2 2 2 3 3 5" xfId="19316"/>
    <cellStyle name="Input 2 2 2 2 2 3 3 6" xfId="19317"/>
    <cellStyle name="Input 2 2 2 2 2 3 4" xfId="19318"/>
    <cellStyle name="Input 2 2 2 2 2 3 4 2" xfId="19319"/>
    <cellStyle name="Input 2 2 2 2 2 3 5" xfId="19320"/>
    <cellStyle name="Input 2 2 2 2 2 3 5 2" xfId="19321"/>
    <cellStyle name="Input 2 2 2 2 2 3 6" xfId="19322"/>
    <cellStyle name="Input 2 2 2 2 2 3 7" xfId="19323"/>
    <cellStyle name="Input 2 2 2 2 2 3 8" xfId="19324"/>
    <cellStyle name="Input 2 2 2 2 2 4" xfId="19325"/>
    <cellStyle name="Input 2 2 2 2 2 4 2" xfId="19326"/>
    <cellStyle name="Input 2 2 2 2 2 4 2 2" xfId="19327"/>
    <cellStyle name="Input 2 2 2 2 2 4 2 2 2" xfId="19328"/>
    <cellStyle name="Input 2 2 2 2 2 4 2 3" xfId="19329"/>
    <cellStyle name="Input 2 2 2 2 2 4 2 3 2" xfId="19330"/>
    <cellStyle name="Input 2 2 2 2 2 4 2 4" xfId="19331"/>
    <cellStyle name="Input 2 2 2 2 2 4 2 5" xfId="19332"/>
    <cellStyle name="Input 2 2 2 2 2 4 2 6" xfId="19333"/>
    <cellStyle name="Input 2 2 2 2 2 4 3" xfId="19334"/>
    <cellStyle name="Input 2 2 2 2 2 4 3 2" xfId="19335"/>
    <cellStyle name="Input 2 2 2 2 2 4 4" xfId="19336"/>
    <cellStyle name="Input 2 2 2 2 2 4 4 2" xfId="19337"/>
    <cellStyle name="Input 2 2 2 2 2 4 5" xfId="19338"/>
    <cellStyle name="Input 2 2 2 2 2 4 6" xfId="19339"/>
    <cellStyle name="Input 2 2 2 2 2 4 7" xfId="19340"/>
    <cellStyle name="Input 2 2 2 2 2 5" xfId="19341"/>
    <cellStyle name="Input 2 2 2 2 2 5 2" xfId="19342"/>
    <cellStyle name="Input 2 2 2 2 2 5 2 2" xfId="19343"/>
    <cellStyle name="Input 2 2 2 2 2 5 3" xfId="19344"/>
    <cellStyle name="Input 2 2 2 2 2 5 3 2" xfId="19345"/>
    <cellStyle name="Input 2 2 2 2 2 5 4" xfId="19346"/>
    <cellStyle name="Input 2 2 2 2 2 5 5" xfId="19347"/>
    <cellStyle name="Input 2 2 2 2 2 5 6" xfId="19348"/>
    <cellStyle name="Input 2 2 2 2 2 6" xfId="19349"/>
    <cellStyle name="Input 2 2 2 2 2 6 2" xfId="19350"/>
    <cellStyle name="Input 2 2 2 2 2 7" xfId="19351"/>
    <cellStyle name="Input 2 2 2 2 2 7 2" xfId="19352"/>
    <cellStyle name="Input 2 2 2 2 2 8" xfId="19353"/>
    <cellStyle name="Input 2 2 2 2 2 9" xfId="19354"/>
    <cellStyle name="Input 2 2 2 2 3" xfId="19355"/>
    <cellStyle name="Input 2 2 2 2 3 2" xfId="19356"/>
    <cellStyle name="Input 2 2 2 2 3 2 2" xfId="19357"/>
    <cellStyle name="Input 2 2 2 2 3 2 2 2" xfId="19358"/>
    <cellStyle name="Input 2 2 2 2 3 2 2 2 2" xfId="19359"/>
    <cellStyle name="Input 2 2 2 2 3 2 2 3" xfId="19360"/>
    <cellStyle name="Input 2 2 2 2 3 2 2 3 2" xfId="19361"/>
    <cellStyle name="Input 2 2 2 2 3 2 2 4" xfId="19362"/>
    <cellStyle name="Input 2 2 2 2 3 2 2 5" xfId="19363"/>
    <cellStyle name="Input 2 2 2 2 3 2 2 6" xfId="19364"/>
    <cellStyle name="Input 2 2 2 2 3 2 3" xfId="19365"/>
    <cellStyle name="Input 2 2 2 2 3 2 3 2" xfId="19366"/>
    <cellStyle name="Input 2 2 2 2 3 2 4" xfId="19367"/>
    <cellStyle name="Input 2 2 2 2 3 2 4 2" xfId="19368"/>
    <cellStyle name="Input 2 2 2 2 3 2 5" xfId="19369"/>
    <cellStyle name="Input 2 2 2 2 3 2 6" xfId="19370"/>
    <cellStyle name="Input 2 2 2 2 3 2 7" xfId="19371"/>
    <cellStyle name="Input 2 2 2 2 3 3" xfId="19372"/>
    <cellStyle name="Input 2 2 2 2 3 3 2" xfId="19373"/>
    <cellStyle name="Input 2 2 2 2 3 3 2 2" xfId="19374"/>
    <cellStyle name="Input 2 2 2 2 3 3 3" xfId="19375"/>
    <cellStyle name="Input 2 2 2 2 3 3 3 2" xfId="19376"/>
    <cellStyle name="Input 2 2 2 2 3 3 4" xfId="19377"/>
    <cellStyle name="Input 2 2 2 2 3 3 5" xfId="19378"/>
    <cellStyle name="Input 2 2 2 2 3 3 6" xfId="19379"/>
    <cellStyle name="Input 2 2 2 2 3 4" xfId="19380"/>
    <cellStyle name="Input 2 2 2 2 3 4 2" xfId="19381"/>
    <cellStyle name="Input 2 2 2 2 3 5" xfId="19382"/>
    <cellStyle name="Input 2 2 2 2 3 5 2" xfId="19383"/>
    <cellStyle name="Input 2 2 2 2 3 6" xfId="19384"/>
    <cellStyle name="Input 2 2 2 2 3 7" xfId="19385"/>
    <cellStyle name="Input 2 2 2 2 3 8" xfId="19386"/>
    <cellStyle name="Input 2 2 2 2 4" xfId="19387"/>
    <cellStyle name="Input 2 2 2 2 4 2" xfId="19388"/>
    <cellStyle name="Input 2 2 2 2 4 2 2" xfId="19389"/>
    <cellStyle name="Input 2 2 2 2 4 2 2 2" xfId="19390"/>
    <cellStyle name="Input 2 2 2 2 4 2 2 2 2" xfId="19391"/>
    <cellStyle name="Input 2 2 2 2 4 2 2 3" xfId="19392"/>
    <cellStyle name="Input 2 2 2 2 4 2 2 3 2" xfId="19393"/>
    <cellStyle name="Input 2 2 2 2 4 2 2 4" xfId="19394"/>
    <cellStyle name="Input 2 2 2 2 4 2 2 5" xfId="19395"/>
    <cellStyle name="Input 2 2 2 2 4 2 2 6" xfId="19396"/>
    <cellStyle name="Input 2 2 2 2 4 2 3" xfId="19397"/>
    <cellStyle name="Input 2 2 2 2 4 2 3 2" xfId="19398"/>
    <cellStyle name="Input 2 2 2 2 4 2 4" xfId="19399"/>
    <cellStyle name="Input 2 2 2 2 4 2 4 2" xfId="19400"/>
    <cellStyle name="Input 2 2 2 2 4 2 5" xfId="19401"/>
    <cellStyle name="Input 2 2 2 2 4 2 6" xfId="19402"/>
    <cellStyle name="Input 2 2 2 2 4 2 7" xfId="19403"/>
    <cellStyle name="Input 2 2 2 2 4 3" xfId="19404"/>
    <cellStyle name="Input 2 2 2 2 4 3 2" xfId="19405"/>
    <cellStyle name="Input 2 2 2 2 4 3 2 2" xfId="19406"/>
    <cellStyle name="Input 2 2 2 2 4 3 3" xfId="19407"/>
    <cellStyle name="Input 2 2 2 2 4 3 3 2" xfId="19408"/>
    <cellStyle name="Input 2 2 2 2 4 3 4" xfId="19409"/>
    <cellStyle name="Input 2 2 2 2 4 3 5" xfId="19410"/>
    <cellStyle name="Input 2 2 2 2 4 3 6" xfId="19411"/>
    <cellStyle name="Input 2 2 2 2 4 4" xfId="19412"/>
    <cellStyle name="Input 2 2 2 2 4 4 2" xfId="19413"/>
    <cellStyle name="Input 2 2 2 2 4 5" xfId="19414"/>
    <cellStyle name="Input 2 2 2 2 4 5 2" xfId="19415"/>
    <cellStyle name="Input 2 2 2 2 4 6" xfId="19416"/>
    <cellStyle name="Input 2 2 2 2 4 7" xfId="19417"/>
    <cellStyle name="Input 2 2 2 2 4 8" xfId="19418"/>
    <cellStyle name="Input 2 2 2 2 5" xfId="19419"/>
    <cellStyle name="Input 2 2 2 2 5 2" xfId="19420"/>
    <cellStyle name="Input 2 2 2 2 5 2 2" xfId="19421"/>
    <cellStyle name="Input 2 2 2 2 5 2 2 2" xfId="19422"/>
    <cellStyle name="Input 2 2 2 2 5 2 3" xfId="19423"/>
    <cellStyle name="Input 2 2 2 2 5 2 3 2" xfId="19424"/>
    <cellStyle name="Input 2 2 2 2 5 2 4" xfId="19425"/>
    <cellStyle name="Input 2 2 2 2 5 2 5" xfId="19426"/>
    <cellStyle name="Input 2 2 2 2 5 2 6" xfId="19427"/>
    <cellStyle name="Input 2 2 2 2 5 3" xfId="19428"/>
    <cellStyle name="Input 2 2 2 2 5 3 2" xfId="19429"/>
    <cellStyle name="Input 2 2 2 2 5 4" xfId="19430"/>
    <cellStyle name="Input 2 2 2 2 5 4 2" xfId="19431"/>
    <cellStyle name="Input 2 2 2 2 5 5" xfId="19432"/>
    <cellStyle name="Input 2 2 2 2 5 6" xfId="19433"/>
    <cellStyle name="Input 2 2 2 2 5 7" xfId="19434"/>
    <cellStyle name="Input 2 2 2 2 6" xfId="19435"/>
    <cellStyle name="Input 2 2 2 2 6 2" xfId="19436"/>
    <cellStyle name="Input 2 2 2 2 6 2 2" xfId="19437"/>
    <cellStyle name="Input 2 2 2 2 6 3" xfId="19438"/>
    <cellStyle name="Input 2 2 2 2 6 3 2" xfId="19439"/>
    <cellStyle name="Input 2 2 2 2 6 4" xfId="19440"/>
    <cellStyle name="Input 2 2 2 2 6 5" xfId="19441"/>
    <cellStyle name="Input 2 2 2 2 6 6" xfId="19442"/>
    <cellStyle name="Input 2 2 2 2 7" xfId="19443"/>
    <cellStyle name="Input 2 2 2 2 7 2" xfId="19444"/>
    <cellStyle name="Input 2 2 2 2 8" xfId="19445"/>
    <cellStyle name="Input 2 2 2 2 8 2" xfId="19446"/>
    <cellStyle name="Input 2 2 2 2 9" xfId="19447"/>
    <cellStyle name="Input 2 2 2 3" xfId="19448"/>
    <cellStyle name="Input 2 2 2 3 10" xfId="19449"/>
    <cellStyle name="Input 2 2 2 3 2" xfId="19450"/>
    <cellStyle name="Input 2 2 2 3 2 10" xfId="19451"/>
    <cellStyle name="Input 2 2 2 3 2 2" xfId="19452"/>
    <cellStyle name="Input 2 2 2 3 2 2 2" xfId="19453"/>
    <cellStyle name="Input 2 2 2 3 2 2 2 2" xfId="19454"/>
    <cellStyle name="Input 2 2 2 3 2 2 2 2 2" xfId="19455"/>
    <cellStyle name="Input 2 2 2 3 2 2 2 2 2 2" xfId="19456"/>
    <cellStyle name="Input 2 2 2 3 2 2 2 2 3" xfId="19457"/>
    <cellStyle name="Input 2 2 2 3 2 2 2 2 3 2" xfId="19458"/>
    <cellStyle name="Input 2 2 2 3 2 2 2 2 4" xfId="19459"/>
    <cellStyle name="Input 2 2 2 3 2 2 2 2 5" xfId="19460"/>
    <cellStyle name="Input 2 2 2 3 2 2 2 2 6" xfId="19461"/>
    <cellStyle name="Input 2 2 2 3 2 2 2 3" xfId="19462"/>
    <cellStyle name="Input 2 2 2 3 2 2 2 3 2" xfId="19463"/>
    <cellStyle name="Input 2 2 2 3 2 2 2 4" xfId="19464"/>
    <cellStyle name="Input 2 2 2 3 2 2 2 4 2" xfId="19465"/>
    <cellStyle name="Input 2 2 2 3 2 2 2 5" xfId="19466"/>
    <cellStyle name="Input 2 2 2 3 2 2 2 6" xfId="19467"/>
    <cellStyle name="Input 2 2 2 3 2 2 2 7" xfId="19468"/>
    <cellStyle name="Input 2 2 2 3 2 2 3" xfId="19469"/>
    <cellStyle name="Input 2 2 2 3 2 2 3 2" xfId="19470"/>
    <cellStyle name="Input 2 2 2 3 2 2 3 2 2" xfId="19471"/>
    <cellStyle name="Input 2 2 2 3 2 2 3 3" xfId="19472"/>
    <cellStyle name="Input 2 2 2 3 2 2 3 3 2" xfId="19473"/>
    <cellStyle name="Input 2 2 2 3 2 2 3 4" xfId="19474"/>
    <cellStyle name="Input 2 2 2 3 2 2 3 5" xfId="19475"/>
    <cellStyle name="Input 2 2 2 3 2 2 3 6" xfId="19476"/>
    <cellStyle name="Input 2 2 2 3 2 2 4" xfId="19477"/>
    <cellStyle name="Input 2 2 2 3 2 2 4 2" xfId="19478"/>
    <cellStyle name="Input 2 2 2 3 2 2 5" xfId="19479"/>
    <cellStyle name="Input 2 2 2 3 2 2 5 2" xfId="19480"/>
    <cellStyle name="Input 2 2 2 3 2 2 6" xfId="19481"/>
    <cellStyle name="Input 2 2 2 3 2 2 7" xfId="19482"/>
    <cellStyle name="Input 2 2 2 3 2 2 8" xfId="19483"/>
    <cellStyle name="Input 2 2 2 3 2 3" xfId="19484"/>
    <cellStyle name="Input 2 2 2 3 2 3 2" xfId="19485"/>
    <cellStyle name="Input 2 2 2 3 2 3 2 2" xfId="19486"/>
    <cellStyle name="Input 2 2 2 3 2 3 2 2 2" xfId="19487"/>
    <cellStyle name="Input 2 2 2 3 2 3 2 2 2 2" xfId="19488"/>
    <cellStyle name="Input 2 2 2 3 2 3 2 2 3" xfId="19489"/>
    <cellStyle name="Input 2 2 2 3 2 3 2 2 3 2" xfId="19490"/>
    <cellStyle name="Input 2 2 2 3 2 3 2 2 4" xfId="19491"/>
    <cellStyle name="Input 2 2 2 3 2 3 2 2 5" xfId="19492"/>
    <cellStyle name="Input 2 2 2 3 2 3 2 2 6" xfId="19493"/>
    <cellStyle name="Input 2 2 2 3 2 3 2 3" xfId="19494"/>
    <cellStyle name="Input 2 2 2 3 2 3 2 3 2" xfId="19495"/>
    <cellStyle name="Input 2 2 2 3 2 3 2 4" xfId="19496"/>
    <cellStyle name="Input 2 2 2 3 2 3 2 4 2" xfId="19497"/>
    <cellStyle name="Input 2 2 2 3 2 3 2 5" xfId="19498"/>
    <cellStyle name="Input 2 2 2 3 2 3 2 6" xfId="19499"/>
    <cellStyle name="Input 2 2 2 3 2 3 2 7" xfId="19500"/>
    <cellStyle name="Input 2 2 2 3 2 3 3" xfId="19501"/>
    <cellStyle name="Input 2 2 2 3 2 3 3 2" xfId="19502"/>
    <cellStyle name="Input 2 2 2 3 2 3 3 2 2" xfId="19503"/>
    <cellStyle name="Input 2 2 2 3 2 3 3 3" xfId="19504"/>
    <cellStyle name="Input 2 2 2 3 2 3 3 3 2" xfId="19505"/>
    <cellStyle name="Input 2 2 2 3 2 3 3 4" xfId="19506"/>
    <cellStyle name="Input 2 2 2 3 2 3 3 5" xfId="19507"/>
    <cellStyle name="Input 2 2 2 3 2 3 3 6" xfId="19508"/>
    <cellStyle name="Input 2 2 2 3 2 3 4" xfId="19509"/>
    <cellStyle name="Input 2 2 2 3 2 3 4 2" xfId="19510"/>
    <cellStyle name="Input 2 2 2 3 2 3 5" xfId="19511"/>
    <cellStyle name="Input 2 2 2 3 2 3 5 2" xfId="19512"/>
    <cellStyle name="Input 2 2 2 3 2 3 6" xfId="19513"/>
    <cellStyle name="Input 2 2 2 3 2 3 7" xfId="19514"/>
    <cellStyle name="Input 2 2 2 3 2 3 8" xfId="19515"/>
    <cellStyle name="Input 2 2 2 3 2 4" xfId="19516"/>
    <cellStyle name="Input 2 2 2 3 2 4 2" xfId="19517"/>
    <cellStyle name="Input 2 2 2 3 2 4 2 2" xfId="19518"/>
    <cellStyle name="Input 2 2 2 3 2 4 2 2 2" xfId="19519"/>
    <cellStyle name="Input 2 2 2 3 2 4 2 3" xfId="19520"/>
    <cellStyle name="Input 2 2 2 3 2 4 2 3 2" xfId="19521"/>
    <cellStyle name="Input 2 2 2 3 2 4 2 4" xfId="19522"/>
    <cellStyle name="Input 2 2 2 3 2 4 2 5" xfId="19523"/>
    <cellStyle name="Input 2 2 2 3 2 4 2 6" xfId="19524"/>
    <cellStyle name="Input 2 2 2 3 2 4 3" xfId="19525"/>
    <cellStyle name="Input 2 2 2 3 2 4 3 2" xfId="19526"/>
    <cellStyle name="Input 2 2 2 3 2 4 4" xfId="19527"/>
    <cellStyle name="Input 2 2 2 3 2 4 4 2" xfId="19528"/>
    <cellStyle name="Input 2 2 2 3 2 4 5" xfId="19529"/>
    <cellStyle name="Input 2 2 2 3 2 4 6" xfId="19530"/>
    <cellStyle name="Input 2 2 2 3 2 4 7" xfId="19531"/>
    <cellStyle name="Input 2 2 2 3 2 5" xfId="19532"/>
    <cellStyle name="Input 2 2 2 3 2 5 2" xfId="19533"/>
    <cellStyle name="Input 2 2 2 3 2 5 2 2" xfId="19534"/>
    <cellStyle name="Input 2 2 2 3 2 5 3" xfId="19535"/>
    <cellStyle name="Input 2 2 2 3 2 5 3 2" xfId="19536"/>
    <cellStyle name="Input 2 2 2 3 2 5 4" xfId="19537"/>
    <cellStyle name="Input 2 2 2 3 2 5 5" xfId="19538"/>
    <cellStyle name="Input 2 2 2 3 2 5 6" xfId="19539"/>
    <cellStyle name="Input 2 2 2 3 2 6" xfId="19540"/>
    <cellStyle name="Input 2 2 2 3 2 6 2" xfId="19541"/>
    <cellStyle name="Input 2 2 2 3 2 7" xfId="19542"/>
    <cellStyle name="Input 2 2 2 3 2 7 2" xfId="19543"/>
    <cellStyle name="Input 2 2 2 3 2 8" xfId="19544"/>
    <cellStyle name="Input 2 2 2 3 2 9" xfId="19545"/>
    <cellStyle name="Input 2 2 2 3 3" xfId="19546"/>
    <cellStyle name="Input 2 2 2 3 3 2" xfId="19547"/>
    <cellStyle name="Input 2 2 2 3 3 2 2" xfId="19548"/>
    <cellStyle name="Input 2 2 2 3 3 2 2 2" xfId="19549"/>
    <cellStyle name="Input 2 2 2 3 3 2 2 2 2" xfId="19550"/>
    <cellStyle name="Input 2 2 2 3 3 2 2 3" xfId="19551"/>
    <cellStyle name="Input 2 2 2 3 3 2 2 3 2" xfId="19552"/>
    <cellStyle name="Input 2 2 2 3 3 2 2 4" xfId="19553"/>
    <cellStyle name="Input 2 2 2 3 3 2 2 5" xfId="19554"/>
    <cellStyle name="Input 2 2 2 3 3 2 2 6" xfId="19555"/>
    <cellStyle name="Input 2 2 2 3 3 2 3" xfId="19556"/>
    <cellStyle name="Input 2 2 2 3 3 2 3 2" xfId="19557"/>
    <cellStyle name="Input 2 2 2 3 3 2 4" xfId="19558"/>
    <cellStyle name="Input 2 2 2 3 3 2 4 2" xfId="19559"/>
    <cellStyle name="Input 2 2 2 3 3 2 5" xfId="19560"/>
    <cellStyle name="Input 2 2 2 3 3 2 6" xfId="19561"/>
    <cellStyle name="Input 2 2 2 3 3 2 7" xfId="19562"/>
    <cellStyle name="Input 2 2 2 3 3 3" xfId="19563"/>
    <cellStyle name="Input 2 2 2 3 3 3 2" xfId="19564"/>
    <cellStyle name="Input 2 2 2 3 3 3 2 2" xfId="19565"/>
    <cellStyle name="Input 2 2 2 3 3 3 3" xfId="19566"/>
    <cellStyle name="Input 2 2 2 3 3 3 3 2" xfId="19567"/>
    <cellStyle name="Input 2 2 2 3 3 3 4" xfId="19568"/>
    <cellStyle name="Input 2 2 2 3 3 3 5" xfId="19569"/>
    <cellStyle name="Input 2 2 2 3 3 3 6" xfId="19570"/>
    <cellStyle name="Input 2 2 2 3 3 4" xfId="19571"/>
    <cellStyle name="Input 2 2 2 3 3 4 2" xfId="19572"/>
    <cellStyle name="Input 2 2 2 3 3 5" xfId="19573"/>
    <cellStyle name="Input 2 2 2 3 3 5 2" xfId="19574"/>
    <cellStyle name="Input 2 2 2 3 3 6" xfId="19575"/>
    <cellStyle name="Input 2 2 2 3 3 7" xfId="19576"/>
    <cellStyle name="Input 2 2 2 3 3 8" xfId="19577"/>
    <cellStyle name="Input 2 2 2 3 4" xfId="19578"/>
    <cellStyle name="Input 2 2 2 3 4 2" xfId="19579"/>
    <cellStyle name="Input 2 2 2 3 4 2 2" xfId="19580"/>
    <cellStyle name="Input 2 2 2 3 4 2 2 2" xfId="19581"/>
    <cellStyle name="Input 2 2 2 3 4 2 3" xfId="19582"/>
    <cellStyle name="Input 2 2 2 3 4 2 3 2" xfId="19583"/>
    <cellStyle name="Input 2 2 2 3 4 2 4" xfId="19584"/>
    <cellStyle name="Input 2 2 2 3 4 2 5" xfId="19585"/>
    <cellStyle name="Input 2 2 2 3 4 2 6" xfId="19586"/>
    <cellStyle name="Input 2 2 2 3 4 3" xfId="19587"/>
    <cellStyle name="Input 2 2 2 3 4 3 2" xfId="19588"/>
    <cellStyle name="Input 2 2 2 3 4 4" xfId="19589"/>
    <cellStyle name="Input 2 2 2 3 4 4 2" xfId="19590"/>
    <cellStyle name="Input 2 2 2 3 4 5" xfId="19591"/>
    <cellStyle name="Input 2 2 2 3 4 6" xfId="19592"/>
    <cellStyle name="Input 2 2 2 3 4 7" xfId="19593"/>
    <cellStyle name="Input 2 2 2 3 5" xfId="19594"/>
    <cellStyle name="Input 2 2 2 3 5 2" xfId="19595"/>
    <cellStyle name="Input 2 2 2 3 5 2 2" xfId="19596"/>
    <cellStyle name="Input 2 2 2 3 5 3" xfId="19597"/>
    <cellStyle name="Input 2 2 2 3 5 3 2" xfId="19598"/>
    <cellStyle name="Input 2 2 2 3 5 4" xfId="19599"/>
    <cellStyle name="Input 2 2 2 3 5 5" xfId="19600"/>
    <cellStyle name="Input 2 2 2 3 5 6" xfId="19601"/>
    <cellStyle name="Input 2 2 2 3 6" xfId="19602"/>
    <cellStyle name="Input 2 2 2 3 6 2" xfId="19603"/>
    <cellStyle name="Input 2 2 2 3 7" xfId="19604"/>
    <cellStyle name="Input 2 2 2 3 7 2" xfId="19605"/>
    <cellStyle name="Input 2 2 2 3 8" xfId="19606"/>
    <cellStyle name="Input 2 2 2 3 9" xfId="19607"/>
    <cellStyle name="Input 2 2 2 4" xfId="19608"/>
    <cellStyle name="Input 2 2 2 4 10" xfId="19609"/>
    <cellStyle name="Input 2 2 2 4 2" xfId="19610"/>
    <cellStyle name="Input 2 2 2 4 2 2" xfId="19611"/>
    <cellStyle name="Input 2 2 2 4 2 2 2" xfId="19612"/>
    <cellStyle name="Input 2 2 2 4 2 2 2 2" xfId="19613"/>
    <cellStyle name="Input 2 2 2 4 2 2 2 2 2" xfId="19614"/>
    <cellStyle name="Input 2 2 2 4 2 2 2 3" xfId="19615"/>
    <cellStyle name="Input 2 2 2 4 2 2 2 3 2" xfId="19616"/>
    <cellStyle name="Input 2 2 2 4 2 2 2 4" xfId="19617"/>
    <cellStyle name="Input 2 2 2 4 2 2 2 5" xfId="19618"/>
    <cellStyle name="Input 2 2 2 4 2 2 2 6" xfId="19619"/>
    <cellStyle name="Input 2 2 2 4 2 2 3" xfId="19620"/>
    <cellStyle name="Input 2 2 2 4 2 2 3 2" xfId="19621"/>
    <cellStyle name="Input 2 2 2 4 2 2 4" xfId="19622"/>
    <cellStyle name="Input 2 2 2 4 2 2 4 2" xfId="19623"/>
    <cellStyle name="Input 2 2 2 4 2 2 5" xfId="19624"/>
    <cellStyle name="Input 2 2 2 4 2 2 6" xfId="19625"/>
    <cellStyle name="Input 2 2 2 4 2 2 7" xfId="19626"/>
    <cellStyle name="Input 2 2 2 4 2 3" xfId="19627"/>
    <cellStyle name="Input 2 2 2 4 2 3 2" xfId="19628"/>
    <cellStyle name="Input 2 2 2 4 2 3 2 2" xfId="19629"/>
    <cellStyle name="Input 2 2 2 4 2 3 3" xfId="19630"/>
    <cellStyle name="Input 2 2 2 4 2 3 3 2" xfId="19631"/>
    <cellStyle name="Input 2 2 2 4 2 3 4" xfId="19632"/>
    <cellStyle name="Input 2 2 2 4 2 3 5" xfId="19633"/>
    <cellStyle name="Input 2 2 2 4 2 3 6" xfId="19634"/>
    <cellStyle name="Input 2 2 2 4 2 4" xfId="19635"/>
    <cellStyle name="Input 2 2 2 4 2 4 2" xfId="19636"/>
    <cellStyle name="Input 2 2 2 4 2 5" xfId="19637"/>
    <cellStyle name="Input 2 2 2 4 2 5 2" xfId="19638"/>
    <cellStyle name="Input 2 2 2 4 2 6" xfId="19639"/>
    <cellStyle name="Input 2 2 2 4 2 7" xfId="19640"/>
    <cellStyle name="Input 2 2 2 4 2 8" xfId="19641"/>
    <cellStyle name="Input 2 2 2 4 3" xfId="19642"/>
    <cellStyle name="Input 2 2 2 4 3 2" xfId="19643"/>
    <cellStyle name="Input 2 2 2 4 3 2 2" xfId="19644"/>
    <cellStyle name="Input 2 2 2 4 3 2 2 2" xfId="19645"/>
    <cellStyle name="Input 2 2 2 4 3 2 2 2 2" xfId="19646"/>
    <cellStyle name="Input 2 2 2 4 3 2 2 3" xfId="19647"/>
    <cellStyle name="Input 2 2 2 4 3 2 2 3 2" xfId="19648"/>
    <cellStyle name="Input 2 2 2 4 3 2 2 4" xfId="19649"/>
    <cellStyle name="Input 2 2 2 4 3 2 2 5" xfId="19650"/>
    <cellStyle name="Input 2 2 2 4 3 2 2 6" xfId="19651"/>
    <cellStyle name="Input 2 2 2 4 3 2 3" xfId="19652"/>
    <cellStyle name="Input 2 2 2 4 3 2 3 2" xfId="19653"/>
    <cellStyle name="Input 2 2 2 4 3 2 4" xfId="19654"/>
    <cellStyle name="Input 2 2 2 4 3 2 4 2" xfId="19655"/>
    <cellStyle name="Input 2 2 2 4 3 2 5" xfId="19656"/>
    <cellStyle name="Input 2 2 2 4 3 2 6" xfId="19657"/>
    <cellStyle name="Input 2 2 2 4 3 2 7" xfId="19658"/>
    <cellStyle name="Input 2 2 2 4 3 3" xfId="19659"/>
    <cellStyle name="Input 2 2 2 4 3 3 2" xfId="19660"/>
    <cellStyle name="Input 2 2 2 4 3 3 2 2" xfId="19661"/>
    <cellStyle name="Input 2 2 2 4 3 3 3" xfId="19662"/>
    <cellStyle name="Input 2 2 2 4 3 3 3 2" xfId="19663"/>
    <cellStyle name="Input 2 2 2 4 3 3 4" xfId="19664"/>
    <cellStyle name="Input 2 2 2 4 3 3 5" xfId="19665"/>
    <cellStyle name="Input 2 2 2 4 3 3 6" xfId="19666"/>
    <cellStyle name="Input 2 2 2 4 3 4" xfId="19667"/>
    <cellStyle name="Input 2 2 2 4 3 4 2" xfId="19668"/>
    <cellStyle name="Input 2 2 2 4 3 5" xfId="19669"/>
    <cellStyle name="Input 2 2 2 4 3 5 2" xfId="19670"/>
    <cellStyle name="Input 2 2 2 4 3 6" xfId="19671"/>
    <cellStyle name="Input 2 2 2 4 3 7" xfId="19672"/>
    <cellStyle name="Input 2 2 2 4 3 8" xfId="19673"/>
    <cellStyle name="Input 2 2 2 4 4" xfId="19674"/>
    <cellStyle name="Input 2 2 2 4 4 2" xfId="19675"/>
    <cellStyle name="Input 2 2 2 4 4 2 2" xfId="19676"/>
    <cellStyle name="Input 2 2 2 4 4 2 2 2" xfId="19677"/>
    <cellStyle name="Input 2 2 2 4 4 2 3" xfId="19678"/>
    <cellStyle name="Input 2 2 2 4 4 2 3 2" xfId="19679"/>
    <cellStyle name="Input 2 2 2 4 4 2 4" xfId="19680"/>
    <cellStyle name="Input 2 2 2 4 4 2 5" xfId="19681"/>
    <cellStyle name="Input 2 2 2 4 4 2 6" xfId="19682"/>
    <cellStyle name="Input 2 2 2 4 4 3" xfId="19683"/>
    <cellStyle name="Input 2 2 2 4 4 3 2" xfId="19684"/>
    <cellStyle name="Input 2 2 2 4 4 4" xfId="19685"/>
    <cellStyle name="Input 2 2 2 4 4 4 2" xfId="19686"/>
    <cellStyle name="Input 2 2 2 4 4 5" xfId="19687"/>
    <cellStyle name="Input 2 2 2 4 4 6" xfId="19688"/>
    <cellStyle name="Input 2 2 2 4 4 7" xfId="19689"/>
    <cellStyle name="Input 2 2 2 4 5" xfId="19690"/>
    <cellStyle name="Input 2 2 2 4 5 2" xfId="19691"/>
    <cellStyle name="Input 2 2 2 4 5 2 2" xfId="19692"/>
    <cellStyle name="Input 2 2 2 4 5 3" xfId="19693"/>
    <cellStyle name="Input 2 2 2 4 5 3 2" xfId="19694"/>
    <cellStyle name="Input 2 2 2 4 5 4" xfId="19695"/>
    <cellStyle name="Input 2 2 2 4 5 5" xfId="19696"/>
    <cellStyle name="Input 2 2 2 4 5 6" xfId="19697"/>
    <cellStyle name="Input 2 2 2 4 6" xfId="19698"/>
    <cellStyle name="Input 2 2 2 4 6 2" xfId="19699"/>
    <cellStyle name="Input 2 2 2 4 7" xfId="19700"/>
    <cellStyle name="Input 2 2 2 4 7 2" xfId="19701"/>
    <cellStyle name="Input 2 2 2 4 8" xfId="19702"/>
    <cellStyle name="Input 2 2 2 4 9" xfId="19703"/>
    <cellStyle name="Input 2 2 2 5" xfId="19704"/>
    <cellStyle name="Input 2 2 2 5 2" xfId="19705"/>
    <cellStyle name="Input 2 2 2 5 2 2" xfId="19706"/>
    <cellStyle name="Input 2 2 2 5 2 2 2" xfId="19707"/>
    <cellStyle name="Input 2 2 2 5 2 2 2 2" xfId="19708"/>
    <cellStyle name="Input 2 2 2 5 2 2 3" xfId="19709"/>
    <cellStyle name="Input 2 2 2 5 2 2 3 2" xfId="19710"/>
    <cellStyle name="Input 2 2 2 5 2 2 4" xfId="19711"/>
    <cellStyle name="Input 2 2 2 5 2 2 5" xfId="19712"/>
    <cellStyle name="Input 2 2 2 5 2 2 6" xfId="19713"/>
    <cellStyle name="Input 2 2 2 5 2 3" xfId="19714"/>
    <cellStyle name="Input 2 2 2 5 2 3 2" xfId="19715"/>
    <cellStyle name="Input 2 2 2 5 2 4" xfId="19716"/>
    <cellStyle name="Input 2 2 2 5 2 4 2" xfId="19717"/>
    <cellStyle name="Input 2 2 2 5 2 5" xfId="19718"/>
    <cellStyle name="Input 2 2 2 5 2 6" xfId="19719"/>
    <cellStyle name="Input 2 2 2 5 2 7" xfId="19720"/>
    <cellStyle name="Input 2 2 2 5 3" xfId="19721"/>
    <cellStyle name="Input 2 2 2 5 3 2" xfId="19722"/>
    <cellStyle name="Input 2 2 2 5 3 2 2" xfId="19723"/>
    <cellStyle name="Input 2 2 2 5 3 3" xfId="19724"/>
    <cellStyle name="Input 2 2 2 5 3 3 2" xfId="19725"/>
    <cellStyle name="Input 2 2 2 5 3 4" xfId="19726"/>
    <cellStyle name="Input 2 2 2 5 3 5" xfId="19727"/>
    <cellStyle name="Input 2 2 2 5 3 6" xfId="19728"/>
    <cellStyle name="Input 2 2 2 5 4" xfId="19729"/>
    <cellStyle name="Input 2 2 2 5 4 2" xfId="19730"/>
    <cellStyle name="Input 2 2 2 5 5" xfId="19731"/>
    <cellStyle name="Input 2 2 2 5 5 2" xfId="19732"/>
    <cellStyle name="Input 2 2 2 5 6" xfId="19733"/>
    <cellStyle name="Input 2 2 2 5 7" xfId="19734"/>
    <cellStyle name="Input 2 2 2 5 8" xfId="19735"/>
    <cellStyle name="Input 2 2 2 6" xfId="19736"/>
    <cellStyle name="Input 2 2 2 6 2" xfId="19737"/>
    <cellStyle name="Input 2 2 2 6 2 2" xfId="19738"/>
    <cellStyle name="Input 2 2 2 6 2 2 2" xfId="19739"/>
    <cellStyle name="Input 2 2 2 6 2 3" xfId="19740"/>
    <cellStyle name="Input 2 2 2 6 2 3 2" xfId="19741"/>
    <cellStyle name="Input 2 2 2 6 2 4" xfId="19742"/>
    <cellStyle name="Input 2 2 2 6 2 5" xfId="19743"/>
    <cellStyle name="Input 2 2 2 6 2 6" xfId="19744"/>
    <cellStyle name="Input 2 2 2 6 3" xfId="19745"/>
    <cellStyle name="Input 2 2 2 6 3 2" xfId="19746"/>
    <cellStyle name="Input 2 2 2 6 4" xfId="19747"/>
    <cellStyle name="Input 2 2 2 6 4 2" xfId="19748"/>
    <cellStyle name="Input 2 2 2 6 5" xfId="19749"/>
    <cellStyle name="Input 2 2 2 6 6" xfId="19750"/>
    <cellStyle name="Input 2 2 2 6 7" xfId="19751"/>
    <cellStyle name="Input 2 2 2 7" xfId="19752"/>
    <cellStyle name="Input 2 2 2 7 2" xfId="19753"/>
    <cellStyle name="Input 2 2 2 7 2 2" xfId="19754"/>
    <cellStyle name="Input 2 2 2 7 3" xfId="19755"/>
    <cellStyle name="Input 2 2 2 7 3 2" xfId="19756"/>
    <cellStyle name="Input 2 2 2 7 4" xfId="19757"/>
    <cellStyle name="Input 2 2 2 7 5" xfId="19758"/>
    <cellStyle name="Input 2 2 2 7 6" xfId="19759"/>
    <cellStyle name="Input 2 2 2 8" xfId="19760"/>
    <cellStyle name="Input 2 2 2 8 2" xfId="19761"/>
    <cellStyle name="Input 2 2 2 9" xfId="19762"/>
    <cellStyle name="Input 2 2 2 9 2" xfId="19763"/>
    <cellStyle name="Input 2 2 3" xfId="19764"/>
    <cellStyle name="Input 2 2 3 10" xfId="19765"/>
    <cellStyle name="Input 2 2 3 11" xfId="19766"/>
    <cellStyle name="Input 2 2 3 12" xfId="19767"/>
    <cellStyle name="Input 2 2 3 2" xfId="19768"/>
    <cellStyle name="Input 2 2 3 2 10" xfId="19769"/>
    <cellStyle name="Input 2 2 3 2 11" xfId="19770"/>
    <cellStyle name="Input 2 2 3 2 2" xfId="19771"/>
    <cellStyle name="Input 2 2 3 2 2 10" xfId="19772"/>
    <cellStyle name="Input 2 2 3 2 2 2" xfId="19773"/>
    <cellStyle name="Input 2 2 3 2 2 2 2" xfId="19774"/>
    <cellStyle name="Input 2 2 3 2 2 2 2 2" xfId="19775"/>
    <cellStyle name="Input 2 2 3 2 2 2 2 2 2" xfId="19776"/>
    <cellStyle name="Input 2 2 3 2 2 2 2 2 2 2" xfId="19777"/>
    <cellStyle name="Input 2 2 3 2 2 2 2 2 3" xfId="19778"/>
    <cellStyle name="Input 2 2 3 2 2 2 2 2 3 2" xfId="19779"/>
    <cellStyle name="Input 2 2 3 2 2 2 2 2 4" xfId="19780"/>
    <cellStyle name="Input 2 2 3 2 2 2 2 2 5" xfId="19781"/>
    <cellStyle name="Input 2 2 3 2 2 2 2 2 6" xfId="19782"/>
    <cellStyle name="Input 2 2 3 2 2 2 2 3" xfId="19783"/>
    <cellStyle name="Input 2 2 3 2 2 2 2 3 2" xfId="19784"/>
    <cellStyle name="Input 2 2 3 2 2 2 2 4" xfId="19785"/>
    <cellStyle name="Input 2 2 3 2 2 2 2 4 2" xfId="19786"/>
    <cellStyle name="Input 2 2 3 2 2 2 2 5" xfId="19787"/>
    <cellStyle name="Input 2 2 3 2 2 2 2 6" xfId="19788"/>
    <cellStyle name="Input 2 2 3 2 2 2 2 7" xfId="19789"/>
    <cellStyle name="Input 2 2 3 2 2 2 3" xfId="19790"/>
    <cellStyle name="Input 2 2 3 2 2 2 3 2" xfId="19791"/>
    <cellStyle name="Input 2 2 3 2 2 2 3 2 2" xfId="19792"/>
    <cellStyle name="Input 2 2 3 2 2 2 3 3" xfId="19793"/>
    <cellStyle name="Input 2 2 3 2 2 2 3 3 2" xfId="19794"/>
    <cellStyle name="Input 2 2 3 2 2 2 3 4" xfId="19795"/>
    <cellStyle name="Input 2 2 3 2 2 2 3 5" xfId="19796"/>
    <cellStyle name="Input 2 2 3 2 2 2 3 6" xfId="19797"/>
    <cellStyle name="Input 2 2 3 2 2 2 4" xfId="19798"/>
    <cellStyle name="Input 2 2 3 2 2 2 4 2" xfId="19799"/>
    <cellStyle name="Input 2 2 3 2 2 2 5" xfId="19800"/>
    <cellStyle name="Input 2 2 3 2 2 2 5 2" xfId="19801"/>
    <cellStyle name="Input 2 2 3 2 2 2 6" xfId="19802"/>
    <cellStyle name="Input 2 2 3 2 2 2 7" xfId="19803"/>
    <cellStyle name="Input 2 2 3 2 2 2 8" xfId="19804"/>
    <cellStyle name="Input 2 2 3 2 2 3" xfId="19805"/>
    <cellStyle name="Input 2 2 3 2 2 3 2" xfId="19806"/>
    <cellStyle name="Input 2 2 3 2 2 3 2 2" xfId="19807"/>
    <cellStyle name="Input 2 2 3 2 2 3 2 2 2" xfId="19808"/>
    <cellStyle name="Input 2 2 3 2 2 3 2 2 2 2" xfId="19809"/>
    <cellStyle name="Input 2 2 3 2 2 3 2 2 3" xfId="19810"/>
    <cellStyle name="Input 2 2 3 2 2 3 2 2 3 2" xfId="19811"/>
    <cellStyle name="Input 2 2 3 2 2 3 2 2 4" xfId="19812"/>
    <cellStyle name="Input 2 2 3 2 2 3 2 2 5" xfId="19813"/>
    <cellStyle name="Input 2 2 3 2 2 3 2 2 6" xfId="19814"/>
    <cellStyle name="Input 2 2 3 2 2 3 2 3" xfId="19815"/>
    <cellStyle name="Input 2 2 3 2 2 3 2 3 2" xfId="19816"/>
    <cellStyle name="Input 2 2 3 2 2 3 2 4" xfId="19817"/>
    <cellStyle name="Input 2 2 3 2 2 3 2 4 2" xfId="19818"/>
    <cellStyle name="Input 2 2 3 2 2 3 2 5" xfId="19819"/>
    <cellStyle name="Input 2 2 3 2 2 3 2 6" xfId="19820"/>
    <cellStyle name="Input 2 2 3 2 2 3 2 7" xfId="19821"/>
    <cellStyle name="Input 2 2 3 2 2 3 3" xfId="19822"/>
    <cellStyle name="Input 2 2 3 2 2 3 3 2" xfId="19823"/>
    <cellStyle name="Input 2 2 3 2 2 3 3 2 2" xfId="19824"/>
    <cellStyle name="Input 2 2 3 2 2 3 3 3" xfId="19825"/>
    <cellStyle name="Input 2 2 3 2 2 3 3 3 2" xfId="19826"/>
    <cellStyle name="Input 2 2 3 2 2 3 3 4" xfId="19827"/>
    <cellStyle name="Input 2 2 3 2 2 3 3 5" xfId="19828"/>
    <cellStyle name="Input 2 2 3 2 2 3 3 6" xfId="19829"/>
    <cellStyle name="Input 2 2 3 2 2 3 4" xfId="19830"/>
    <cellStyle name="Input 2 2 3 2 2 3 4 2" xfId="19831"/>
    <cellStyle name="Input 2 2 3 2 2 3 5" xfId="19832"/>
    <cellStyle name="Input 2 2 3 2 2 3 5 2" xfId="19833"/>
    <cellStyle name="Input 2 2 3 2 2 3 6" xfId="19834"/>
    <cellStyle name="Input 2 2 3 2 2 3 7" xfId="19835"/>
    <cellStyle name="Input 2 2 3 2 2 3 8" xfId="19836"/>
    <cellStyle name="Input 2 2 3 2 2 4" xfId="19837"/>
    <cellStyle name="Input 2 2 3 2 2 4 2" xfId="19838"/>
    <cellStyle name="Input 2 2 3 2 2 4 2 2" xfId="19839"/>
    <cellStyle name="Input 2 2 3 2 2 4 2 2 2" xfId="19840"/>
    <cellStyle name="Input 2 2 3 2 2 4 2 3" xfId="19841"/>
    <cellStyle name="Input 2 2 3 2 2 4 2 3 2" xfId="19842"/>
    <cellStyle name="Input 2 2 3 2 2 4 2 4" xfId="19843"/>
    <cellStyle name="Input 2 2 3 2 2 4 2 5" xfId="19844"/>
    <cellStyle name="Input 2 2 3 2 2 4 2 6" xfId="19845"/>
    <cellStyle name="Input 2 2 3 2 2 4 3" xfId="19846"/>
    <cellStyle name="Input 2 2 3 2 2 4 3 2" xfId="19847"/>
    <cellStyle name="Input 2 2 3 2 2 4 4" xfId="19848"/>
    <cellStyle name="Input 2 2 3 2 2 4 4 2" xfId="19849"/>
    <cellStyle name="Input 2 2 3 2 2 4 5" xfId="19850"/>
    <cellStyle name="Input 2 2 3 2 2 4 6" xfId="19851"/>
    <cellStyle name="Input 2 2 3 2 2 4 7" xfId="19852"/>
    <cellStyle name="Input 2 2 3 2 2 5" xfId="19853"/>
    <cellStyle name="Input 2 2 3 2 2 5 2" xfId="19854"/>
    <cellStyle name="Input 2 2 3 2 2 5 2 2" xfId="19855"/>
    <cellStyle name="Input 2 2 3 2 2 5 3" xfId="19856"/>
    <cellStyle name="Input 2 2 3 2 2 5 3 2" xfId="19857"/>
    <cellStyle name="Input 2 2 3 2 2 5 4" xfId="19858"/>
    <cellStyle name="Input 2 2 3 2 2 5 5" xfId="19859"/>
    <cellStyle name="Input 2 2 3 2 2 5 6" xfId="19860"/>
    <cellStyle name="Input 2 2 3 2 2 6" xfId="19861"/>
    <cellStyle name="Input 2 2 3 2 2 6 2" xfId="19862"/>
    <cellStyle name="Input 2 2 3 2 2 7" xfId="19863"/>
    <cellStyle name="Input 2 2 3 2 2 7 2" xfId="19864"/>
    <cellStyle name="Input 2 2 3 2 2 8" xfId="19865"/>
    <cellStyle name="Input 2 2 3 2 2 9" xfId="19866"/>
    <cellStyle name="Input 2 2 3 2 3" xfId="19867"/>
    <cellStyle name="Input 2 2 3 2 3 2" xfId="19868"/>
    <cellStyle name="Input 2 2 3 2 3 2 2" xfId="19869"/>
    <cellStyle name="Input 2 2 3 2 3 2 2 2" xfId="19870"/>
    <cellStyle name="Input 2 2 3 2 3 2 2 2 2" xfId="19871"/>
    <cellStyle name="Input 2 2 3 2 3 2 2 3" xfId="19872"/>
    <cellStyle name="Input 2 2 3 2 3 2 2 3 2" xfId="19873"/>
    <cellStyle name="Input 2 2 3 2 3 2 2 4" xfId="19874"/>
    <cellStyle name="Input 2 2 3 2 3 2 2 5" xfId="19875"/>
    <cellStyle name="Input 2 2 3 2 3 2 2 6" xfId="19876"/>
    <cellStyle name="Input 2 2 3 2 3 2 3" xfId="19877"/>
    <cellStyle name="Input 2 2 3 2 3 2 3 2" xfId="19878"/>
    <cellStyle name="Input 2 2 3 2 3 2 4" xfId="19879"/>
    <cellStyle name="Input 2 2 3 2 3 2 4 2" xfId="19880"/>
    <cellStyle name="Input 2 2 3 2 3 2 5" xfId="19881"/>
    <cellStyle name="Input 2 2 3 2 3 2 6" xfId="19882"/>
    <cellStyle name="Input 2 2 3 2 3 2 7" xfId="19883"/>
    <cellStyle name="Input 2 2 3 2 3 3" xfId="19884"/>
    <cellStyle name="Input 2 2 3 2 3 3 2" xfId="19885"/>
    <cellStyle name="Input 2 2 3 2 3 3 2 2" xfId="19886"/>
    <cellStyle name="Input 2 2 3 2 3 3 3" xfId="19887"/>
    <cellStyle name="Input 2 2 3 2 3 3 3 2" xfId="19888"/>
    <cellStyle name="Input 2 2 3 2 3 3 4" xfId="19889"/>
    <cellStyle name="Input 2 2 3 2 3 3 5" xfId="19890"/>
    <cellStyle name="Input 2 2 3 2 3 3 6" xfId="19891"/>
    <cellStyle name="Input 2 2 3 2 3 4" xfId="19892"/>
    <cellStyle name="Input 2 2 3 2 3 4 2" xfId="19893"/>
    <cellStyle name="Input 2 2 3 2 3 5" xfId="19894"/>
    <cellStyle name="Input 2 2 3 2 3 5 2" xfId="19895"/>
    <cellStyle name="Input 2 2 3 2 3 6" xfId="19896"/>
    <cellStyle name="Input 2 2 3 2 3 7" xfId="19897"/>
    <cellStyle name="Input 2 2 3 2 3 8" xfId="19898"/>
    <cellStyle name="Input 2 2 3 2 4" xfId="19899"/>
    <cellStyle name="Input 2 2 3 2 4 2" xfId="19900"/>
    <cellStyle name="Input 2 2 3 2 4 2 2" xfId="19901"/>
    <cellStyle name="Input 2 2 3 2 4 2 2 2" xfId="19902"/>
    <cellStyle name="Input 2 2 3 2 4 2 2 2 2" xfId="19903"/>
    <cellStyle name="Input 2 2 3 2 4 2 2 3" xfId="19904"/>
    <cellStyle name="Input 2 2 3 2 4 2 2 3 2" xfId="19905"/>
    <cellStyle name="Input 2 2 3 2 4 2 2 4" xfId="19906"/>
    <cellStyle name="Input 2 2 3 2 4 2 2 5" xfId="19907"/>
    <cellStyle name="Input 2 2 3 2 4 2 2 6" xfId="19908"/>
    <cellStyle name="Input 2 2 3 2 4 2 3" xfId="19909"/>
    <cellStyle name="Input 2 2 3 2 4 2 3 2" xfId="19910"/>
    <cellStyle name="Input 2 2 3 2 4 2 4" xfId="19911"/>
    <cellStyle name="Input 2 2 3 2 4 2 4 2" xfId="19912"/>
    <cellStyle name="Input 2 2 3 2 4 2 5" xfId="19913"/>
    <cellStyle name="Input 2 2 3 2 4 2 6" xfId="19914"/>
    <cellStyle name="Input 2 2 3 2 4 2 7" xfId="19915"/>
    <cellStyle name="Input 2 2 3 2 4 3" xfId="19916"/>
    <cellStyle name="Input 2 2 3 2 4 3 2" xfId="19917"/>
    <cellStyle name="Input 2 2 3 2 4 3 2 2" xfId="19918"/>
    <cellStyle name="Input 2 2 3 2 4 3 3" xfId="19919"/>
    <cellStyle name="Input 2 2 3 2 4 3 3 2" xfId="19920"/>
    <cellStyle name="Input 2 2 3 2 4 3 4" xfId="19921"/>
    <cellStyle name="Input 2 2 3 2 4 3 5" xfId="19922"/>
    <cellStyle name="Input 2 2 3 2 4 3 6" xfId="19923"/>
    <cellStyle name="Input 2 2 3 2 4 4" xfId="19924"/>
    <cellStyle name="Input 2 2 3 2 4 4 2" xfId="19925"/>
    <cellStyle name="Input 2 2 3 2 4 5" xfId="19926"/>
    <cellStyle name="Input 2 2 3 2 4 5 2" xfId="19927"/>
    <cellStyle name="Input 2 2 3 2 4 6" xfId="19928"/>
    <cellStyle name="Input 2 2 3 2 4 7" xfId="19929"/>
    <cellStyle name="Input 2 2 3 2 4 8" xfId="19930"/>
    <cellStyle name="Input 2 2 3 2 5" xfId="19931"/>
    <cellStyle name="Input 2 2 3 2 5 2" xfId="19932"/>
    <cellStyle name="Input 2 2 3 2 5 2 2" xfId="19933"/>
    <cellStyle name="Input 2 2 3 2 5 2 2 2" xfId="19934"/>
    <cellStyle name="Input 2 2 3 2 5 2 3" xfId="19935"/>
    <cellStyle name="Input 2 2 3 2 5 2 3 2" xfId="19936"/>
    <cellStyle name="Input 2 2 3 2 5 2 4" xfId="19937"/>
    <cellStyle name="Input 2 2 3 2 5 2 5" xfId="19938"/>
    <cellStyle name="Input 2 2 3 2 5 2 6" xfId="19939"/>
    <cellStyle name="Input 2 2 3 2 5 3" xfId="19940"/>
    <cellStyle name="Input 2 2 3 2 5 3 2" xfId="19941"/>
    <cellStyle name="Input 2 2 3 2 5 4" xfId="19942"/>
    <cellStyle name="Input 2 2 3 2 5 4 2" xfId="19943"/>
    <cellStyle name="Input 2 2 3 2 5 5" xfId="19944"/>
    <cellStyle name="Input 2 2 3 2 5 6" xfId="19945"/>
    <cellStyle name="Input 2 2 3 2 5 7" xfId="19946"/>
    <cellStyle name="Input 2 2 3 2 6" xfId="19947"/>
    <cellStyle name="Input 2 2 3 2 6 2" xfId="19948"/>
    <cellStyle name="Input 2 2 3 2 6 2 2" xfId="19949"/>
    <cellStyle name="Input 2 2 3 2 6 3" xfId="19950"/>
    <cellStyle name="Input 2 2 3 2 6 3 2" xfId="19951"/>
    <cellStyle name="Input 2 2 3 2 6 4" xfId="19952"/>
    <cellStyle name="Input 2 2 3 2 6 5" xfId="19953"/>
    <cellStyle name="Input 2 2 3 2 6 6" xfId="19954"/>
    <cellStyle name="Input 2 2 3 2 7" xfId="19955"/>
    <cellStyle name="Input 2 2 3 2 7 2" xfId="19956"/>
    <cellStyle name="Input 2 2 3 2 8" xfId="19957"/>
    <cellStyle name="Input 2 2 3 2 8 2" xfId="19958"/>
    <cellStyle name="Input 2 2 3 2 9" xfId="19959"/>
    <cellStyle name="Input 2 2 3 3" xfId="19960"/>
    <cellStyle name="Input 2 2 3 3 10" xfId="19961"/>
    <cellStyle name="Input 2 2 3 3 2" xfId="19962"/>
    <cellStyle name="Input 2 2 3 3 2 10" xfId="19963"/>
    <cellStyle name="Input 2 2 3 3 2 2" xfId="19964"/>
    <cellStyle name="Input 2 2 3 3 2 2 2" xfId="19965"/>
    <cellStyle name="Input 2 2 3 3 2 2 2 2" xfId="19966"/>
    <cellStyle name="Input 2 2 3 3 2 2 2 2 2" xfId="19967"/>
    <cellStyle name="Input 2 2 3 3 2 2 2 2 2 2" xfId="19968"/>
    <cellStyle name="Input 2 2 3 3 2 2 2 2 3" xfId="19969"/>
    <cellStyle name="Input 2 2 3 3 2 2 2 2 3 2" xfId="19970"/>
    <cellStyle name="Input 2 2 3 3 2 2 2 2 4" xfId="19971"/>
    <cellStyle name="Input 2 2 3 3 2 2 2 2 5" xfId="19972"/>
    <cellStyle name="Input 2 2 3 3 2 2 2 2 6" xfId="19973"/>
    <cellStyle name="Input 2 2 3 3 2 2 2 3" xfId="19974"/>
    <cellStyle name="Input 2 2 3 3 2 2 2 3 2" xfId="19975"/>
    <cellStyle name="Input 2 2 3 3 2 2 2 4" xfId="19976"/>
    <cellStyle name="Input 2 2 3 3 2 2 2 4 2" xfId="19977"/>
    <cellStyle name="Input 2 2 3 3 2 2 2 5" xfId="19978"/>
    <cellStyle name="Input 2 2 3 3 2 2 2 6" xfId="19979"/>
    <cellStyle name="Input 2 2 3 3 2 2 2 7" xfId="19980"/>
    <cellStyle name="Input 2 2 3 3 2 2 3" xfId="19981"/>
    <cellStyle name="Input 2 2 3 3 2 2 3 2" xfId="19982"/>
    <cellStyle name="Input 2 2 3 3 2 2 3 2 2" xfId="19983"/>
    <cellStyle name="Input 2 2 3 3 2 2 3 3" xfId="19984"/>
    <cellStyle name="Input 2 2 3 3 2 2 3 3 2" xfId="19985"/>
    <cellStyle name="Input 2 2 3 3 2 2 3 4" xfId="19986"/>
    <cellStyle name="Input 2 2 3 3 2 2 3 5" xfId="19987"/>
    <cellStyle name="Input 2 2 3 3 2 2 3 6" xfId="19988"/>
    <cellStyle name="Input 2 2 3 3 2 2 4" xfId="19989"/>
    <cellStyle name="Input 2 2 3 3 2 2 4 2" xfId="19990"/>
    <cellStyle name="Input 2 2 3 3 2 2 5" xfId="19991"/>
    <cellStyle name="Input 2 2 3 3 2 2 5 2" xfId="19992"/>
    <cellStyle name="Input 2 2 3 3 2 2 6" xfId="19993"/>
    <cellStyle name="Input 2 2 3 3 2 2 7" xfId="19994"/>
    <cellStyle name="Input 2 2 3 3 2 2 8" xfId="19995"/>
    <cellStyle name="Input 2 2 3 3 2 3" xfId="19996"/>
    <cellStyle name="Input 2 2 3 3 2 3 2" xfId="19997"/>
    <cellStyle name="Input 2 2 3 3 2 3 2 2" xfId="19998"/>
    <cellStyle name="Input 2 2 3 3 2 3 2 2 2" xfId="19999"/>
    <cellStyle name="Input 2 2 3 3 2 3 2 2 2 2" xfId="20000"/>
    <cellStyle name="Input 2 2 3 3 2 3 2 2 3" xfId="20001"/>
    <cellStyle name="Input 2 2 3 3 2 3 2 2 3 2" xfId="20002"/>
    <cellStyle name="Input 2 2 3 3 2 3 2 2 4" xfId="20003"/>
    <cellStyle name="Input 2 2 3 3 2 3 2 2 5" xfId="20004"/>
    <cellStyle name="Input 2 2 3 3 2 3 2 2 6" xfId="20005"/>
    <cellStyle name="Input 2 2 3 3 2 3 2 3" xfId="20006"/>
    <cellStyle name="Input 2 2 3 3 2 3 2 3 2" xfId="20007"/>
    <cellStyle name="Input 2 2 3 3 2 3 2 4" xfId="20008"/>
    <cellStyle name="Input 2 2 3 3 2 3 2 4 2" xfId="20009"/>
    <cellStyle name="Input 2 2 3 3 2 3 2 5" xfId="20010"/>
    <cellStyle name="Input 2 2 3 3 2 3 2 6" xfId="20011"/>
    <cellStyle name="Input 2 2 3 3 2 3 2 7" xfId="20012"/>
    <cellStyle name="Input 2 2 3 3 2 3 3" xfId="20013"/>
    <cellStyle name="Input 2 2 3 3 2 3 3 2" xfId="20014"/>
    <cellStyle name="Input 2 2 3 3 2 3 3 2 2" xfId="20015"/>
    <cellStyle name="Input 2 2 3 3 2 3 3 3" xfId="20016"/>
    <cellStyle name="Input 2 2 3 3 2 3 3 3 2" xfId="20017"/>
    <cellStyle name="Input 2 2 3 3 2 3 3 4" xfId="20018"/>
    <cellStyle name="Input 2 2 3 3 2 3 3 5" xfId="20019"/>
    <cellStyle name="Input 2 2 3 3 2 3 3 6" xfId="20020"/>
    <cellStyle name="Input 2 2 3 3 2 3 4" xfId="20021"/>
    <cellStyle name="Input 2 2 3 3 2 3 4 2" xfId="20022"/>
    <cellStyle name="Input 2 2 3 3 2 3 5" xfId="20023"/>
    <cellStyle name="Input 2 2 3 3 2 3 5 2" xfId="20024"/>
    <cellStyle name="Input 2 2 3 3 2 3 6" xfId="20025"/>
    <cellStyle name="Input 2 2 3 3 2 3 7" xfId="20026"/>
    <cellStyle name="Input 2 2 3 3 2 3 8" xfId="20027"/>
    <cellStyle name="Input 2 2 3 3 2 4" xfId="20028"/>
    <cellStyle name="Input 2 2 3 3 2 4 2" xfId="20029"/>
    <cellStyle name="Input 2 2 3 3 2 4 2 2" xfId="20030"/>
    <cellStyle name="Input 2 2 3 3 2 4 2 2 2" xfId="20031"/>
    <cellStyle name="Input 2 2 3 3 2 4 2 3" xfId="20032"/>
    <cellStyle name="Input 2 2 3 3 2 4 2 3 2" xfId="20033"/>
    <cellStyle name="Input 2 2 3 3 2 4 2 4" xfId="20034"/>
    <cellStyle name="Input 2 2 3 3 2 4 2 5" xfId="20035"/>
    <cellStyle name="Input 2 2 3 3 2 4 2 6" xfId="20036"/>
    <cellStyle name="Input 2 2 3 3 2 4 3" xfId="20037"/>
    <cellStyle name="Input 2 2 3 3 2 4 3 2" xfId="20038"/>
    <cellStyle name="Input 2 2 3 3 2 4 4" xfId="20039"/>
    <cellStyle name="Input 2 2 3 3 2 4 4 2" xfId="20040"/>
    <cellStyle name="Input 2 2 3 3 2 4 5" xfId="20041"/>
    <cellStyle name="Input 2 2 3 3 2 4 6" xfId="20042"/>
    <cellStyle name="Input 2 2 3 3 2 4 7" xfId="20043"/>
    <cellStyle name="Input 2 2 3 3 2 5" xfId="20044"/>
    <cellStyle name="Input 2 2 3 3 2 5 2" xfId="20045"/>
    <cellStyle name="Input 2 2 3 3 2 5 2 2" xfId="20046"/>
    <cellStyle name="Input 2 2 3 3 2 5 3" xfId="20047"/>
    <cellStyle name="Input 2 2 3 3 2 5 3 2" xfId="20048"/>
    <cellStyle name="Input 2 2 3 3 2 5 4" xfId="20049"/>
    <cellStyle name="Input 2 2 3 3 2 5 5" xfId="20050"/>
    <cellStyle name="Input 2 2 3 3 2 5 6" xfId="20051"/>
    <cellStyle name="Input 2 2 3 3 2 6" xfId="20052"/>
    <cellStyle name="Input 2 2 3 3 2 6 2" xfId="20053"/>
    <cellStyle name="Input 2 2 3 3 2 7" xfId="20054"/>
    <cellStyle name="Input 2 2 3 3 2 7 2" xfId="20055"/>
    <cellStyle name="Input 2 2 3 3 2 8" xfId="20056"/>
    <cellStyle name="Input 2 2 3 3 2 9" xfId="20057"/>
    <cellStyle name="Input 2 2 3 3 3" xfId="20058"/>
    <cellStyle name="Input 2 2 3 3 3 2" xfId="20059"/>
    <cellStyle name="Input 2 2 3 3 3 2 2" xfId="20060"/>
    <cellStyle name="Input 2 2 3 3 3 2 2 2" xfId="20061"/>
    <cellStyle name="Input 2 2 3 3 3 2 2 2 2" xfId="20062"/>
    <cellStyle name="Input 2 2 3 3 3 2 2 3" xfId="20063"/>
    <cellStyle name="Input 2 2 3 3 3 2 2 3 2" xfId="20064"/>
    <cellStyle name="Input 2 2 3 3 3 2 2 4" xfId="20065"/>
    <cellStyle name="Input 2 2 3 3 3 2 2 5" xfId="20066"/>
    <cellStyle name="Input 2 2 3 3 3 2 2 6" xfId="20067"/>
    <cellStyle name="Input 2 2 3 3 3 2 3" xfId="20068"/>
    <cellStyle name="Input 2 2 3 3 3 2 3 2" xfId="20069"/>
    <cellStyle name="Input 2 2 3 3 3 2 4" xfId="20070"/>
    <cellStyle name="Input 2 2 3 3 3 2 4 2" xfId="20071"/>
    <cellStyle name="Input 2 2 3 3 3 2 5" xfId="20072"/>
    <cellStyle name="Input 2 2 3 3 3 2 6" xfId="20073"/>
    <cellStyle name="Input 2 2 3 3 3 2 7" xfId="20074"/>
    <cellStyle name="Input 2 2 3 3 3 3" xfId="20075"/>
    <cellStyle name="Input 2 2 3 3 3 3 2" xfId="20076"/>
    <cellStyle name="Input 2 2 3 3 3 3 2 2" xfId="20077"/>
    <cellStyle name="Input 2 2 3 3 3 3 3" xfId="20078"/>
    <cellStyle name="Input 2 2 3 3 3 3 3 2" xfId="20079"/>
    <cellStyle name="Input 2 2 3 3 3 3 4" xfId="20080"/>
    <cellStyle name="Input 2 2 3 3 3 3 5" xfId="20081"/>
    <cellStyle name="Input 2 2 3 3 3 3 6" xfId="20082"/>
    <cellStyle name="Input 2 2 3 3 3 4" xfId="20083"/>
    <cellStyle name="Input 2 2 3 3 3 4 2" xfId="20084"/>
    <cellStyle name="Input 2 2 3 3 3 5" xfId="20085"/>
    <cellStyle name="Input 2 2 3 3 3 5 2" xfId="20086"/>
    <cellStyle name="Input 2 2 3 3 3 6" xfId="20087"/>
    <cellStyle name="Input 2 2 3 3 3 7" xfId="20088"/>
    <cellStyle name="Input 2 2 3 3 3 8" xfId="20089"/>
    <cellStyle name="Input 2 2 3 3 4" xfId="20090"/>
    <cellStyle name="Input 2 2 3 3 4 2" xfId="20091"/>
    <cellStyle name="Input 2 2 3 3 4 2 2" xfId="20092"/>
    <cellStyle name="Input 2 2 3 3 4 2 2 2" xfId="20093"/>
    <cellStyle name="Input 2 2 3 3 4 2 3" xfId="20094"/>
    <cellStyle name="Input 2 2 3 3 4 2 3 2" xfId="20095"/>
    <cellStyle name="Input 2 2 3 3 4 2 4" xfId="20096"/>
    <cellStyle name="Input 2 2 3 3 4 2 5" xfId="20097"/>
    <cellStyle name="Input 2 2 3 3 4 2 6" xfId="20098"/>
    <cellStyle name="Input 2 2 3 3 4 3" xfId="20099"/>
    <cellStyle name="Input 2 2 3 3 4 3 2" xfId="20100"/>
    <cellStyle name="Input 2 2 3 3 4 4" xfId="20101"/>
    <cellStyle name="Input 2 2 3 3 4 4 2" xfId="20102"/>
    <cellStyle name="Input 2 2 3 3 4 5" xfId="20103"/>
    <cellStyle name="Input 2 2 3 3 4 6" xfId="20104"/>
    <cellStyle name="Input 2 2 3 3 4 7" xfId="20105"/>
    <cellStyle name="Input 2 2 3 3 5" xfId="20106"/>
    <cellStyle name="Input 2 2 3 3 5 2" xfId="20107"/>
    <cellStyle name="Input 2 2 3 3 5 2 2" xfId="20108"/>
    <cellStyle name="Input 2 2 3 3 5 3" xfId="20109"/>
    <cellStyle name="Input 2 2 3 3 5 3 2" xfId="20110"/>
    <cellStyle name="Input 2 2 3 3 5 4" xfId="20111"/>
    <cellStyle name="Input 2 2 3 3 5 5" xfId="20112"/>
    <cellStyle name="Input 2 2 3 3 5 6" xfId="20113"/>
    <cellStyle name="Input 2 2 3 3 6" xfId="20114"/>
    <cellStyle name="Input 2 2 3 3 6 2" xfId="20115"/>
    <cellStyle name="Input 2 2 3 3 7" xfId="20116"/>
    <cellStyle name="Input 2 2 3 3 7 2" xfId="20117"/>
    <cellStyle name="Input 2 2 3 3 8" xfId="20118"/>
    <cellStyle name="Input 2 2 3 3 9" xfId="20119"/>
    <cellStyle name="Input 2 2 3 4" xfId="20120"/>
    <cellStyle name="Input 2 2 3 4 10" xfId="20121"/>
    <cellStyle name="Input 2 2 3 4 2" xfId="20122"/>
    <cellStyle name="Input 2 2 3 4 2 2" xfId="20123"/>
    <cellStyle name="Input 2 2 3 4 2 2 2" xfId="20124"/>
    <cellStyle name="Input 2 2 3 4 2 2 2 2" xfId="20125"/>
    <cellStyle name="Input 2 2 3 4 2 2 2 2 2" xfId="20126"/>
    <cellStyle name="Input 2 2 3 4 2 2 2 3" xfId="20127"/>
    <cellStyle name="Input 2 2 3 4 2 2 2 3 2" xfId="20128"/>
    <cellStyle name="Input 2 2 3 4 2 2 2 4" xfId="20129"/>
    <cellStyle name="Input 2 2 3 4 2 2 2 5" xfId="20130"/>
    <cellStyle name="Input 2 2 3 4 2 2 2 6" xfId="20131"/>
    <cellStyle name="Input 2 2 3 4 2 2 3" xfId="20132"/>
    <cellStyle name="Input 2 2 3 4 2 2 3 2" xfId="20133"/>
    <cellStyle name="Input 2 2 3 4 2 2 4" xfId="20134"/>
    <cellStyle name="Input 2 2 3 4 2 2 4 2" xfId="20135"/>
    <cellStyle name="Input 2 2 3 4 2 2 5" xfId="20136"/>
    <cellStyle name="Input 2 2 3 4 2 2 6" xfId="20137"/>
    <cellStyle name="Input 2 2 3 4 2 2 7" xfId="20138"/>
    <cellStyle name="Input 2 2 3 4 2 3" xfId="20139"/>
    <cellStyle name="Input 2 2 3 4 2 3 2" xfId="20140"/>
    <cellStyle name="Input 2 2 3 4 2 3 2 2" xfId="20141"/>
    <cellStyle name="Input 2 2 3 4 2 3 3" xfId="20142"/>
    <cellStyle name="Input 2 2 3 4 2 3 3 2" xfId="20143"/>
    <cellStyle name="Input 2 2 3 4 2 3 4" xfId="20144"/>
    <cellStyle name="Input 2 2 3 4 2 3 5" xfId="20145"/>
    <cellStyle name="Input 2 2 3 4 2 3 6" xfId="20146"/>
    <cellStyle name="Input 2 2 3 4 2 4" xfId="20147"/>
    <cellStyle name="Input 2 2 3 4 2 4 2" xfId="20148"/>
    <cellStyle name="Input 2 2 3 4 2 5" xfId="20149"/>
    <cellStyle name="Input 2 2 3 4 2 5 2" xfId="20150"/>
    <cellStyle name="Input 2 2 3 4 2 6" xfId="20151"/>
    <cellStyle name="Input 2 2 3 4 2 7" xfId="20152"/>
    <cellStyle name="Input 2 2 3 4 2 8" xfId="20153"/>
    <cellStyle name="Input 2 2 3 4 3" xfId="20154"/>
    <cellStyle name="Input 2 2 3 4 3 2" xfId="20155"/>
    <cellStyle name="Input 2 2 3 4 3 2 2" xfId="20156"/>
    <cellStyle name="Input 2 2 3 4 3 2 2 2" xfId="20157"/>
    <cellStyle name="Input 2 2 3 4 3 2 2 2 2" xfId="20158"/>
    <cellStyle name="Input 2 2 3 4 3 2 2 3" xfId="20159"/>
    <cellStyle name="Input 2 2 3 4 3 2 2 3 2" xfId="20160"/>
    <cellStyle name="Input 2 2 3 4 3 2 2 4" xfId="20161"/>
    <cellStyle name="Input 2 2 3 4 3 2 2 5" xfId="20162"/>
    <cellStyle name="Input 2 2 3 4 3 2 2 6" xfId="20163"/>
    <cellStyle name="Input 2 2 3 4 3 2 3" xfId="20164"/>
    <cellStyle name="Input 2 2 3 4 3 2 3 2" xfId="20165"/>
    <cellStyle name="Input 2 2 3 4 3 2 4" xfId="20166"/>
    <cellStyle name="Input 2 2 3 4 3 2 4 2" xfId="20167"/>
    <cellStyle name="Input 2 2 3 4 3 2 5" xfId="20168"/>
    <cellStyle name="Input 2 2 3 4 3 2 6" xfId="20169"/>
    <cellStyle name="Input 2 2 3 4 3 2 7" xfId="20170"/>
    <cellStyle name="Input 2 2 3 4 3 3" xfId="20171"/>
    <cellStyle name="Input 2 2 3 4 3 3 2" xfId="20172"/>
    <cellStyle name="Input 2 2 3 4 3 3 2 2" xfId="20173"/>
    <cellStyle name="Input 2 2 3 4 3 3 3" xfId="20174"/>
    <cellStyle name="Input 2 2 3 4 3 3 3 2" xfId="20175"/>
    <cellStyle name="Input 2 2 3 4 3 3 4" xfId="20176"/>
    <cellStyle name="Input 2 2 3 4 3 3 5" xfId="20177"/>
    <cellStyle name="Input 2 2 3 4 3 3 6" xfId="20178"/>
    <cellStyle name="Input 2 2 3 4 3 4" xfId="20179"/>
    <cellStyle name="Input 2 2 3 4 3 4 2" xfId="20180"/>
    <cellStyle name="Input 2 2 3 4 3 5" xfId="20181"/>
    <cellStyle name="Input 2 2 3 4 3 5 2" xfId="20182"/>
    <cellStyle name="Input 2 2 3 4 3 6" xfId="20183"/>
    <cellStyle name="Input 2 2 3 4 3 7" xfId="20184"/>
    <cellStyle name="Input 2 2 3 4 3 8" xfId="20185"/>
    <cellStyle name="Input 2 2 3 4 4" xfId="20186"/>
    <cellStyle name="Input 2 2 3 4 4 2" xfId="20187"/>
    <cellStyle name="Input 2 2 3 4 4 2 2" xfId="20188"/>
    <cellStyle name="Input 2 2 3 4 4 2 2 2" xfId="20189"/>
    <cellStyle name="Input 2 2 3 4 4 2 3" xfId="20190"/>
    <cellStyle name="Input 2 2 3 4 4 2 3 2" xfId="20191"/>
    <cellStyle name="Input 2 2 3 4 4 2 4" xfId="20192"/>
    <cellStyle name="Input 2 2 3 4 4 2 5" xfId="20193"/>
    <cellStyle name="Input 2 2 3 4 4 2 6" xfId="20194"/>
    <cellStyle name="Input 2 2 3 4 4 3" xfId="20195"/>
    <cellStyle name="Input 2 2 3 4 4 3 2" xfId="20196"/>
    <cellStyle name="Input 2 2 3 4 4 4" xfId="20197"/>
    <cellStyle name="Input 2 2 3 4 4 4 2" xfId="20198"/>
    <cellStyle name="Input 2 2 3 4 4 5" xfId="20199"/>
    <cellStyle name="Input 2 2 3 4 4 6" xfId="20200"/>
    <cellStyle name="Input 2 2 3 4 4 7" xfId="20201"/>
    <cellStyle name="Input 2 2 3 4 5" xfId="20202"/>
    <cellStyle name="Input 2 2 3 4 5 2" xfId="20203"/>
    <cellStyle name="Input 2 2 3 4 5 2 2" xfId="20204"/>
    <cellStyle name="Input 2 2 3 4 5 3" xfId="20205"/>
    <cellStyle name="Input 2 2 3 4 5 3 2" xfId="20206"/>
    <cellStyle name="Input 2 2 3 4 5 4" xfId="20207"/>
    <cellStyle name="Input 2 2 3 4 5 5" xfId="20208"/>
    <cellStyle name="Input 2 2 3 4 5 6" xfId="20209"/>
    <cellStyle name="Input 2 2 3 4 6" xfId="20210"/>
    <cellStyle name="Input 2 2 3 4 6 2" xfId="20211"/>
    <cellStyle name="Input 2 2 3 4 7" xfId="20212"/>
    <cellStyle name="Input 2 2 3 4 7 2" xfId="20213"/>
    <cellStyle name="Input 2 2 3 4 8" xfId="20214"/>
    <cellStyle name="Input 2 2 3 4 9" xfId="20215"/>
    <cellStyle name="Input 2 2 3 5" xfId="20216"/>
    <cellStyle name="Input 2 2 3 5 2" xfId="20217"/>
    <cellStyle name="Input 2 2 3 5 2 2" xfId="20218"/>
    <cellStyle name="Input 2 2 3 5 2 2 2" xfId="20219"/>
    <cellStyle name="Input 2 2 3 5 2 2 2 2" xfId="20220"/>
    <cellStyle name="Input 2 2 3 5 2 2 3" xfId="20221"/>
    <cellStyle name="Input 2 2 3 5 2 2 3 2" xfId="20222"/>
    <cellStyle name="Input 2 2 3 5 2 2 4" xfId="20223"/>
    <cellStyle name="Input 2 2 3 5 2 2 5" xfId="20224"/>
    <cellStyle name="Input 2 2 3 5 2 2 6" xfId="20225"/>
    <cellStyle name="Input 2 2 3 5 2 3" xfId="20226"/>
    <cellStyle name="Input 2 2 3 5 2 3 2" xfId="20227"/>
    <cellStyle name="Input 2 2 3 5 2 4" xfId="20228"/>
    <cellStyle name="Input 2 2 3 5 2 4 2" xfId="20229"/>
    <cellStyle name="Input 2 2 3 5 2 5" xfId="20230"/>
    <cellStyle name="Input 2 2 3 5 2 6" xfId="20231"/>
    <cellStyle name="Input 2 2 3 5 2 7" xfId="20232"/>
    <cellStyle name="Input 2 2 3 5 3" xfId="20233"/>
    <cellStyle name="Input 2 2 3 5 3 2" xfId="20234"/>
    <cellStyle name="Input 2 2 3 5 3 2 2" xfId="20235"/>
    <cellStyle name="Input 2 2 3 5 3 3" xfId="20236"/>
    <cellStyle name="Input 2 2 3 5 3 3 2" xfId="20237"/>
    <cellStyle name="Input 2 2 3 5 3 4" xfId="20238"/>
    <cellStyle name="Input 2 2 3 5 3 5" xfId="20239"/>
    <cellStyle name="Input 2 2 3 5 3 6" xfId="20240"/>
    <cellStyle name="Input 2 2 3 5 4" xfId="20241"/>
    <cellStyle name="Input 2 2 3 5 4 2" xfId="20242"/>
    <cellStyle name="Input 2 2 3 5 5" xfId="20243"/>
    <cellStyle name="Input 2 2 3 5 5 2" xfId="20244"/>
    <cellStyle name="Input 2 2 3 5 6" xfId="20245"/>
    <cellStyle name="Input 2 2 3 5 7" xfId="20246"/>
    <cellStyle name="Input 2 2 3 5 8" xfId="20247"/>
    <cellStyle name="Input 2 2 3 6" xfId="20248"/>
    <cellStyle name="Input 2 2 3 6 2" xfId="20249"/>
    <cellStyle name="Input 2 2 3 6 2 2" xfId="20250"/>
    <cellStyle name="Input 2 2 3 6 2 2 2" xfId="20251"/>
    <cellStyle name="Input 2 2 3 6 2 3" xfId="20252"/>
    <cellStyle name="Input 2 2 3 6 2 3 2" xfId="20253"/>
    <cellStyle name="Input 2 2 3 6 2 4" xfId="20254"/>
    <cellStyle name="Input 2 2 3 6 2 5" xfId="20255"/>
    <cellStyle name="Input 2 2 3 6 2 6" xfId="20256"/>
    <cellStyle name="Input 2 2 3 6 3" xfId="20257"/>
    <cellStyle name="Input 2 2 3 6 3 2" xfId="20258"/>
    <cellStyle name="Input 2 2 3 6 4" xfId="20259"/>
    <cellStyle name="Input 2 2 3 6 4 2" xfId="20260"/>
    <cellStyle name="Input 2 2 3 6 5" xfId="20261"/>
    <cellStyle name="Input 2 2 3 6 6" xfId="20262"/>
    <cellStyle name="Input 2 2 3 6 7" xfId="20263"/>
    <cellStyle name="Input 2 2 3 7" xfId="20264"/>
    <cellStyle name="Input 2 2 3 7 2" xfId="20265"/>
    <cellStyle name="Input 2 2 3 7 2 2" xfId="20266"/>
    <cellStyle name="Input 2 2 3 7 3" xfId="20267"/>
    <cellStyle name="Input 2 2 3 7 3 2" xfId="20268"/>
    <cellStyle name="Input 2 2 3 7 4" xfId="20269"/>
    <cellStyle name="Input 2 2 3 7 5" xfId="20270"/>
    <cellStyle name="Input 2 2 3 7 6" xfId="20271"/>
    <cellStyle name="Input 2 2 3 8" xfId="20272"/>
    <cellStyle name="Input 2 2 3 8 2" xfId="20273"/>
    <cellStyle name="Input 2 2 3 9" xfId="20274"/>
    <cellStyle name="Input 2 2 3 9 2" xfId="20275"/>
    <cellStyle name="Input 2 2 4" xfId="20276"/>
    <cellStyle name="Input 2 2 4 10" xfId="20277"/>
    <cellStyle name="Input 2 2 4 11" xfId="20278"/>
    <cellStyle name="Input 2 2 4 2" xfId="20279"/>
    <cellStyle name="Input 2 2 4 2 10" xfId="20280"/>
    <cellStyle name="Input 2 2 4 2 2" xfId="20281"/>
    <cellStyle name="Input 2 2 4 2 2 10" xfId="20282"/>
    <cellStyle name="Input 2 2 4 2 2 2" xfId="20283"/>
    <cellStyle name="Input 2 2 4 2 2 2 2" xfId="20284"/>
    <cellStyle name="Input 2 2 4 2 2 2 2 2" xfId="20285"/>
    <cellStyle name="Input 2 2 4 2 2 2 2 2 2" xfId="20286"/>
    <cellStyle name="Input 2 2 4 2 2 2 2 2 2 2" xfId="20287"/>
    <cellStyle name="Input 2 2 4 2 2 2 2 2 3" xfId="20288"/>
    <cellStyle name="Input 2 2 4 2 2 2 2 2 3 2" xfId="20289"/>
    <cellStyle name="Input 2 2 4 2 2 2 2 2 4" xfId="20290"/>
    <cellStyle name="Input 2 2 4 2 2 2 2 2 5" xfId="20291"/>
    <cellStyle name="Input 2 2 4 2 2 2 2 2 6" xfId="20292"/>
    <cellStyle name="Input 2 2 4 2 2 2 2 3" xfId="20293"/>
    <cellStyle name="Input 2 2 4 2 2 2 2 3 2" xfId="20294"/>
    <cellStyle name="Input 2 2 4 2 2 2 2 4" xfId="20295"/>
    <cellStyle name="Input 2 2 4 2 2 2 2 4 2" xfId="20296"/>
    <cellStyle name="Input 2 2 4 2 2 2 2 5" xfId="20297"/>
    <cellStyle name="Input 2 2 4 2 2 2 2 6" xfId="20298"/>
    <cellStyle name="Input 2 2 4 2 2 2 2 7" xfId="20299"/>
    <cellStyle name="Input 2 2 4 2 2 2 3" xfId="20300"/>
    <cellStyle name="Input 2 2 4 2 2 2 3 2" xfId="20301"/>
    <cellStyle name="Input 2 2 4 2 2 2 3 2 2" xfId="20302"/>
    <cellStyle name="Input 2 2 4 2 2 2 3 3" xfId="20303"/>
    <cellStyle name="Input 2 2 4 2 2 2 3 3 2" xfId="20304"/>
    <cellStyle name="Input 2 2 4 2 2 2 3 4" xfId="20305"/>
    <cellStyle name="Input 2 2 4 2 2 2 3 5" xfId="20306"/>
    <cellStyle name="Input 2 2 4 2 2 2 3 6" xfId="20307"/>
    <cellStyle name="Input 2 2 4 2 2 2 4" xfId="20308"/>
    <cellStyle name="Input 2 2 4 2 2 2 4 2" xfId="20309"/>
    <cellStyle name="Input 2 2 4 2 2 2 5" xfId="20310"/>
    <cellStyle name="Input 2 2 4 2 2 2 5 2" xfId="20311"/>
    <cellStyle name="Input 2 2 4 2 2 2 6" xfId="20312"/>
    <cellStyle name="Input 2 2 4 2 2 2 7" xfId="20313"/>
    <cellStyle name="Input 2 2 4 2 2 2 8" xfId="20314"/>
    <cellStyle name="Input 2 2 4 2 2 3" xfId="20315"/>
    <cellStyle name="Input 2 2 4 2 2 3 2" xfId="20316"/>
    <cellStyle name="Input 2 2 4 2 2 3 2 2" xfId="20317"/>
    <cellStyle name="Input 2 2 4 2 2 3 2 2 2" xfId="20318"/>
    <cellStyle name="Input 2 2 4 2 2 3 2 2 2 2" xfId="20319"/>
    <cellStyle name="Input 2 2 4 2 2 3 2 2 3" xfId="20320"/>
    <cellStyle name="Input 2 2 4 2 2 3 2 2 3 2" xfId="20321"/>
    <cellStyle name="Input 2 2 4 2 2 3 2 2 4" xfId="20322"/>
    <cellStyle name="Input 2 2 4 2 2 3 2 2 5" xfId="20323"/>
    <cellStyle name="Input 2 2 4 2 2 3 2 2 6" xfId="20324"/>
    <cellStyle name="Input 2 2 4 2 2 3 2 3" xfId="20325"/>
    <cellStyle name="Input 2 2 4 2 2 3 2 3 2" xfId="20326"/>
    <cellStyle name="Input 2 2 4 2 2 3 2 4" xfId="20327"/>
    <cellStyle name="Input 2 2 4 2 2 3 2 4 2" xfId="20328"/>
    <cellStyle name="Input 2 2 4 2 2 3 2 5" xfId="20329"/>
    <cellStyle name="Input 2 2 4 2 2 3 2 6" xfId="20330"/>
    <cellStyle name="Input 2 2 4 2 2 3 2 7" xfId="20331"/>
    <cellStyle name="Input 2 2 4 2 2 3 3" xfId="20332"/>
    <cellStyle name="Input 2 2 4 2 2 3 3 2" xfId="20333"/>
    <cellStyle name="Input 2 2 4 2 2 3 3 2 2" xfId="20334"/>
    <cellStyle name="Input 2 2 4 2 2 3 3 3" xfId="20335"/>
    <cellStyle name="Input 2 2 4 2 2 3 3 3 2" xfId="20336"/>
    <cellStyle name="Input 2 2 4 2 2 3 3 4" xfId="20337"/>
    <cellStyle name="Input 2 2 4 2 2 3 3 5" xfId="20338"/>
    <cellStyle name="Input 2 2 4 2 2 3 3 6" xfId="20339"/>
    <cellStyle name="Input 2 2 4 2 2 3 4" xfId="20340"/>
    <cellStyle name="Input 2 2 4 2 2 3 4 2" xfId="20341"/>
    <cellStyle name="Input 2 2 4 2 2 3 5" xfId="20342"/>
    <cellStyle name="Input 2 2 4 2 2 3 5 2" xfId="20343"/>
    <cellStyle name="Input 2 2 4 2 2 3 6" xfId="20344"/>
    <cellStyle name="Input 2 2 4 2 2 3 7" xfId="20345"/>
    <cellStyle name="Input 2 2 4 2 2 3 8" xfId="20346"/>
    <cellStyle name="Input 2 2 4 2 2 4" xfId="20347"/>
    <cellStyle name="Input 2 2 4 2 2 4 2" xfId="20348"/>
    <cellStyle name="Input 2 2 4 2 2 4 2 2" xfId="20349"/>
    <cellStyle name="Input 2 2 4 2 2 4 2 2 2" xfId="20350"/>
    <cellStyle name="Input 2 2 4 2 2 4 2 3" xfId="20351"/>
    <cellStyle name="Input 2 2 4 2 2 4 2 3 2" xfId="20352"/>
    <cellStyle name="Input 2 2 4 2 2 4 2 4" xfId="20353"/>
    <cellStyle name="Input 2 2 4 2 2 4 2 5" xfId="20354"/>
    <cellStyle name="Input 2 2 4 2 2 4 2 6" xfId="20355"/>
    <cellStyle name="Input 2 2 4 2 2 4 3" xfId="20356"/>
    <cellStyle name="Input 2 2 4 2 2 4 3 2" xfId="20357"/>
    <cellStyle name="Input 2 2 4 2 2 4 4" xfId="20358"/>
    <cellStyle name="Input 2 2 4 2 2 4 4 2" xfId="20359"/>
    <cellStyle name="Input 2 2 4 2 2 4 5" xfId="20360"/>
    <cellStyle name="Input 2 2 4 2 2 4 6" xfId="20361"/>
    <cellStyle name="Input 2 2 4 2 2 4 7" xfId="20362"/>
    <cellStyle name="Input 2 2 4 2 2 5" xfId="20363"/>
    <cellStyle name="Input 2 2 4 2 2 5 2" xfId="20364"/>
    <cellStyle name="Input 2 2 4 2 2 5 2 2" xfId="20365"/>
    <cellStyle name="Input 2 2 4 2 2 5 3" xfId="20366"/>
    <cellStyle name="Input 2 2 4 2 2 5 3 2" xfId="20367"/>
    <cellStyle name="Input 2 2 4 2 2 5 4" xfId="20368"/>
    <cellStyle name="Input 2 2 4 2 2 5 5" xfId="20369"/>
    <cellStyle name="Input 2 2 4 2 2 5 6" xfId="20370"/>
    <cellStyle name="Input 2 2 4 2 2 6" xfId="20371"/>
    <cellStyle name="Input 2 2 4 2 2 6 2" xfId="20372"/>
    <cellStyle name="Input 2 2 4 2 2 7" xfId="20373"/>
    <cellStyle name="Input 2 2 4 2 2 7 2" xfId="20374"/>
    <cellStyle name="Input 2 2 4 2 2 8" xfId="20375"/>
    <cellStyle name="Input 2 2 4 2 2 9" xfId="20376"/>
    <cellStyle name="Input 2 2 4 2 3" xfId="20377"/>
    <cellStyle name="Input 2 2 4 2 3 2" xfId="20378"/>
    <cellStyle name="Input 2 2 4 2 3 2 2" xfId="20379"/>
    <cellStyle name="Input 2 2 4 2 3 2 2 2" xfId="20380"/>
    <cellStyle name="Input 2 2 4 2 3 2 2 2 2" xfId="20381"/>
    <cellStyle name="Input 2 2 4 2 3 2 2 3" xfId="20382"/>
    <cellStyle name="Input 2 2 4 2 3 2 2 3 2" xfId="20383"/>
    <cellStyle name="Input 2 2 4 2 3 2 2 4" xfId="20384"/>
    <cellStyle name="Input 2 2 4 2 3 2 2 5" xfId="20385"/>
    <cellStyle name="Input 2 2 4 2 3 2 2 6" xfId="20386"/>
    <cellStyle name="Input 2 2 4 2 3 2 3" xfId="20387"/>
    <cellStyle name="Input 2 2 4 2 3 2 3 2" xfId="20388"/>
    <cellStyle name="Input 2 2 4 2 3 2 4" xfId="20389"/>
    <cellStyle name="Input 2 2 4 2 3 2 4 2" xfId="20390"/>
    <cellStyle name="Input 2 2 4 2 3 2 5" xfId="20391"/>
    <cellStyle name="Input 2 2 4 2 3 2 6" xfId="20392"/>
    <cellStyle name="Input 2 2 4 2 3 2 7" xfId="20393"/>
    <cellStyle name="Input 2 2 4 2 3 3" xfId="20394"/>
    <cellStyle name="Input 2 2 4 2 3 3 2" xfId="20395"/>
    <cellStyle name="Input 2 2 4 2 3 3 2 2" xfId="20396"/>
    <cellStyle name="Input 2 2 4 2 3 3 3" xfId="20397"/>
    <cellStyle name="Input 2 2 4 2 3 3 3 2" xfId="20398"/>
    <cellStyle name="Input 2 2 4 2 3 3 4" xfId="20399"/>
    <cellStyle name="Input 2 2 4 2 3 3 5" xfId="20400"/>
    <cellStyle name="Input 2 2 4 2 3 3 6" xfId="20401"/>
    <cellStyle name="Input 2 2 4 2 3 4" xfId="20402"/>
    <cellStyle name="Input 2 2 4 2 3 4 2" xfId="20403"/>
    <cellStyle name="Input 2 2 4 2 3 5" xfId="20404"/>
    <cellStyle name="Input 2 2 4 2 3 5 2" xfId="20405"/>
    <cellStyle name="Input 2 2 4 2 3 6" xfId="20406"/>
    <cellStyle name="Input 2 2 4 2 3 7" xfId="20407"/>
    <cellStyle name="Input 2 2 4 2 3 8" xfId="20408"/>
    <cellStyle name="Input 2 2 4 2 4" xfId="20409"/>
    <cellStyle name="Input 2 2 4 2 4 2" xfId="20410"/>
    <cellStyle name="Input 2 2 4 2 4 2 2" xfId="20411"/>
    <cellStyle name="Input 2 2 4 2 4 2 2 2" xfId="20412"/>
    <cellStyle name="Input 2 2 4 2 4 2 3" xfId="20413"/>
    <cellStyle name="Input 2 2 4 2 4 2 3 2" xfId="20414"/>
    <cellStyle name="Input 2 2 4 2 4 2 4" xfId="20415"/>
    <cellStyle name="Input 2 2 4 2 4 2 5" xfId="20416"/>
    <cellStyle name="Input 2 2 4 2 4 2 6" xfId="20417"/>
    <cellStyle name="Input 2 2 4 2 4 3" xfId="20418"/>
    <cellStyle name="Input 2 2 4 2 4 3 2" xfId="20419"/>
    <cellStyle name="Input 2 2 4 2 4 4" xfId="20420"/>
    <cellStyle name="Input 2 2 4 2 4 4 2" xfId="20421"/>
    <cellStyle name="Input 2 2 4 2 4 5" xfId="20422"/>
    <cellStyle name="Input 2 2 4 2 4 6" xfId="20423"/>
    <cellStyle name="Input 2 2 4 2 4 7" xfId="20424"/>
    <cellStyle name="Input 2 2 4 2 5" xfId="20425"/>
    <cellStyle name="Input 2 2 4 2 5 2" xfId="20426"/>
    <cellStyle name="Input 2 2 4 2 5 2 2" xfId="20427"/>
    <cellStyle name="Input 2 2 4 2 5 3" xfId="20428"/>
    <cellStyle name="Input 2 2 4 2 5 3 2" xfId="20429"/>
    <cellStyle name="Input 2 2 4 2 5 4" xfId="20430"/>
    <cellStyle name="Input 2 2 4 2 5 5" xfId="20431"/>
    <cellStyle name="Input 2 2 4 2 5 6" xfId="20432"/>
    <cellStyle name="Input 2 2 4 2 6" xfId="20433"/>
    <cellStyle name="Input 2 2 4 2 6 2" xfId="20434"/>
    <cellStyle name="Input 2 2 4 2 7" xfId="20435"/>
    <cellStyle name="Input 2 2 4 2 7 2" xfId="20436"/>
    <cellStyle name="Input 2 2 4 2 8" xfId="20437"/>
    <cellStyle name="Input 2 2 4 2 9" xfId="20438"/>
    <cellStyle name="Input 2 2 4 3" xfId="20439"/>
    <cellStyle name="Input 2 2 4 3 10" xfId="20440"/>
    <cellStyle name="Input 2 2 4 3 2" xfId="20441"/>
    <cellStyle name="Input 2 2 4 3 2 2" xfId="20442"/>
    <cellStyle name="Input 2 2 4 3 2 2 2" xfId="20443"/>
    <cellStyle name="Input 2 2 4 3 2 2 2 2" xfId="20444"/>
    <cellStyle name="Input 2 2 4 3 2 2 2 2 2" xfId="20445"/>
    <cellStyle name="Input 2 2 4 3 2 2 2 3" xfId="20446"/>
    <cellStyle name="Input 2 2 4 3 2 2 2 3 2" xfId="20447"/>
    <cellStyle name="Input 2 2 4 3 2 2 2 4" xfId="20448"/>
    <cellStyle name="Input 2 2 4 3 2 2 2 5" xfId="20449"/>
    <cellStyle name="Input 2 2 4 3 2 2 2 6" xfId="20450"/>
    <cellStyle name="Input 2 2 4 3 2 2 3" xfId="20451"/>
    <cellStyle name="Input 2 2 4 3 2 2 3 2" xfId="20452"/>
    <cellStyle name="Input 2 2 4 3 2 2 4" xfId="20453"/>
    <cellStyle name="Input 2 2 4 3 2 2 4 2" xfId="20454"/>
    <cellStyle name="Input 2 2 4 3 2 2 5" xfId="20455"/>
    <cellStyle name="Input 2 2 4 3 2 2 6" xfId="20456"/>
    <cellStyle name="Input 2 2 4 3 2 2 7" xfId="20457"/>
    <cellStyle name="Input 2 2 4 3 2 3" xfId="20458"/>
    <cellStyle name="Input 2 2 4 3 2 3 2" xfId="20459"/>
    <cellStyle name="Input 2 2 4 3 2 3 2 2" xfId="20460"/>
    <cellStyle name="Input 2 2 4 3 2 3 3" xfId="20461"/>
    <cellStyle name="Input 2 2 4 3 2 3 3 2" xfId="20462"/>
    <cellStyle name="Input 2 2 4 3 2 3 4" xfId="20463"/>
    <cellStyle name="Input 2 2 4 3 2 3 5" xfId="20464"/>
    <cellStyle name="Input 2 2 4 3 2 3 6" xfId="20465"/>
    <cellStyle name="Input 2 2 4 3 2 4" xfId="20466"/>
    <cellStyle name="Input 2 2 4 3 2 4 2" xfId="20467"/>
    <cellStyle name="Input 2 2 4 3 2 5" xfId="20468"/>
    <cellStyle name="Input 2 2 4 3 2 5 2" xfId="20469"/>
    <cellStyle name="Input 2 2 4 3 2 6" xfId="20470"/>
    <cellStyle name="Input 2 2 4 3 2 7" xfId="20471"/>
    <cellStyle name="Input 2 2 4 3 2 8" xfId="20472"/>
    <cellStyle name="Input 2 2 4 3 3" xfId="20473"/>
    <cellStyle name="Input 2 2 4 3 3 2" xfId="20474"/>
    <cellStyle name="Input 2 2 4 3 3 2 2" xfId="20475"/>
    <cellStyle name="Input 2 2 4 3 3 2 2 2" xfId="20476"/>
    <cellStyle name="Input 2 2 4 3 3 2 2 2 2" xfId="20477"/>
    <cellStyle name="Input 2 2 4 3 3 2 2 3" xfId="20478"/>
    <cellStyle name="Input 2 2 4 3 3 2 2 3 2" xfId="20479"/>
    <cellStyle name="Input 2 2 4 3 3 2 2 4" xfId="20480"/>
    <cellStyle name="Input 2 2 4 3 3 2 2 5" xfId="20481"/>
    <cellStyle name="Input 2 2 4 3 3 2 2 6" xfId="20482"/>
    <cellStyle name="Input 2 2 4 3 3 2 3" xfId="20483"/>
    <cellStyle name="Input 2 2 4 3 3 2 3 2" xfId="20484"/>
    <cellStyle name="Input 2 2 4 3 3 2 4" xfId="20485"/>
    <cellStyle name="Input 2 2 4 3 3 2 4 2" xfId="20486"/>
    <cellStyle name="Input 2 2 4 3 3 2 5" xfId="20487"/>
    <cellStyle name="Input 2 2 4 3 3 2 6" xfId="20488"/>
    <cellStyle name="Input 2 2 4 3 3 2 7" xfId="20489"/>
    <cellStyle name="Input 2 2 4 3 3 3" xfId="20490"/>
    <cellStyle name="Input 2 2 4 3 3 3 2" xfId="20491"/>
    <cellStyle name="Input 2 2 4 3 3 3 2 2" xfId="20492"/>
    <cellStyle name="Input 2 2 4 3 3 3 3" xfId="20493"/>
    <cellStyle name="Input 2 2 4 3 3 3 3 2" xfId="20494"/>
    <cellStyle name="Input 2 2 4 3 3 3 4" xfId="20495"/>
    <cellStyle name="Input 2 2 4 3 3 3 5" xfId="20496"/>
    <cellStyle name="Input 2 2 4 3 3 3 6" xfId="20497"/>
    <cellStyle name="Input 2 2 4 3 3 4" xfId="20498"/>
    <cellStyle name="Input 2 2 4 3 3 4 2" xfId="20499"/>
    <cellStyle name="Input 2 2 4 3 3 5" xfId="20500"/>
    <cellStyle name="Input 2 2 4 3 3 5 2" xfId="20501"/>
    <cellStyle name="Input 2 2 4 3 3 6" xfId="20502"/>
    <cellStyle name="Input 2 2 4 3 3 7" xfId="20503"/>
    <cellStyle name="Input 2 2 4 3 3 8" xfId="20504"/>
    <cellStyle name="Input 2 2 4 3 4" xfId="20505"/>
    <cellStyle name="Input 2 2 4 3 4 2" xfId="20506"/>
    <cellStyle name="Input 2 2 4 3 4 2 2" xfId="20507"/>
    <cellStyle name="Input 2 2 4 3 4 2 2 2" xfId="20508"/>
    <cellStyle name="Input 2 2 4 3 4 2 3" xfId="20509"/>
    <cellStyle name="Input 2 2 4 3 4 2 3 2" xfId="20510"/>
    <cellStyle name="Input 2 2 4 3 4 2 4" xfId="20511"/>
    <cellStyle name="Input 2 2 4 3 4 2 5" xfId="20512"/>
    <cellStyle name="Input 2 2 4 3 4 2 6" xfId="20513"/>
    <cellStyle name="Input 2 2 4 3 4 3" xfId="20514"/>
    <cellStyle name="Input 2 2 4 3 4 3 2" xfId="20515"/>
    <cellStyle name="Input 2 2 4 3 4 4" xfId="20516"/>
    <cellStyle name="Input 2 2 4 3 4 4 2" xfId="20517"/>
    <cellStyle name="Input 2 2 4 3 4 5" xfId="20518"/>
    <cellStyle name="Input 2 2 4 3 4 6" xfId="20519"/>
    <cellStyle name="Input 2 2 4 3 4 7" xfId="20520"/>
    <cellStyle name="Input 2 2 4 3 5" xfId="20521"/>
    <cellStyle name="Input 2 2 4 3 5 2" xfId="20522"/>
    <cellStyle name="Input 2 2 4 3 5 2 2" xfId="20523"/>
    <cellStyle name="Input 2 2 4 3 5 3" xfId="20524"/>
    <cellStyle name="Input 2 2 4 3 5 3 2" xfId="20525"/>
    <cellStyle name="Input 2 2 4 3 5 4" xfId="20526"/>
    <cellStyle name="Input 2 2 4 3 5 5" xfId="20527"/>
    <cellStyle name="Input 2 2 4 3 5 6" xfId="20528"/>
    <cellStyle name="Input 2 2 4 3 6" xfId="20529"/>
    <cellStyle name="Input 2 2 4 3 6 2" xfId="20530"/>
    <cellStyle name="Input 2 2 4 3 7" xfId="20531"/>
    <cellStyle name="Input 2 2 4 3 7 2" xfId="20532"/>
    <cellStyle name="Input 2 2 4 3 8" xfId="20533"/>
    <cellStyle name="Input 2 2 4 3 9" xfId="20534"/>
    <cellStyle name="Input 2 2 4 4" xfId="20535"/>
    <cellStyle name="Input 2 2 4 4 2" xfId="20536"/>
    <cellStyle name="Input 2 2 4 4 2 2" xfId="20537"/>
    <cellStyle name="Input 2 2 4 4 2 2 2" xfId="20538"/>
    <cellStyle name="Input 2 2 4 4 2 2 2 2" xfId="20539"/>
    <cellStyle name="Input 2 2 4 4 2 2 3" xfId="20540"/>
    <cellStyle name="Input 2 2 4 4 2 2 3 2" xfId="20541"/>
    <cellStyle name="Input 2 2 4 4 2 2 4" xfId="20542"/>
    <cellStyle name="Input 2 2 4 4 2 2 5" xfId="20543"/>
    <cellStyle name="Input 2 2 4 4 2 2 6" xfId="20544"/>
    <cellStyle name="Input 2 2 4 4 2 3" xfId="20545"/>
    <cellStyle name="Input 2 2 4 4 2 3 2" xfId="20546"/>
    <cellStyle name="Input 2 2 4 4 2 4" xfId="20547"/>
    <cellStyle name="Input 2 2 4 4 2 4 2" xfId="20548"/>
    <cellStyle name="Input 2 2 4 4 2 5" xfId="20549"/>
    <cellStyle name="Input 2 2 4 4 2 6" xfId="20550"/>
    <cellStyle name="Input 2 2 4 4 2 7" xfId="20551"/>
    <cellStyle name="Input 2 2 4 4 3" xfId="20552"/>
    <cellStyle name="Input 2 2 4 4 3 2" xfId="20553"/>
    <cellStyle name="Input 2 2 4 4 3 2 2" xfId="20554"/>
    <cellStyle name="Input 2 2 4 4 3 3" xfId="20555"/>
    <cellStyle name="Input 2 2 4 4 3 3 2" xfId="20556"/>
    <cellStyle name="Input 2 2 4 4 3 4" xfId="20557"/>
    <cellStyle name="Input 2 2 4 4 3 5" xfId="20558"/>
    <cellStyle name="Input 2 2 4 4 3 6" xfId="20559"/>
    <cellStyle name="Input 2 2 4 4 4" xfId="20560"/>
    <cellStyle name="Input 2 2 4 4 4 2" xfId="20561"/>
    <cellStyle name="Input 2 2 4 4 5" xfId="20562"/>
    <cellStyle name="Input 2 2 4 4 5 2" xfId="20563"/>
    <cellStyle name="Input 2 2 4 4 6" xfId="20564"/>
    <cellStyle name="Input 2 2 4 4 7" xfId="20565"/>
    <cellStyle name="Input 2 2 4 4 8" xfId="20566"/>
    <cellStyle name="Input 2 2 4 5" xfId="20567"/>
    <cellStyle name="Input 2 2 4 5 2" xfId="20568"/>
    <cellStyle name="Input 2 2 4 5 2 2" xfId="20569"/>
    <cellStyle name="Input 2 2 4 5 2 2 2" xfId="20570"/>
    <cellStyle name="Input 2 2 4 5 2 3" xfId="20571"/>
    <cellStyle name="Input 2 2 4 5 2 3 2" xfId="20572"/>
    <cellStyle name="Input 2 2 4 5 2 4" xfId="20573"/>
    <cellStyle name="Input 2 2 4 5 2 5" xfId="20574"/>
    <cellStyle name="Input 2 2 4 5 2 6" xfId="20575"/>
    <cellStyle name="Input 2 2 4 5 3" xfId="20576"/>
    <cellStyle name="Input 2 2 4 5 3 2" xfId="20577"/>
    <cellStyle name="Input 2 2 4 5 4" xfId="20578"/>
    <cellStyle name="Input 2 2 4 5 4 2" xfId="20579"/>
    <cellStyle name="Input 2 2 4 5 5" xfId="20580"/>
    <cellStyle name="Input 2 2 4 5 6" xfId="20581"/>
    <cellStyle name="Input 2 2 4 5 7" xfId="20582"/>
    <cellStyle name="Input 2 2 4 6" xfId="20583"/>
    <cellStyle name="Input 2 2 4 6 2" xfId="20584"/>
    <cellStyle name="Input 2 2 4 6 2 2" xfId="20585"/>
    <cellStyle name="Input 2 2 4 6 3" xfId="20586"/>
    <cellStyle name="Input 2 2 4 6 3 2" xfId="20587"/>
    <cellStyle name="Input 2 2 4 6 4" xfId="20588"/>
    <cellStyle name="Input 2 2 4 6 5" xfId="20589"/>
    <cellStyle name="Input 2 2 4 6 6" xfId="20590"/>
    <cellStyle name="Input 2 2 4 7" xfId="20591"/>
    <cellStyle name="Input 2 2 4 7 2" xfId="20592"/>
    <cellStyle name="Input 2 2 4 8" xfId="20593"/>
    <cellStyle name="Input 2 2 4 8 2" xfId="20594"/>
    <cellStyle name="Input 2 2 4 9" xfId="20595"/>
    <cellStyle name="Input 2 2 5" xfId="20596"/>
    <cellStyle name="Input 2 2 5 10" xfId="20597"/>
    <cellStyle name="Input 2 2 5 2" xfId="20598"/>
    <cellStyle name="Input 2 2 5 2 2" xfId="20599"/>
    <cellStyle name="Input 2 2 5 2 2 2" xfId="20600"/>
    <cellStyle name="Input 2 2 5 2 2 2 2" xfId="20601"/>
    <cellStyle name="Input 2 2 5 2 2 2 2 2" xfId="20602"/>
    <cellStyle name="Input 2 2 5 2 2 2 3" xfId="20603"/>
    <cellStyle name="Input 2 2 5 2 2 2 3 2" xfId="20604"/>
    <cellStyle name="Input 2 2 5 2 2 2 4" xfId="20605"/>
    <cellStyle name="Input 2 2 5 2 2 2 5" xfId="20606"/>
    <cellStyle name="Input 2 2 5 2 2 2 6" xfId="20607"/>
    <cellStyle name="Input 2 2 5 2 2 3" xfId="20608"/>
    <cellStyle name="Input 2 2 5 2 2 3 2" xfId="20609"/>
    <cellStyle name="Input 2 2 5 2 2 4" xfId="20610"/>
    <cellStyle name="Input 2 2 5 2 2 4 2" xfId="20611"/>
    <cellStyle name="Input 2 2 5 2 2 5" xfId="20612"/>
    <cellStyle name="Input 2 2 5 2 2 6" xfId="20613"/>
    <cellStyle name="Input 2 2 5 2 2 7" xfId="20614"/>
    <cellStyle name="Input 2 2 5 2 3" xfId="20615"/>
    <cellStyle name="Input 2 2 5 2 3 2" xfId="20616"/>
    <cellStyle name="Input 2 2 5 2 3 2 2" xfId="20617"/>
    <cellStyle name="Input 2 2 5 2 3 3" xfId="20618"/>
    <cellStyle name="Input 2 2 5 2 3 3 2" xfId="20619"/>
    <cellStyle name="Input 2 2 5 2 3 4" xfId="20620"/>
    <cellStyle name="Input 2 2 5 2 3 5" xfId="20621"/>
    <cellStyle name="Input 2 2 5 2 3 6" xfId="20622"/>
    <cellStyle name="Input 2 2 5 2 4" xfId="20623"/>
    <cellStyle name="Input 2 2 5 2 4 2" xfId="20624"/>
    <cellStyle name="Input 2 2 5 2 5" xfId="20625"/>
    <cellStyle name="Input 2 2 5 2 5 2" xfId="20626"/>
    <cellStyle name="Input 2 2 5 2 6" xfId="20627"/>
    <cellStyle name="Input 2 2 5 2 7" xfId="20628"/>
    <cellStyle name="Input 2 2 5 2 8" xfId="20629"/>
    <cellStyle name="Input 2 2 5 3" xfId="20630"/>
    <cellStyle name="Input 2 2 5 3 2" xfId="20631"/>
    <cellStyle name="Input 2 2 5 3 2 2" xfId="20632"/>
    <cellStyle name="Input 2 2 5 3 2 2 2" xfId="20633"/>
    <cellStyle name="Input 2 2 5 3 2 2 2 2" xfId="20634"/>
    <cellStyle name="Input 2 2 5 3 2 2 3" xfId="20635"/>
    <cellStyle name="Input 2 2 5 3 2 2 3 2" xfId="20636"/>
    <cellStyle name="Input 2 2 5 3 2 2 4" xfId="20637"/>
    <cellStyle name="Input 2 2 5 3 2 2 5" xfId="20638"/>
    <cellStyle name="Input 2 2 5 3 2 2 6" xfId="20639"/>
    <cellStyle name="Input 2 2 5 3 2 3" xfId="20640"/>
    <cellStyle name="Input 2 2 5 3 2 3 2" xfId="20641"/>
    <cellStyle name="Input 2 2 5 3 2 4" xfId="20642"/>
    <cellStyle name="Input 2 2 5 3 2 4 2" xfId="20643"/>
    <cellStyle name="Input 2 2 5 3 2 5" xfId="20644"/>
    <cellStyle name="Input 2 2 5 3 2 6" xfId="20645"/>
    <cellStyle name="Input 2 2 5 3 2 7" xfId="20646"/>
    <cellStyle name="Input 2 2 5 3 3" xfId="20647"/>
    <cellStyle name="Input 2 2 5 3 3 2" xfId="20648"/>
    <cellStyle name="Input 2 2 5 3 3 2 2" xfId="20649"/>
    <cellStyle name="Input 2 2 5 3 3 3" xfId="20650"/>
    <cellStyle name="Input 2 2 5 3 3 3 2" xfId="20651"/>
    <cellStyle name="Input 2 2 5 3 3 4" xfId="20652"/>
    <cellStyle name="Input 2 2 5 3 3 5" xfId="20653"/>
    <cellStyle name="Input 2 2 5 3 3 6" xfId="20654"/>
    <cellStyle name="Input 2 2 5 3 4" xfId="20655"/>
    <cellStyle name="Input 2 2 5 3 4 2" xfId="20656"/>
    <cellStyle name="Input 2 2 5 3 5" xfId="20657"/>
    <cellStyle name="Input 2 2 5 3 5 2" xfId="20658"/>
    <cellStyle name="Input 2 2 5 3 6" xfId="20659"/>
    <cellStyle name="Input 2 2 5 3 7" xfId="20660"/>
    <cellStyle name="Input 2 2 5 3 8" xfId="20661"/>
    <cellStyle name="Input 2 2 5 4" xfId="20662"/>
    <cellStyle name="Input 2 2 5 4 2" xfId="20663"/>
    <cellStyle name="Input 2 2 5 4 2 2" xfId="20664"/>
    <cellStyle name="Input 2 2 5 4 2 2 2" xfId="20665"/>
    <cellStyle name="Input 2 2 5 4 2 3" xfId="20666"/>
    <cellStyle name="Input 2 2 5 4 2 3 2" xfId="20667"/>
    <cellStyle name="Input 2 2 5 4 2 4" xfId="20668"/>
    <cellStyle name="Input 2 2 5 4 2 5" xfId="20669"/>
    <cellStyle name="Input 2 2 5 4 2 6" xfId="20670"/>
    <cellStyle name="Input 2 2 5 4 3" xfId="20671"/>
    <cellStyle name="Input 2 2 5 4 3 2" xfId="20672"/>
    <cellStyle name="Input 2 2 5 4 4" xfId="20673"/>
    <cellStyle name="Input 2 2 5 4 4 2" xfId="20674"/>
    <cellStyle name="Input 2 2 5 4 5" xfId="20675"/>
    <cellStyle name="Input 2 2 5 4 6" xfId="20676"/>
    <cellStyle name="Input 2 2 5 4 7" xfId="20677"/>
    <cellStyle name="Input 2 2 5 5" xfId="20678"/>
    <cellStyle name="Input 2 2 5 5 2" xfId="20679"/>
    <cellStyle name="Input 2 2 5 5 2 2" xfId="20680"/>
    <cellStyle name="Input 2 2 5 5 3" xfId="20681"/>
    <cellStyle name="Input 2 2 5 5 3 2" xfId="20682"/>
    <cellStyle name="Input 2 2 5 5 4" xfId="20683"/>
    <cellStyle name="Input 2 2 5 5 5" xfId="20684"/>
    <cellStyle name="Input 2 2 5 5 6" xfId="20685"/>
    <cellStyle name="Input 2 2 5 6" xfId="20686"/>
    <cellStyle name="Input 2 2 5 6 2" xfId="20687"/>
    <cellStyle name="Input 2 2 5 7" xfId="20688"/>
    <cellStyle name="Input 2 2 5 7 2" xfId="20689"/>
    <cellStyle name="Input 2 2 5 8" xfId="20690"/>
    <cellStyle name="Input 2 2 5 9" xfId="20691"/>
    <cellStyle name="Input 2 2 6" xfId="20692"/>
    <cellStyle name="Input 2 2 6 2" xfId="20693"/>
    <cellStyle name="Input 2 2 6 2 2" xfId="20694"/>
    <cellStyle name="Input 2 2 6 2 2 2" xfId="20695"/>
    <cellStyle name="Input 2 2 6 2 2 2 2" xfId="20696"/>
    <cellStyle name="Input 2 2 6 2 2 3" xfId="20697"/>
    <cellStyle name="Input 2 2 6 2 2 3 2" xfId="20698"/>
    <cellStyle name="Input 2 2 6 2 2 4" xfId="20699"/>
    <cellStyle name="Input 2 2 6 2 2 5" xfId="20700"/>
    <cellStyle name="Input 2 2 6 2 2 6" xfId="20701"/>
    <cellStyle name="Input 2 2 6 2 3" xfId="20702"/>
    <cellStyle name="Input 2 2 6 2 3 2" xfId="20703"/>
    <cellStyle name="Input 2 2 6 2 4" xfId="20704"/>
    <cellStyle name="Input 2 2 6 2 4 2" xfId="20705"/>
    <cellStyle name="Input 2 2 6 2 5" xfId="20706"/>
    <cellStyle name="Input 2 2 6 2 6" xfId="20707"/>
    <cellStyle name="Input 2 2 6 2 7" xfId="20708"/>
    <cellStyle name="Input 2 2 6 3" xfId="20709"/>
    <cellStyle name="Input 2 2 6 3 2" xfId="20710"/>
    <cellStyle name="Input 2 2 6 3 2 2" xfId="20711"/>
    <cellStyle name="Input 2 2 6 3 3" xfId="20712"/>
    <cellStyle name="Input 2 2 6 3 3 2" xfId="20713"/>
    <cellStyle name="Input 2 2 6 3 4" xfId="20714"/>
    <cellStyle name="Input 2 2 6 3 5" xfId="20715"/>
    <cellStyle name="Input 2 2 6 3 6" xfId="20716"/>
    <cellStyle name="Input 2 2 6 4" xfId="20717"/>
    <cellStyle name="Input 2 2 6 4 2" xfId="20718"/>
    <cellStyle name="Input 2 2 6 5" xfId="20719"/>
    <cellStyle name="Input 2 2 6 5 2" xfId="20720"/>
    <cellStyle name="Input 2 2 6 6" xfId="20721"/>
    <cellStyle name="Input 2 2 6 7" xfId="20722"/>
    <cellStyle name="Input 2 2 6 8" xfId="20723"/>
    <cellStyle name="Input 2 2 7" xfId="20724"/>
    <cellStyle name="Input 2 2 7 2" xfId="20725"/>
    <cellStyle name="Input 2 2 7 2 2" xfId="20726"/>
    <cellStyle name="Input 2 2 7 2 2 2" xfId="20727"/>
    <cellStyle name="Input 2 2 7 2 3" xfId="20728"/>
    <cellStyle name="Input 2 2 7 2 3 2" xfId="20729"/>
    <cellStyle name="Input 2 2 7 2 4" xfId="20730"/>
    <cellStyle name="Input 2 2 7 2 5" xfId="20731"/>
    <cellStyle name="Input 2 2 7 2 6" xfId="20732"/>
    <cellStyle name="Input 2 2 7 3" xfId="20733"/>
    <cellStyle name="Input 2 2 7 3 2" xfId="20734"/>
    <cellStyle name="Input 2 2 7 4" xfId="20735"/>
    <cellStyle name="Input 2 2 7 4 2" xfId="20736"/>
    <cellStyle name="Input 2 2 7 5" xfId="20737"/>
    <cellStyle name="Input 2 2 7 6" xfId="20738"/>
    <cellStyle name="Input 2 2 7 7" xfId="20739"/>
    <cellStyle name="Input 2 2 8" xfId="20740"/>
    <cellStyle name="Input 2 2 8 2" xfId="20741"/>
    <cellStyle name="Input 2 2 9" xfId="20742"/>
    <cellStyle name="Input 2 2 9 2" xfId="20743"/>
    <cellStyle name="Input 2 3" xfId="20744"/>
    <cellStyle name="Input 2 3 10" xfId="20745"/>
    <cellStyle name="Input 2 3 11" xfId="20746"/>
    <cellStyle name="Input 2 3 12" xfId="20747"/>
    <cellStyle name="Input 2 3 2" xfId="20748"/>
    <cellStyle name="Input 2 3 2 10" xfId="20749"/>
    <cellStyle name="Input 2 3 2 11" xfId="20750"/>
    <cellStyle name="Input 2 3 2 12" xfId="20751"/>
    <cellStyle name="Input 2 3 2 2" xfId="20752"/>
    <cellStyle name="Input 2 3 2 2 10" xfId="20753"/>
    <cellStyle name="Input 2 3 2 2 11" xfId="20754"/>
    <cellStyle name="Input 2 3 2 2 2" xfId="20755"/>
    <cellStyle name="Input 2 3 2 2 2 10" xfId="20756"/>
    <cellStyle name="Input 2 3 2 2 2 2" xfId="20757"/>
    <cellStyle name="Input 2 3 2 2 2 2 2" xfId="20758"/>
    <cellStyle name="Input 2 3 2 2 2 2 2 2" xfId="20759"/>
    <cellStyle name="Input 2 3 2 2 2 2 2 2 2" xfId="20760"/>
    <cellStyle name="Input 2 3 2 2 2 2 2 2 2 2" xfId="20761"/>
    <cellStyle name="Input 2 3 2 2 2 2 2 2 3" xfId="20762"/>
    <cellStyle name="Input 2 3 2 2 2 2 2 2 3 2" xfId="20763"/>
    <cellStyle name="Input 2 3 2 2 2 2 2 2 4" xfId="20764"/>
    <cellStyle name="Input 2 3 2 2 2 2 2 2 5" xfId="20765"/>
    <cellStyle name="Input 2 3 2 2 2 2 2 2 6" xfId="20766"/>
    <cellStyle name="Input 2 3 2 2 2 2 2 3" xfId="20767"/>
    <cellStyle name="Input 2 3 2 2 2 2 2 3 2" xfId="20768"/>
    <cellStyle name="Input 2 3 2 2 2 2 2 4" xfId="20769"/>
    <cellStyle name="Input 2 3 2 2 2 2 2 4 2" xfId="20770"/>
    <cellStyle name="Input 2 3 2 2 2 2 2 5" xfId="20771"/>
    <cellStyle name="Input 2 3 2 2 2 2 2 6" xfId="20772"/>
    <cellStyle name="Input 2 3 2 2 2 2 2 7" xfId="20773"/>
    <cellStyle name="Input 2 3 2 2 2 2 3" xfId="20774"/>
    <cellStyle name="Input 2 3 2 2 2 2 3 2" xfId="20775"/>
    <cellStyle name="Input 2 3 2 2 2 2 3 2 2" xfId="20776"/>
    <cellStyle name="Input 2 3 2 2 2 2 3 3" xfId="20777"/>
    <cellStyle name="Input 2 3 2 2 2 2 3 3 2" xfId="20778"/>
    <cellStyle name="Input 2 3 2 2 2 2 3 4" xfId="20779"/>
    <cellStyle name="Input 2 3 2 2 2 2 3 5" xfId="20780"/>
    <cellStyle name="Input 2 3 2 2 2 2 3 6" xfId="20781"/>
    <cellStyle name="Input 2 3 2 2 2 2 4" xfId="20782"/>
    <cellStyle name="Input 2 3 2 2 2 2 4 2" xfId="20783"/>
    <cellStyle name="Input 2 3 2 2 2 2 5" xfId="20784"/>
    <cellStyle name="Input 2 3 2 2 2 2 5 2" xfId="20785"/>
    <cellStyle name="Input 2 3 2 2 2 2 6" xfId="20786"/>
    <cellStyle name="Input 2 3 2 2 2 2 7" xfId="20787"/>
    <cellStyle name="Input 2 3 2 2 2 2 8" xfId="20788"/>
    <cellStyle name="Input 2 3 2 2 2 3" xfId="20789"/>
    <cellStyle name="Input 2 3 2 2 2 3 2" xfId="20790"/>
    <cellStyle name="Input 2 3 2 2 2 3 2 2" xfId="20791"/>
    <cellStyle name="Input 2 3 2 2 2 3 2 2 2" xfId="20792"/>
    <cellStyle name="Input 2 3 2 2 2 3 2 2 2 2" xfId="20793"/>
    <cellStyle name="Input 2 3 2 2 2 3 2 2 3" xfId="20794"/>
    <cellStyle name="Input 2 3 2 2 2 3 2 2 3 2" xfId="20795"/>
    <cellStyle name="Input 2 3 2 2 2 3 2 2 4" xfId="20796"/>
    <cellStyle name="Input 2 3 2 2 2 3 2 2 5" xfId="20797"/>
    <cellStyle name="Input 2 3 2 2 2 3 2 2 6" xfId="20798"/>
    <cellStyle name="Input 2 3 2 2 2 3 2 3" xfId="20799"/>
    <cellStyle name="Input 2 3 2 2 2 3 2 3 2" xfId="20800"/>
    <cellStyle name="Input 2 3 2 2 2 3 2 4" xfId="20801"/>
    <cellStyle name="Input 2 3 2 2 2 3 2 4 2" xfId="20802"/>
    <cellStyle name="Input 2 3 2 2 2 3 2 5" xfId="20803"/>
    <cellStyle name="Input 2 3 2 2 2 3 2 6" xfId="20804"/>
    <cellStyle name="Input 2 3 2 2 2 3 2 7" xfId="20805"/>
    <cellStyle name="Input 2 3 2 2 2 3 3" xfId="20806"/>
    <cellStyle name="Input 2 3 2 2 2 3 3 2" xfId="20807"/>
    <cellStyle name="Input 2 3 2 2 2 3 3 2 2" xfId="20808"/>
    <cellStyle name="Input 2 3 2 2 2 3 3 3" xfId="20809"/>
    <cellStyle name="Input 2 3 2 2 2 3 3 3 2" xfId="20810"/>
    <cellStyle name="Input 2 3 2 2 2 3 3 4" xfId="20811"/>
    <cellStyle name="Input 2 3 2 2 2 3 3 5" xfId="20812"/>
    <cellStyle name="Input 2 3 2 2 2 3 3 6" xfId="20813"/>
    <cellStyle name="Input 2 3 2 2 2 3 4" xfId="20814"/>
    <cellStyle name="Input 2 3 2 2 2 3 4 2" xfId="20815"/>
    <cellStyle name="Input 2 3 2 2 2 3 5" xfId="20816"/>
    <cellStyle name="Input 2 3 2 2 2 3 5 2" xfId="20817"/>
    <cellStyle name="Input 2 3 2 2 2 3 6" xfId="20818"/>
    <cellStyle name="Input 2 3 2 2 2 3 7" xfId="20819"/>
    <cellStyle name="Input 2 3 2 2 2 3 8" xfId="20820"/>
    <cellStyle name="Input 2 3 2 2 2 4" xfId="20821"/>
    <cellStyle name="Input 2 3 2 2 2 4 2" xfId="20822"/>
    <cellStyle name="Input 2 3 2 2 2 4 2 2" xfId="20823"/>
    <cellStyle name="Input 2 3 2 2 2 4 2 2 2" xfId="20824"/>
    <cellStyle name="Input 2 3 2 2 2 4 2 3" xfId="20825"/>
    <cellStyle name="Input 2 3 2 2 2 4 2 3 2" xfId="20826"/>
    <cellStyle name="Input 2 3 2 2 2 4 2 4" xfId="20827"/>
    <cellStyle name="Input 2 3 2 2 2 4 2 5" xfId="20828"/>
    <cellStyle name="Input 2 3 2 2 2 4 2 6" xfId="20829"/>
    <cellStyle name="Input 2 3 2 2 2 4 3" xfId="20830"/>
    <cellStyle name="Input 2 3 2 2 2 4 3 2" xfId="20831"/>
    <cellStyle name="Input 2 3 2 2 2 4 4" xfId="20832"/>
    <cellStyle name="Input 2 3 2 2 2 4 4 2" xfId="20833"/>
    <cellStyle name="Input 2 3 2 2 2 4 5" xfId="20834"/>
    <cellStyle name="Input 2 3 2 2 2 4 6" xfId="20835"/>
    <cellStyle name="Input 2 3 2 2 2 4 7" xfId="20836"/>
    <cellStyle name="Input 2 3 2 2 2 5" xfId="20837"/>
    <cellStyle name="Input 2 3 2 2 2 5 2" xfId="20838"/>
    <cellStyle name="Input 2 3 2 2 2 5 2 2" xfId="20839"/>
    <cellStyle name="Input 2 3 2 2 2 5 3" xfId="20840"/>
    <cellStyle name="Input 2 3 2 2 2 5 3 2" xfId="20841"/>
    <cellStyle name="Input 2 3 2 2 2 5 4" xfId="20842"/>
    <cellStyle name="Input 2 3 2 2 2 5 5" xfId="20843"/>
    <cellStyle name="Input 2 3 2 2 2 5 6" xfId="20844"/>
    <cellStyle name="Input 2 3 2 2 2 6" xfId="20845"/>
    <cellStyle name="Input 2 3 2 2 2 6 2" xfId="20846"/>
    <cellStyle name="Input 2 3 2 2 2 7" xfId="20847"/>
    <cellStyle name="Input 2 3 2 2 2 7 2" xfId="20848"/>
    <cellStyle name="Input 2 3 2 2 2 8" xfId="20849"/>
    <cellStyle name="Input 2 3 2 2 2 9" xfId="20850"/>
    <cellStyle name="Input 2 3 2 2 3" xfId="20851"/>
    <cellStyle name="Input 2 3 2 2 3 2" xfId="20852"/>
    <cellStyle name="Input 2 3 2 2 3 2 2" xfId="20853"/>
    <cellStyle name="Input 2 3 2 2 3 2 2 2" xfId="20854"/>
    <cellStyle name="Input 2 3 2 2 3 2 2 2 2" xfId="20855"/>
    <cellStyle name="Input 2 3 2 2 3 2 2 3" xfId="20856"/>
    <cellStyle name="Input 2 3 2 2 3 2 2 3 2" xfId="20857"/>
    <cellStyle name="Input 2 3 2 2 3 2 2 4" xfId="20858"/>
    <cellStyle name="Input 2 3 2 2 3 2 2 5" xfId="20859"/>
    <cellStyle name="Input 2 3 2 2 3 2 2 6" xfId="20860"/>
    <cellStyle name="Input 2 3 2 2 3 2 3" xfId="20861"/>
    <cellStyle name="Input 2 3 2 2 3 2 3 2" xfId="20862"/>
    <cellStyle name="Input 2 3 2 2 3 2 4" xfId="20863"/>
    <cellStyle name="Input 2 3 2 2 3 2 4 2" xfId="20864"/>
    <cellStyle name="Input 2 3 2 2 3 2 5" xfId="20865"/>
    <cellStyle name="Input 2 3 2 2 3 2 6" xfId="20866"/>
    <cellStyle name="Input 2 3 2 2 3 2 7" xfId="20867"/>
    <cellStyle name="Input 2 3 2 2 3 3" xfId="20868"/>
    <cellStyle name="Input 2 3 2 2 3 3 2" xfId="20869"/>
    <cellStyle name="Input 2 3 2 2 3 3 2 2" xfId="20870"/>
    <cellStyle name="Input 2 3 2 2 3 3 3" xfId="20871"/>
    <cellStyle name="Input 2 3 2 2 3 3 3 2" xfId="20872"/>
    <cellStyle name="Input 2 3 2 2 3 3 4" xfId="20873"/>
    <cellStyle name="Input 2 3 2 2 3 3 5" xfId="20874"/>
    <cellStyle name="Input 2 3 2 2 3 3 6" xfId="20875"/>
    <cellStyle name="Input 2 3 2 2 3 4" xfId="20876"/>
    <cellStyle name="Input 2 3 2 2 3 4 2" xfId="20877"/>
    <cellStyle name="Input 2 3 2 2 3 5" xfId="20878"/>
    <cellStyle name="Input 2 3 2 2 3 5 2" xfId="20879"/>
    <cellStyle name="Input 2 3 2 2 3 6" xfId="20880"/>
    <cellStyle name="Input 2 3 2 2 3 7" xfId="20881"/>
    <cellStyle name="Input 2 3 2 2 3 8" xfId="20882"/>
    <cellStyle name="Input 2 3 2 2 4" xfId="20883"/>
    <cellStyle name="Input 2 3 2 2 4 2" xfId="20884"/>
    <cellStyle name="Input 2 3 2 2 4 2 2" xfId="20885"/>
    <cellStyle name="Input 2 3 2 2 4 2 2 2" xfId="20886"/>
    <cellStyle name="Input 2 3 2 2 4 2 2 2 2" xfId="20887"/>
    <cellStyle name="Input 2 3 2 2 4 2 2 3" xfId="20888"/>
    <cellStyle name="Input 2 3 2 2 4 2 2 3 2" xfId="20889"/>
    <cellStyle name="Input 2 3 2 2 4 2 2 4" xfId="20890"/>
    <cellStyle name="Input 2 3 2 2 4 2 2 5" xfId="20891"/>
    <cellStyle name="Input 2 3 2 2 4 2 2 6" xfId="20892"/>
    <cellStyle name="Input 2 3 2 2 4 2 3" xfId="20893"/>
    <cellStyle name="Input 2 3 2 2 4 2 3 2" xfId="20894"/>
    <cellStyle name="Input 2 3 2 2 4 2 4" xfId="20895"/>
    <cellStyle name="Input 2 3 2 2 4 2 4 2" xfId="20896"/>
    <cellStyle name="Input 2 3 2 2 4 2 5" xfId="20897"/>
    <cellStyle name="Input 2 3 2 2 4 2 6" xfId="20898"/>
    <cellStyle name="Input 2 3 2 2 4 2 7" xfId="20899"/>
    <cellStyle name="Input 2 3 2 2 4 3" xfId="20900"/>
    <cellStyle name="Input 2 3 2 2 4 3 2" xfId="20901"/>
    <cellStyle name="Input 2 3 2 2 4 3 2 2" xfId="20902"/>
    <cellStyle name="Input 2 3 2 2 4 3 3" xfId="20903"/>
    <cellStyle name="Input 2 3 2 2 4 3 3 2" xfId="20904"/>
    <cellStyle name="Input 2 3 2 2 4 3 4" xfId="20905"/>
    <cellStyle name="Input 2 3 2 2 4 3 5" xfId="20906"/>
    <cellStyle name="Input 2 3 2 2 4 3 6" xfId="20907"/>
    <cellStyle name="Input 2 3 2 2 4 4" xfId="20908"/>
    <cellStyle name="Input 2 3 2 2 4 4 2" xfId="20909"/>
    <cellStyle name="Input 2 3 2 2 4 5" xfId="20910"/>
    <cellStyle name="Input 2 3 2 2 4 5 2" xfId="20911"/>
    <cellStyle name="Input 2 3 2 2 4 6" xfId="20912"/>
    <cellStyle name="Input 2 3 2 2 4 7" xfId="20913"/>
    <cellStyle name="Input 2 3 2 2 4 8" xfId="20914"/>
    <cellStyle name="Input 2 3 2 2 5" xfId="20915"/>
    <cellStyle name="Input 2 3 2 2 5 2" xfId="20916"/>
    <cellStyle name="Input 2 3 2 2 5 2 2" xfId="20917"/>
    <cellStyle name="Input 2 3 2 2 5 2 2 2" xfId="20918"/>
    <cellStyle name="Input 2 3 2 2 5 2 3" xfId="20919"/>
    <cellStyle name="Input 2 3 2 2 5 2 3 2" xfId="20920"/>
    <cellStyle name="Input 2 3 2 2 5 2 4" xfId="20921"/>
    <cellStyle name="Input 2 3 2 2 5 2 5" xfId="20922"/>
    <cellStyle name="Input 2 3 2 2 5 2 6" xfId="20923"/>
    <cellStyle name="Input 2 3 2 2 5 3" xfId="20924"/>
    <cellStyle name="Input 2 3 2 2 5 3 2" xfId="20925"/>
    <cellStyle name="Input 2 3 2 2 5 4" xfId="20926"/>
    <cellStyle name="Input 2 3 2 2 5 4 2" xfId="20927"/>
    <cellStyle name="Input 2 3 2 2 5 5" xfId="20928"/>
    <cellStyle name="Input 2 3 2 2 5 6" xfId="20929"/>
    <cellStyle name="Input 2 3 2 2 5 7" xfId="20930"/>
    <cellStyle name="Input 2 3 2 2 6" xfId="20931"/>
    <cellStyle name="Input 2 3 2 2 6 2" xfId="20932"/>
    <cellStyle name="Input 2 3 2 2 6 2 2" xfId="20933"/>
    <cellStyle name="Input 2 3 2 2 6 3" xfId="20934"/>
    <cellStyle name="Input 2 3 2 2 6 3 2" xfId="20935"/>
    <cellStyle name="Input 2 3 2 2 6 4" xfId="20936"/>
    <cellStyle name="Input 2 3 2 2 6 5" xfId="20937"/>
    <cellStyle name="Input 2 3 2 2 6 6" xfId="20938"/>
    <cellStyle name="Input 2 3 2 2 7" xfId="20939"/>
    <cellStyle name="Input 2 3 2 2 7 2" xfId="20940"/>
    <cellStyle name="Input 2 3 2 2 8" xfId="20941"/>
    <cellStyle name="Input 2 3 2 2 8 2" xfId="20942"/>
    <cellStyle name="Input 2 3 2 2 9" xfId="20943"/>
    <cellStyle name="Input 2 3 2 3" xfId="20944"/>
    <cellStyle name="Input 2 3 2 3 10" xfId="20945"/>
    <cellStyle name="Input 2 3 2 3 2" xfId="20946"/>
    <cellStyle name="Input 2 3 2 3 2 10" xfId="20947"/>
    <cellStyle name="Input 2 3 2 3 2 2" xfId="20948"/>
    <cellStyle name="Input 2 3 2 3 2 2 2" xfId="20949"/>
    <cellStyle name="Input 2 3 2 3 2 2 2 2" xfId="20950"/>
    <cellStyle name="Input 2 3 2 3 2 2 2 2 2" xfId="20951"/>
    <cellStyle name="Input 2 3 2 3 2 2 2 2 2 2" xfId="20952"/>
    <cellStyle name="Input 2 3 2 3 2 2 2 2 3" xfId="20953"/>
    <cellStyle name="Input 2 3 2 3 2 2 2 2 3 2" xfId="20954"/>
    <cellStyle name="Input 2 3 2 3 2 2 2 2 4" xfId="20955"/>
    <cellStyle name="Input 2 3 2 3 2 2 2 2 5" xfId="20956"/>
    <cellStyle name="Input 2 3 2 3 2 2 2 2 6" xfId="20957"/>
    <cellStyle name="Input 2 3 2 3 2 2 2 3" xfId="20958"/>
    <cellStyle name="Input 2 3 2 3 2 2 2 3 2" xfId="20959"/>
    <cellStyle name="Input 2 3 2 3 2 2 2 4" xfId="20960"/>
    <cellStyle name="Input 2 3 2 3 2 2 2 4 2" xfId="20961"/>
    <cellStyle name="Input 2 3 2 3 2 2 2 5" xfId="20962"/>
    <cellStyle name="Input 2 3 2 3 2 2 2 6" xfId="20963"/>
    <cellStyle name="Input 2 3 2 3 2 2 2 7" xfId="20964"/>
    <cellStyle name="Input 2 3 2 3 2 2 3" xfId="20965"/>
    <cellStyle name="Input 2 3 2 3 2 2 3 2" xfId="20966"/>
    <cellStyle name="Input 2 3 2 3 2 2 3 2 2" xfId="20967"/>
    <cellStyle name="Input 2 3 2 3 2 2 3 3" xfId="20968"/>
    <cellStyle name="Input 2 3 2 3 2 2 3 3 2" xfId="20969"/>
    <cellStyle name="Input 2 3 2 3 2 2 3 4" xfId="20970"/>
    <cellStyle name="Input 2 3 2 3 2 2 3 5" xfId="20971"/>
    <cellStyle name="Input 2 3 2 3 2 2 3 6" xfId="20972"/>
    <cellStyle name="Input 2 3 2 3 2 2 4" xfId="20973"/>
    <cellStyle name="Input 2 3 2 3 2 2 4 2" xfId="20974"/>
    <cellStyle name="Input 2 3 2 3 2 2 5" xfId="20975"/>
    <cellStyle name="Input 2 3 2 3 2 2 5 2" xfId="20976"/>
    <cellStyle name="Input 2 3 2 3 2 2 6" xfId="20977"/>
    <cellStyle name="Input 2 3 2 3 2 2 7" xfId="20978"/>
    <cellStyle name="Input 2 3 2 3 2 2 8" xfId="20979"/>
    <cellStyle name="Input 2 3 2 3 2 3" xfId="20980"/>
    <cellStyle name="Input 2 3 2 3 2 3 2" xfId="20981"/>
    <cellStyle name="Input 2 3 2 3 2 3 2 2" xfId="20982"/>
    <cellStyle name="Input 2 3 2 3 2 3 2 2 2" xfId="20983"/>
    <cellStyle name="Input 2 3 2 3 2 3 2 2 2 2" xfId="20984"/>
    <cellStyle name="Input 2 3 2 3 2 3 2 2 3" xfId="20985"/>
    <cellStyle name="Input 2 3 2 3 2 3 2 2 3 2" xfId="20986"/>
    <cellStyle name="Input 2 3 2 3 2 3 2 2 4" xfId="20987"/>
    <cellStyle name="Input 2 3 2 3 2 3 2 2 5" xfId="20988"/>
    <cellStyle name="Input 2 3 2 3 2 3 2 2 6" xfId="20989"/>
    <cellStyle name="Input 2 3 2 3 2 3 2 3" xfId="20990"/>
    <cellStyle name="Input 2 3 2 3 2 3 2 3 2" xfId="20991"/>
    <cellStyle name="Input 2 3 2 3 2 3 2 4" xfId="20992"/>
    <cellStyle name="Input 2 3 2 3 2 3 2 4 2" xfId="20993"/>
    <cellStyle name="Input 2 3 2 3 2 3 2 5" xfId="20994"/>
    <cellStyle name="Input 2 3 2 3 2 3 2 6" xfId="20995"/>
    <cellStyle name="Input 2 3 2 3 2 3 2 7" xfId="20996"/>
    <cellStyle name="Input 2 3 2 3 2 3 3" xfId="20997"/>
    <cellStyle name="Input 2 3 2 3 2 3 3 2" xfId="20998"/>
    <cellStyle name="Input 2 3 2 3 2 3 3 2 2" xfId="20999"/>
    <cellStyle name="Input 2 3 2 3 2 3 3 3" xfId="21000"/>
    <cellStyle name="Input 2 3 2 3 2 3 3 3 2" xfId="21001"/>
    <cellStyle name="Input 2 3 2 3 2 3 3 4" xfId="21002"/>
    <cellStyle name="Input 2 3 2 3 2 3 3 5" xfId="21003"/>
    <cellStyle name="Input 2 3 2 3 2 3 3 6" xfId="21004"/>
    <cellStyle name="Input 2 3 2 3 2 3 4" xfId="21005"/>
    <cellStyle name="Input 2 3 2 3 2 3 4 2" xfId="21006"/>
    <cellStyle name="Input 2 3 2 3 2 3 5" xfId="21007"/>
    <cellStyle name="Input 2 3 2 3 2 3 5 2" xfId="21008"/>
    <cellStyle name="Input 2 3 2 3 2 3 6" xfId="21009"/>
    <cellStyle name="Input 2 3 2 3 2 3 7" xfId="21010"/>
    <cellStyle name="Input 2 3 2 3 2 3 8" xfId="21011"/>
    <cellStyle name="Input 2 3 2 3 2 4" xfId="21012"/>
    <cellStyle name="Input 2 3 2 3 2 4 2" xfId="21013"/>
    <cellStyle name="Input 2 3 2 3 2 4 2 2" xfId="21014"/>
    <cellStyle name="Input 2 3 2 3 2 4 2 2 2" xfId="21015"/>
    <cellStyle name="Input 2 3 2 3 2 4 2 3" xfId="21016"/>
    <cellStyle name="Input 2 3 2 3 2 4 2 3 2" xfId="21017"/>
    <cellStyle name="Input 2 3 2 3 2 4 2 4" xfId="21018"/>
    <cellStyle name="Input 2 3 2 3 2 4 2 5" xfId="21019"/>
    <cellStyle name="Input 2 3 2 3 2 4 2 6" xfId="21020"/>
    <cellStyle name="Input 2 3 2 3 2 4 3" xfId="21021"/>
    <cellStyle name="Input 2 3 2 3 2 4 3 2" xfId="21022"/>
    <cellStyle name="Input 2 3 2 3 2 4 4" xfId="21023"/>
    <cellStyle name="Input 2 3 2 3 2 4 4 2" xfId="21024"/>
    <cellStyle name="Input 2 3 2 3 2 4 5" xfId="21025"/>
    <cellStyle name="Input 2 3 2 3 2 4 6" xfId="21026"/>
    <cellStyle name="Input 2 3 2 3 2 4 7" xfId="21027"/>
    <cellStyle name="Input 2 3 2 3 2 5" xfId="21028"/>
    <cellStyle name="Input 2 3 2 3 2 5 2" xfId="21029"/>
    <cellStyle name="Input 2 3 2 3 2 5 2 2" xfId="21030"/>
    <cellStyle name="Input 2 3 2 3 2 5 3" xfId="21031"/>
    <cellStyle name="Input 2 3 2 3 2 5 3 2" xfId="21032"/>
    <cellStyle name="Input 2 3 2 3 2 5 4" xfId="21033"/>
    <cellStyle name="Input 2 3 2 3 2 5 5" xfId="21034"/>
    <cellStyle name="Input 2 3 2 3 2 5 6" xfId="21035"/>
    <cellStyle name="Input 2 3 2 3 2 6" xfId="21036"/>
    <cellStyle name="Input 2 3 2 3 2 6 2" xfId="21037"/>
    <cellStyle name="Input 2 3 2 3 2 7" xfId="21038"/>
    <cellStyle name="Input 2 3 2 3 2 7 2" xfId="21039"/>
    <cellStyle name="Input 2 3 2 3 2 8" xfId="21040"/>
    <cellStyle name="Input 2 3 2 3 2 9" xfId="21041"/>
    <cellStyle name="Input 2 3 2 3 3" xfId="21042"/>
    <cellStyle name="Input 2 3 2 3 3 2" xfId="21043"/>
    <cellStyle name="Input 2 3 2 3 3 2 2" xfId="21044"/>
    <cellStyle name="Input 2 3 2 3 3 2 2 2" xfId="21045"/>
    <cellStyle name="Input 2 3 2 3 3 2 2 2 2" xfId="21046"/>
    <cellStyle name="Input 2 3 2 3 3 2 2 3" xfId="21047"/>
    <cellStyle name="Input 2 3 2 3 3 2 2 3 2" xfId="21048"/>
    <cellStyle name="Input 2 3 2 3 3 2 2 4" xfId="21049"/>
    <cellStyle name="Input 2 3 2 3 3 2 2 5" xfId="21050"/>
    <cellStyle name="Input 2 3 2 3 3 2 2 6" xfId="21051"/>
    <cellStyle name="Input 2 3 2 3 3 2 3" xfId="21052"/>
    <cellStyle name="Input 2 3 2 3 3 2 3 2" xfId="21053"/>
    <cellStyle name="Input 2 3 2 3 3 2 4" xfId="21054"/>
    <cellStyle name="Input 2 3 2 3 3 2 4 2" xfId="21055"/>
    <cellStyle name="Input 2 3 2 3 3 2 5" xfId="21056"/>
    <cellStyle name="Input 2 3 2 3 3 2 6" xfId="21057"/>
    <cellStyle name="Input 2 3 2 3 3 2 7" xfId="21058"/>
    <cellStyle name="Input 2 3 2 3 3 3" xfId="21059"/>
    <cellStyle name="Input 2 3 2 3 3 3 2" xfId="21060"/>
    <cellStyle name="Input 2 3 2 3 3 3 2 2" xfId="21061"/>
    <cellStyle name="Input 2 3 2 3 3 3 3" xfId="21062"/>
    <cellStyle name="Input 2 3 2 3 3 3 3 2" xfId="21063"/>
    <cellStyle name="Input 2 3 2 3 3 3 4" xfId="21064"/>
    <cellStyle name="Input 2 3 2 3 3 3 5" xfId="21065"/>
    <cellStyle name="Input 2 3 2 3 3 3 6" xfId="21066"/>
    <cellStyle name="Input 2 3 2 3 3 4" xfId="21067"/>
    <cellStyle name="Input 2 3 2 3 3 4 2" xfId="21068"/>
    <cellStyle name="Input 2 3 2 3 3 5" xfId="21069"/>
    <cellStyle name="Input 2 3 2 3 3 5 2" xfId="21070"/>
    <cellStyle name="Input 2 3 2 3 3 6" xfId="21071"/>
    <cellStyle name="Input 2 3 2 3 3 7" xfId="21072"/>
    <cellStyle name="Input 2 3 2 3 3 8" xfId="21073"/>
    <cellStyle name="Input 2 3 2 3 4" xfId="21074"/>
    <cellStyle name="Input 2 3 2 3 4 2" xfId="21075"/>
    <cellStyle name="Input 2 3 2 3 4 2 2" xfId="21076"/>
    <cellStyle name="Input 2 3 2 3 4 2 2 2" xfId="21077"/>
    <cellStyle name="Input 2 3 2 3 4 2 3" xfId="21078"/>
    <cellStyle name="Input 2 3 2 3 4 2 3 2" xfId="21079"/>
    <cellStyle name="Input 2 3 2 3 4 2 4" xfId="21080"/>
    <cellStyle name="Input 2 3 2 3 4 2 5" xfId="21081"/>
    <cellStyle name="Input 2 3 2 3 4 2 6" xfId="21082"/>
    <cellStyle name="Input 2 3 2 3 4 3" xfId="21083"/>
    <cellStyle name="Input 2 3 2 3 4 3 2" xfId="21084"/>
    <cellStyle name="Input 2 3 2 3 4 4" xfId="21085"/>
    <cellStyle name="Input 2 3 2 3 4 4 2" xfId="21086"/>
    <cellStyle name="Input 2 3 2 3 4 5" xfId="21087"/>
    <cellStyle name="Input 2 3 2 3 4 6" xfId="21088"/>
    <cellStyle name="Input 2 3 2 3 4 7" xfId="21089"/>
    <cellStyle name="Input 2 3 2 3 5" xfId="21090"/>
    <cellStyle name="Input 2 3 2 3 5 2" xfId="21091"/>
    <cellStyle name="Input 2 3 2 3 5 2 2" xfId="21092"/>
    <cellStyle name="Input 2 3 2 3 5 3" xfId="21093"/>
    <cellStyle name="Input 2 3 2 3 5 3 2" xfId="21094"/>
    <cellStyle name="Input 2 3 2 3 5 4" xfId="21095"/>
    <cellStyle name="Input 2 3 2 3 5 5" xfId="21096"/>
    <cellStyle name="Input 2 3 2 3 5 6" xfId="21097"/>
    <cellStyle name="Input 2 3 2 3 6" xfId="21098"/>
    <cellStyle name="Input 2 3 2 3 6 2" xfId="21099"/>
    <cellStyle name="Input 2 3 2 3 7" xfId="21100"/>
    <cellStyle name="Input 2 3 2 3 7 2" xfId="21101"/>
    <cellStyle name="Input 2 3 2 3 8" xfId="21102"/>
    <cellStyle name="Input 2 3 2 3 9" xfId="21103"/>
    <cellStyle name="Input 2 3 2 4" xfId="21104"/>
    <cellStyle name="Input 2 3 2 4 10" xfId="21105"/>
    <cellStyle name="Input 2 3 2 4 2" xfId="21106"/>
    <cellStyle name="Input 2 3 2 4 2 2" xfId="21107"/>
    <cellStyle name="Input 2 3 2 4 2 2 2" xfId="21108"/>
    <cellStyle name="Input 2 3 2 4 2 2 2 2" xfId="21109"/>
    <cellStyle name="Input 2 3 2 4 2 2 2 2 2" xfId="21110"/>
    <cellStyle name="Input 2 3 2 4 2 2 2 3" xfId="21111"/>
    <cellStyle name="Input 2 3 2 4 2 2 2 3 2" xfId="21112"/>
    <cellStyle name="Input 2 3 2 4 2 2 2 4" xfId="21113"/>
    <cellStyle name="Input 2 3 2 4 2 2 2 5" xfId="21114"/>
    <cellStyle name="Input 2 3 2 4 2 2 2 6" xfId="21115"/>
    <cellStyle name="Input 2 3 2 4 2 2 3" xfId="21116"/>
    <cellStyle name="Input 2 3 2 4 2 2 3 2" xfId="21117"/>
    <cellStyle name="Input 2 3 2 4 2 2 4" xfId="21118"/>
    <cellStyle name="Input 2 3 2 4 2 2 4 2" xfId="21119"/>
    <cellStyle name="Input 2 3 2 4 2 2 5" xfId="21120"/>
    <cellStyle name="Input 2 3 2 4 2 2 6" xfId="21121"/>
    <cellStyle name="Input 2 3 2 4 2 2 7" xfId="21122"/>
    <cellStyle name="Input 2 3 2 4 2 3" xfId="21123"/>
    <cellStyle name="Input 2 3 2 4 2 3 2" xfId="21124"/>
    <cellStyle name="Input 2 3 2 4 2 3 2 2" xfId="21125"/>
    <cellStyle name="Input 2 3 2 4 2 3 3" xfId="21126"/>
    <cellStyle name="Input 2 3 2 4 2 3 3 2" xfId="21127"/>
    <cellStyle name="Input 2 3 2 4 2 3 4" xfId="21128"/>
    <cellStyle name="Input 2 3 2 4 2 3 5" xfId="21129"/>
    <cellStyle name="Input 2 3 2 4 2 3 6" xfId="21130"/>
    <cellStyle name="Input 2 3 2 4 2 4" xfId="21131"/>
    <cellStyle name="Input 2 3 2 4 2 4 2" xfId="21132"/>
    <cellStyle name="Input 2 3 2 4 2 5" xfId="21133"/>
    <cellStyle name="Input 2 3 2 4 2 5 2" xfId="21134"/>
    <cellStyle name="Input 2 3 2 4 2 6" xfId="21135"/>
    <cellStyle name="Input 2 3 2 4 2 7" xfId="21136"/>
    <cellStyle name="Input 2 3 2 4 2 8" xfId="21137"/>
    <cellStyle name="Input 2 3 2 4 3" xfId="21138"/>
    <cellStyle name="Input 2 3 2 4 3 2" xfId="21139"/>
    <cellStyle name="Input 2 3 2 4 3 2 2" xfId="21140"/>
    <cellStyle name="Input 2 3 2 4 3 2 2 2" xfId="21141"/>
    <cellStyle name="Input 2 3 2 4 3 2 2 2 2" xfId="21142"/>
    <cellStyle name="Input 2 3 2 4 3 2 2 3" xfId="21143"/>
    <cellStyle name="Input 2 3 2 4 3 2 2 3 2" xfId="21144"/>
    <cellStyle name="Input 2 3 2 4 3 2 2 4" xfId="21145"/>
    <cellStyle name="Input 2 3 2 4 3 2 2 5" xfId="21146"/>
    <cellStyle name="Input 2 3 2 4 3 2 2 6" xfId="21147"/>
    <cellStyle name="Input 2 3 2 4 3 2 3" xfId="21148"/>
    <cellStyle name="Input 2 3 2 4 3 2 3 2" xfId="21149"/>
    <cellStyle name="Input 2 3 2 4 3 2 4" xfId="21150"/>
    <cellStyle name="Input 2 3 2 4 3 2 4 2" xfId="21151"/>
    <cellStyle name="Input 2 3 2 4 3 2 5" xfId="21152"/>
    <cellStyle name="Input 2 3 2 4 3 2 6" xfId="21153"/>
    <cellStyle name="Input 2 3 2 4 3 2 7" xfId="21154"/>
    <cellStyle name="Input 2 3 2 4 3 3" xfId="21155"/>
    <cellStyle name="Input 2 3 2 4 3 3 2" xfId="21156"/>
    <cellStyle name="Input 2 3 2 4 3 3 2 2" xfId="21157"/>
    <cellStyle name="Input 2 3 2 4 3 3 3" xfId="21158"/>
    <cellStyle name="Input 2 3 2 4 3 3 3 2" xfId="21159"/>
    <cellStyle name="Input 2 3 2 4 3 3 4" xfId="21160"/>
    <cellStyle name="Input 2 3 2 4 3 3 5" xfId="21161"/>
    <cellStyle name="Input 2 3 2 4 3 3 6" xfId="21162"/>
    <cellStyle name="Input 2 3 2 4 3 4" xfId="21163"/>
    <cellStyle name="Input 2 3 2 4 3 4 2" xfId="21164"/>
    <cellStyle name="Input 2 3 2 4 3 5" xfId="21165"/>
    <cellStyle name="Input 2 3 2 4 3 5 2" xfId="21166"/>
    <cellStyle name="Input 2 3 2 4 3 6" xfId="21167"/>
    <cellStyle name="Input 2 3 2 4 3 7" xfId="21168"/>
    <cellStyle name="Input 2 3 2 4 3 8" xfId="21169"/>
    <cellStyle name="Input 2 3 2 4 4" xfId="21170"/>
    <cellStyle name="Input 2 3 2 4 4 2" xfId="21171"/>
    <cellStyle name="Input 2 3 2 4 4 2 2" xfId="21172"/>
    <cellStyle name="Input 2 3 2 4 4 2 2 2" xfId="21173"/>
    <cellStyle name="Input 2 3 2 4 4 2 3" xfId="21174"/>
    <cellStyle name="Input 2 3 2 4 4 2 3 2" xfId="21175"/>
    <cellStyle name="Input 2 3 2 4 4 2 4" xfId="21176"/>
    <cellStyle name="Input 2 3 2 4 4 2 5" xfId="21177"/>
    <cellStyle name="Input 2 3 2 4 4 2 6" xfId="21178"/>
    <cellStyle name="Input 2 3 2 4 4 3" xfId="21179"/>
    <cellStyle name="Input 2 3 2 4 4 3 2" xfId="21180"/>
    <cellStyle name="Input 2 3 2 4 4 4" xfId="21181"/>
    <cellStyle name="Input 2 3 2 4 4 4 2" xfId="21182"/>
    <cellStyle name="Input 2 3 2 4 4 5" xfId="21183"/>
    <cellStyle name="Input 2 3 2 4 4 6" xfId="21184"/>
    <cellStyle name="Input 2 3 2 4 4 7" xfId="21185"/>
    <cellStyle name="Input 2 3 2 4 5" xfId="21186"/>
    <cellStyle name="Input 2 3 2 4 5 2" xfId="21187"/>
    <cellStyle name="Input 2 3 2 4 5 2 2" xfId="21188"/>
    <cellStyle name="Input 2 3 2 4 5 3" xfId="21189"/>
    <cellStyle name="Input 2 3 2 4 5 3 2" xfId="21190"/>
    <cellStyle name="Input 2 3 2 4 5 4" xfId="21191"/>
    <cellStyle name="Input 2 3 2 4 5 5" xfId="21192"/>
    <cellStyle name="Input 2 3 2 4 5 6" xfId="21193"/>
    <cellStyle name="Input 2 3 2 4 6" xfId="21194"/>
    <cellStyle name="Input 2 3 2 4 6 2" xfId="21195"/>
    <cellStyle name="Input 2 3 2 4 7" xfId="21196"/>
    <cellStyle name="Input 2 3 2 4 7 2" xfId="21197"/>
    <cellStyle name="Input 2 3 2 4 8" xfId="21198"/>
    <cellStyle name="Input 2 3 2 4 9" xfId="21199"/>
    <cellStyle name="Input 2 3 2 5" xfId="21200"/>
    <cellStyle name="Input 2 3 2 5 2" xfId="21201"/>
    <cellStyle name="Input 2 3 2 5 2 2" xfId="21202"/>
    <cellStyle name="Input 2 3 2 5 2 2 2" xfId="21203"/>
    <cellStyle name="Input 2 3 2 5 2 2 2 2" xfId="21204"/>
    <cellStyle name="Input 2 3 2 5 2 2 3" xfId="21205"/>
    <cellStyle name="Input 2 3 2 5 2 2 3 2" xfId="21206"/>
    <cellStyle name="Input 2 3 2 5 2 2 4" xfId="21207"/>
    <cellStyle name="Input 2 3 2 5 2 2 5" xfId="21208"/>
    <cellStyle name="Input 2 3 2 5 2 2 6" xfId="21209"/>
    <cellStyle name="Input 2 3 2 5 2 3" xfId="21210"/>
    <cellStyle name="Input 2 3 2 5 2 3 2" xfId="21211"/>
    <cellStyle name="Input 2 3 2 5 2 4" xfId="21212"/>
    <cellStyle name="Input 2 3 2 5 2 4 2" xfId="21213"/>
    <cellStyle name="Input 2 3 2 5 2 5" xfId="21214"/>
    <cellStyle name="Input 2 3 2 5 2 6" xfId="21215"/>
    <cellStyle name="Input 2 3 2 5 2 7" xfId="21216"/>
    <cellStyle name="Input 2 3 2 5 3" xfId="21217"/>
    <cellStyle name="Input 2 3 2 5 3 2" xfId="21218"/>
    <cellStyle name="Input 2 3 2 5 3 2 2" xfId="21219"/>
    <cellStyle name="Input 2 3 2 5 3 3" xfId="21220"/>
    <cellStyle name="Input 2 3 2 5 3 3 2" xfId="21221"/>
    <cellStyle name="Input 2 3 2 5 3 4" xfId="21222"/>
    <cellStyle name="Input 2 3 2 5 3 5" xfId="21223"/>
    <cellStyle name="Input 2 3 2 5 3 6" xfId="21224"/>
    <cellStyle name="Input 2 3 2 5 4" xfId="21225"/>
    <cellStyle name="Input 2 3 2 5 4 2" xfId="21226"/>
    <cellStyle name="Input 2 3 2 5 5" xfId="21227"/>
    <cellStyle name="Input 2 3 2 5 5 2" xfId="21228"/>
    <cellStyle name="Input 2 3 2 5 6" xfId="21229"/>
    <cellStyle name="Input 2 3 2 5 7" xfId="21230"/>
    <cellStyle name="Input 2 3 2 5 8" xfId="21231"/>
    <cellStyle name="Input 2 3 2 6" xfId="21232"/>
    <cellStyle name="Input 2 3 2 6 2" xfId="21233"/>
    <cellStyle name="Input 2 3 2 6 2 2" xfId="21234"/>
    <cellStyle name="Input 2 3 2 6 2 2 2" xfId="21235"/>
    <cellStyle name="Input 2 3 2 6 2 3" xfId="21236"/>
    <cellStyle name="Input 2 3 2 6 2 3 2" xfId="21237"/>
    <cellStyle name="Input 2 3 2 6 2 4" xfId="21238"/>
    <cellStyle name="Input 2 3 2 6 2 5" xfId="21239"/>
    <cellStyle name="Input 2 3 2 6 2 6" xfId="21240"/>
    <cellStyle name="Input 2 3 2 6 3" xfId="21241"/>
    <cellStyle name="Input 2 3 2 6 3 2" xfId="21242"/>
    <cellStyle name="Input 2 3 2 6 4" xfId="21243"/>
    <cellStyle name="Input 2 3 2 6 4 2" xfId="21244"/>
    <cellStyle name="Input 2 3 2 6 5" xfId="21245"/>
    <cellStyle name="Input 2 3 2 6 6" xfId="21246"/>
    <cellStyle name="Input 2 3 2 6 7" xfId="21247"/>
    <cellStyle name="Input 2 3 2 7" xfId="21248"/>
    <cellStyle name="Input 2 3 2 7 2" xfId="21249"/>
    <cellStyle name="Input 2 3 2 7 2 2" xfId="21250"/>
    <cellStyle name="Input 2 3 2 7 3" xfId="21251"/>
    <cellStyle name="Input 2 3 2 7 3 2" xfId="21252"/>
    <cellStyle name="Input 2 3 2 7 4" xfId="21253"/>
    <cellStyle name="Input 2 3 2 7 5" xfId="21254"/>
    <cellStyle name="Input 2 3 2 7 6" xfId="21255"/>
    <cellStyle name="Input 2 3 2 8" xfId="21256"/>
    <cellStyle name="Input 2 3 2 8 2" xfId="21257"/>
    <cellStyle name="Input 2 3 2 9" xfId="21258"/>
    <cellStyle name="Input 2 3 2 9 2" xfId="21259"/>
    <cellStyle name="Input 2 3 3" xfId="21260"/>
    <cellStyle name="Input 2 3 3 10" xfId="21261"/>
    <cellStyle name="Input 2 3 3 11" xfId="21262"/>
    <cellStyle name="Input 2 3 3 2" xfId="21263"/>
    <cellStyle name="Input 2 3 3 2 10" xfId="21264"/>
    <cellStyle name="Input 2 3 3 2 2" xfId="21265"/>
    <cellStyle name="Input 2 3 3 2 2 10" xfId="21266"/>
    <cellStyle name="Input 2 3 3 2 2 2" xfId="21267"/>
    <cellStyle name="Input 2 3 3 2 2 2 2" xfId="21268"/>
    <cellStyle name="Input 2 3 3 2 2 2 2 2" xfId="21269"/>
    <cellStyle name="Input 2 3 3 2 2 2 2 2 2" xfId="21270"/>
    <cellStyle name="Input 2 3 3 2 2 2 2 2 2 2" xfId="21271"/>
    <cellStyle name="Input 2 3 3 2 2 2 2 2 3" xfId="21272"/>
    <cellStyle name="Input 2 3 3 2 2 2 2 2 3 2" xfId="21273"/>
    <cellStyle name="Input 2 3 3 2 2 2 2 2 4" xfId="21274"/>
    <cellStyle name="Input 2 3 3 2 2 2 2 2 5" xfId="21275"/>
    <cellStyle name="Input 2 3 3 2 2 2 2 2 6" xfId="21276"/>
    <cellStyle name="Input 2 3 3 2 2 2 2 3" xfId="21277"/>
    <cellStyle name="Input 2 3 3 2 2 2 2 3 2" xfId="21278"/>
    <cellStyle name="Input 2 3 3 2 2 2 2 4" xfId="21279"/>
    <cellStyle name="Input 2 3 3 2 2 2 2 4 2" xfId="21280"/>
    <cellStyle name="Input 2 3 3 2 2 2 2 5" xfId="21281"/>
    <cellStyle name="Input 2 3 3 2 2 2 2 6" xfId="21282"/>
    <cellStyle name="Input 2 3 3 2 2 2 2 7" xfId="21283"/>
    <cellStyle name="Input 2 3 3 2 2 2 3" xfId="21284"/>
    <cellStyle name="Input 2 3 3 2 2 2 3 2" xfId="21285"/>
    <cellStyle name="Input 2 3 3 2 2 2 3 2 2" xfId="21286"/>
    <cellStyle name="Input 2 3 3 2 2 2 3 3" xfId="21287"/>
    <cellStyle name="Input 2 3 3 2 2 2 3 3 2" xfId="21288"/>
    <cellStyle name="Input 2 3 3 2 2 2 3 4" xfId="21289"/>
    <cellStyle name="Input 2 3 3 2 2 2 3 5" xfId="21290"/>
    <cellStyle name="Input 2 3 3 2 2 2 3 6" xfId="21291"/>
    <cellStyle name="Input 2 3 3 2 2 2 4" xfId="21292"/>
    <cellStyle name="Input 2 3 3 2 2 2 4 2" xfId="21293"/>
    <cellStyle name="Input 2 3 3 2 2 2 5" xfId="21294"/>
    <cellStyle name="Input 2 3 3 2 2 2 5 2" xfId="21295"/>
    <cellStyle name="Input 2 3 3 2 2 2 6" xfId="21296"/>
    <cellStyle name="Input 2 3 3 2 2 2 7" xfId="21297"/>
    <cellStyle name="Input 2 3 3 2 2 2 8" xfId="21298"/>
    <cellStyle name="Input 2 3 3 2 2 3" xfId="21299"/>
    <cellStyle name="Input 2 3 3 2 2 3 2" xfId="21300"/>
    <cellStyle name="Input 2 3 3 2 2 3 2 2" xfId="21301"/>
    <cellStyle name="Input 2 3 3 2 2 3 2 2 2" xfId="21302"/>
    <cellStyle name="Input 2 3 3 2 2 3 2 2 2 2" xfId="21303"/>
    <cellStyle name="Input 2 3 3 2 2 3 2 2 3" xfId="21304"/>
    <cellStyle name="Input 2 3 3 2 2 3 2 2 3 2" xfId="21305"/>
    <cellStyle name="Input 2 3 3 2 2 3 2 2 4" xfId="21306"/>
    <cellStyle name="Input 2 3 3 2 2 3 2 2 5" xfId="21307"/>
    <cellStyle name="Input 2 3 3 2 2 3 2 2 6" xfId="21308"/>
    <cellStyle name="Input 2 3 3 2 2 3 2 3" xfId="21309"/>
    <cellStyle name="Input 2 3 3 2 2 3 2 3 2" xfId="21310"/>
    <cellStyle name="Input 2 3 3 2 2 3 2 4" xfId="21311"/>
    <cellStyle name="Input 2 3 3 2 2 3 2 4 2" xfId="21312"/>
    <cellStyle name="Input 2 3 3 2 2 3 2 5" xfId="21313"/>
    <cellStyle name="Input 2 3 3 2 2 3 2 6" xfId="21314"/>
    <cellStyle name="Input 2 3 3 2 2 3 2 7" xfId="21315"/>
    <cellStyle name="Input 2 3 3 2 2 3 3" xfId="21316"/>
    <cellStyle name="Input 2 3 3 2 2 3 3 2" xfId="21317"/>
    <cellStyle name="Input 2 3 3 2 2 3 3 2 2" xfId="21318"/>
    <cellStyle name="Input 2 3 3 2 2 3 3 3" xfId="21319"/>
    <cellStyle name="Input 2 3 3 2 2 3 3 3 2" xfId="21320"/>
    <cellStyle name="Input 2 3 3 2 2 3 3 4" xfId="21321"/>
    <cellStyle name="Input 2 3 3 2 2 3 3 5" xfId="21322"/>
    <cellStyle name="Input 2 3 3 2 2 3 3 6" xfId="21323"/>
    <cellStyle name="Input 2 3 3 2 2 3 4" xfId="21324"/>
    <cellStyle name="Input 2 3 3 2 2 3 4 2" xfId="21325"/>
    <cellStyle name="Input 2 3 3 2 2 3 5" xfId="21326"/>
    <cellStyle name="Input 2 3 3 2 2 3 5 2" xfId="21327"/>
    <cellStyle name="Input 2 3 3 2 2 3 6" xfId="21328"/>
    <cellStyle name="Input 2 3 3 2 2 3 7" xfId="21329"/>
    <cellStyle name="Input 2 3 3 2 2 3 8" xfId="21330"/>
    <cellStyle name="Input 2 3 3 2 2 4" xfId="21331"/>
    <cellStyle name="Input 2 3 3 2 2 4 2" xfId="21332"/>
    <cellStyle name="Input 2 3 3 2 2 4 2 2" xfId="21333"/>
    <cellStyle name="Input 2 3 3 2 2 4 2 2 2" xfId="21334"/>
    <cellStyle name="Input 2 3 3 2 2 4 2 3" xfId="21335"/>
    <cellStyle name="Input 2 3 3 2 2 4 2 3 2" xfId="21336"/>
    <cellStyle name="Input 2 3 3 2 2 4 2 4" xfId="21337"/>
    <cellStyle name="Input 2 3 3 2 2 4 2 5" xfId="21338"/>
    <cellStyle name="Input 2 3 3 2 2 4 2 6" xfId="21339"/>
    <cellStyle name="Input 2 3 3 2 2 4 3" xfId="21340"/>
    <cellStyle name="Input 2 3 3 2 2 4 3 2" xfId="21341"/>
    <cellStyle name="Input 2 3 3 2 2 4 4" xfId="21342"/>
    <cellStyle name="Input 2 3 3 2 2 4 4 2" xfId="21343"/>
    <cellStyle name="Input 2 3 3 2 2 4 5" xfId="21344"/>
    <cellStyle name="Input 2 3 3 2 2 4 6" xfId="21345"/>
    <cellStyle name="Input 2 3 3 2 2 4 7" xfId="21346"/>
    <cellStyle name="Input 2 3 3 2 2 5" xfId="21347"/>
    <cellStyle name="Input 2 3 3 2 2 5 2" xfId="21348"/>
    <cellStyle name="Input 2 3 3 2 2 5 2 2" xfId="21349"/>
    <cellStyle name="Input 2 3 3 2 2 5 3" xfId="21350"/>
    <cellStyle name="Input 2 3 3 2 2 5 3 2" xfId="21351"/>
    <cellStyle name="Input 2 3 3 2 2 5 4" xfId="21352"/>
    <cellStyle name="Input 2 3 3 2 2 5 5" xfId="21353"/>
    <cellStyle name="Input 2 3 3 2 2 5 6" xfId="21354"/>
    <cellStyle name="Input 2 3 3 2 2 6" xfId="21355"/>
    <cellStyle name="Input 2 3 3 2 2 6 2" xfId="21356"/>
    <cellStyle name="Input 2 3 3 2 2 7" xfId="21357"/>
    <cellStyle name="Input 2 3 3 2 2 7 2" xfId="21358"/>
    <cellStyle name="Input 2 3 3 2 2 8" xfId="21359"/>
    <cellStyle name="Input 2 3 3 2 2 9" xfId="21360"/>
    <cellStyle name="Input 2 3 3 2 3" xfId="21361"/>
    <cellStyle name="Input 2 3 3 2 3 2" xfId="21362"/>
    <cellStyle name="Input 2 3 3 2 3 2 2" xfId="21363"/>
    <cellStyle name="Input 2 3 3 2 3 2 2 2" xfId="21364"/>
    <cellStyle name="Input 2 3 3 2 3 2 2 2 2" xfId="21365"/>
    <cellStyle name="Input 2 3 3 2 3 2 2 3" xfId="21366"/>
    <cellStyle name="Input 2 3 3 2 3 2 2 3 2" xfId="21367"/>
    <cellStyle name="Input 2 3 3 2 3 2 2 4" xfId="21368"/>
    <cellStyle name="Input 2 3 3 2 3 2 2 5" xfId="21369"/>
    <cellStyle name="Input 2 3 3 2 3 2 2 6" xfId="21370"/>
    <cellStyle name="Input 2 3 3 2 3 2 3" xfId="21371"/>
    <cellStyle name="Input 2 3 3 2 3 2 3 2" xfId="21372"/>
    <cellStyle name="Input 2 3 3 2 3 2 4" xfId="21373"/>
    <cellStyle name="Input 2 3 3 2 3 2 4 2" xfId="21374"/>
    <cellStyle name="Input 2 3 3 2 3 2 5" xfId="21375"/>
    <cellStyle name="Input 2 3 3 2 3 2 6" xfId="21376"/>
    <cellStyle name="Input 2 3 3 2 3 2 7" xfId="21377"/>
    <cellStyle name="Input 2 3 3 2 3 3" xfId="21378"/>
    <cellStyle name="Input 2 3 3 2 3 3 2" xfId="21379"/>
    <cellStyle name="Input 2 3 3 2 3 3 2 2" xfId="21380"/>
    <cellStyle name="Input 2 3 3 2 3 3 3" xfId="21381"/>
    <cellStyle name="Input 2 3 3 2 3 3 3 2" xfId="21382"/>
    <cellStyle name="Input 2 3 3 2 3 3 4" xfId="21383"/>
    <cellStyle name="Input 2 3 3 2 3 3 5" xfId="21384"/>
    <cellStyle name="Input 2 3 3 2 3 3 6" xfId="21385"/>
    <cellStyle name="Input 2 3 3 2 3 4" xfId="21386"/>
    <cellStyle name="Input 2 3 3 2 3 4 2" xfId="21387"/>
    <cellStyle name="Input 2 3 3 2 3 5" xfId="21388"/>
    <cellStyle name="Input 2 3 3 2 3 5 2" xfId="21389"/>
    <cellStyle name="Input 2 3 3 2 3 6" xfId="21390"/>
    <cellStyle name="Input 2 3 3 2 3 7" xfId="21391"/>
    <cellStyle name="Input 2 3 3 2 3 8" xfId="21392"/>
    <cellStyle name="Input 2 3 3 2 4" xfId="21393"/>
    <cellStyle name="Input 2 3 3 2 4 2" xfId="21394"/>
    <cellStyle name="Input 2 3 3 2 4 2 2" xfId="21395"/>
    <cellStyle name="Input 2 3 3 2 4 2 2 2" xfId="21396"/>
    <cellStyle name="Input 2 3 3 2 4 2 3" xfId="21397"/>
    <cellStyle name="Input 2 3 3 2 4 2 3 2" xfId="21398"/>
    <cellStyle name="Input 2 3 3 2 4 2 4" xfId="21399"/>
    <cellStyle name="Input 2 3 3 2 4 2 5" xfId="21400"/>
    <cellStyle name="Input 2 3 3 2 4 2 6" xfId="21401"/>
    <cellStyle name="Input 2 3 3 2 4 3" xfId="21402"/>
    <cellStyle name="Input 2 3 3 2 4 3 2" xfId="21403"/>
    <cellStyle name="Input 2 3 3 2 4 4" xfId="21404"/>
    <cellStyle name="Input 2 3 3 2 4 4 2" xfId="21405"/>
    <cellStyle name="Input 2 3 3 2 4 5" xfId="21406"/>
    <cellStyle name="Input 2 3 3 2 4 6" xfId="21407"/>
    <cellStyle name="Input 2 3 3 2 4 7" xfId="21408"/>
    <cellStyle name="Input 2 3 3 2 5" xfId="21409"/>
    <cellStyle name="Input 2 3 3 2 5 2" xfId="21410"/>
    <cellStyle name="Input 2 3 3 2 5 2 2" xfId="21411"/>
    <cellStyle name="Input 2 3 3 2 5 3" xfId="21412"/>
    <cellStyle name="Input 2 3 3 2 5 3 2" xfId="21413"/>
    <cellStyle name="Input 2 3 3 2 5 4" xfId="21414"/>
    <cellStyle name="Input 2 3 3 2 5 5" xfId="21415"/>
    <cellStyle name="Input 2 3 3 2 5 6" xfId="21416"/>
    <cellStyle name="Input 2 3 3 2 6" xfId="21417"/>
    <cellStyle name="Input 2 3 3 2 6 2" xfId="21418"/>
    <cellStyle name="Input 2 3 3 2 7" xfId="21419"/>
    <cellStyle name="Input 2 3 3 2 7 2" xfId="21420"/>
    <cellStyle name="Input 2 3 3 2 8" xfId="21421"/>
    <cellStyle name="Input 2 3 3 2 9" xfId="21422"/>
    <cellStyle name="Input 2 3 3 3" xfId="21423"/>
    <cellStyle name="Input 2 3 3 3 10" xfId="21424"/>
    <cellStyle name="Input 2 3 3 3 2" xfId="21425"/>
    <cellStyle name="Input 2 3 3 3 2 2" xfId="21426"/>
    <cellStyle name="Input 2 3 3 3 2 2 2" xfId="21427"/>
    <cellStyle name="Input 2 3 3 3 2 2 2 2" xfId="21428"/>
    <cellStyle name="Input 2 3 3 3 2 2 2 2 2" xfId="21429"/>
    <cellStyle name="Input 2 3 3 3 2 2 2 3" xfId="21430"/>
    <cellStyle name="Input 2 3 3 3 2 2 2 3 2" xfId="21431"/>
    <cellStyle name="Input 2 3 3 3 2 2 2 4" xfId="21432"/>
    <cellStyle name="Input 2 3 3 3 2 2 2 5" xfId="21433"/>
    <cellStyle name="Input 2 3 3 3 2 2 2 6" xfId="21434"/>
    <cellStyle name="Input 2 3 3 3 2 2 3" xfId="21435"/>
    <cellStyle name="Input 2 3 3 3 2 2 3 2" xfId="21436"/>
    <cellStyle name="Input 2 3 3 3 2 2 4" xfId="21437"/>
    <cellStyle name="Input 2 3 3 3 2 2 4 2" xfId="21438"/>
    <cellStyle name="Input 2 3 3 3 2 2 5" xfId="21439"/>
    <cellStyle name="Input 2 3 3 3 2 2 6" xfId="21440"/>
    <cellStyle name="Input 2 3 3 3 2 2 7" xfId="21441"/>
    <cellStyle name="Input 2 3 3 3 2 3" xfId="21442"/>
    <cellStyle name="Input 2 3 3 3 2 3 2" xfId="21443"/>
    <cellStyle name="Input 2 3 3 3 2 3 2 2" xfId="21444"/>
    <cellStyle name="Input 2 3 3 3 2 3 3" xfId="21445"/>
    <cellStyle name="Input 2 3 3 3 2 3 3 2" xfId="21446"/>
    <cellStyle name="Input 2 3 3 3 2 3 4" xfId="21447"/>
    <cellStyle name="Input 2 3 3 3 2 3 5" xfId="21448"/>
    <cellStyle name="Input 2 3 3 3 2 3 6" xfId="21449"/>
    <cellStyle name="Input 2 3 3 3 2 4" xfId="21450"/>
    <cellStyle name="Input 2 3 3 3 2 4 2" xfId="21451"/>
    <cellStyle name="Input 2 3 3 3 2 5" xfId="21452"/>
    <cellStyle name="Input 2 3 3 3 2 5 2" xfId="21453"/>
    <cellStyle name="Input 2 3 3 3 2 6" xfId="21454"/>
    <cellStyle name="Input 2 3 3 3 2 7" xfId="21455"/>
    <cellStyle name="Input 2 3 3 3 2 8" xfId="21456"/>
    <cellStyle name="Input 2 3 3 3 3" xfId="21457"/>
    <cellStyle name="Input 2 3 3 3 3 2" xfId="21458"/>
    <cellStyle name="Input 2 3 3 3 3 2 2" xfId="21459"/>
    <cellStyle name="Input 2 3 3 3 3 2 2 2" xfId="21460"/>
    <cellStyle name="Input 2 3 3 3 3 2 2 2 2" xfId="21461"/>
    <cellStyle name="Input 2 3 3 3 3 2 2 3" xfId="21462"/>
    <cellStyle name="Input 2 3 3 3 3 2 2 3 2" xfId="21463"/>
    <cellStyle name="Input 2 3 3 3 3 2 2 4" xfId="21464"/>
    <cellStyle name="Input 2 3 3 3 3 2 2 5" xfId="21465"/>
    <cellStyle name="Input 2 3 3 3 3 2 2 6" xfId="21466"/>
    <cellStyle name="Input 2 3 3 3 3 2 3" xfId="21467"/>
    <cellStyle name="Input 2 3 3 3 3 2 3 2" xfId="21468"/>
    <cellStyle name="Input 2 3 3 3 3 2 4" xfId="21469"/>
    <cellStyle name="Input 2 3 3 3 3 2 4 2" xfId="21470"/>
    <cellStyle name="Input 2 3 3 3 3 2 5" xfId="21471"/>
    <cellStyle name="Input 2 3 3 3 3 2 6" xfId="21472"/>
    <cellStyle name="Input 2 3 3 3 3 2 7" xfId="21473"/>
    <cellStyle name="Input 2 3 3 3 3 3" xfId="21474"/>
    <cellStyle name="Input 2 3 3 3 3 3 2" xfId="21475"/>
    <cellStyle name="Input 2 3 3 3 3 3 2 2" xfId="21476"/>
    <cellStyle name="Input 2 3 3 3 3 3 3" xfId="21477"/>
    <cellStyle name="Input 2 3 3 3 3 3 3 2" xfId="21478"/>
    <cellStyle name="Input 2 3 3 3 3 3 4" xfId="21479"/>
    <cellStyle name="Input 2 3 3 3 3 3 5" xfId="21480"/>
    <cellStyle name="Input 2 3 3 3 3 3 6" xfId="21481"/>
    <cellStyle name="Input 2 3 3 3 3 4" xfId="21482"/>
    <cellStyle name="Input 2 3 3 3 3 4 2" xfId="21483"/>
    <cellStyle name="Input 2 3 3 3 3 5" xfId="21484"/>
    <cellStyle name="Input 2 3 3 3 3 5 2" xfId="21485"/>
    <cellStyle name="Input 2 3 3 3 3 6" xfId="21486"/>
    <cellStyle name="Input 2 3 3 3 3 7" xfId="21487"/>
    <cellStyle name="Input 2 3 3 3 3 8" xfId="21488"/>
    <cellStyle name="Input 2 3 3 3 4" xfId="21489"/>
    <cellStyle name="Input 2 3 3 3 4 2" xfId="21490"/>
    <cellStyle name="Input 2 3 3 3 4 2 2" xfId="21491"/>
    <cellStyle name="Input 2 3 3 3 4 2 2 2" xfId="21492"/>
    <cellStyle name="Input 2 3 3 3 4 2 3" xfId="21493"/>
    <cellStyle name="Input 2 3 3 3 4 2 3 2" xfId="21494"/>
    <cellStyle name="Input 2 3 3 3 4 2 4" xfId="21495"/>
    <cellStyle name="Input 2 3 3 3 4 2 5" xfId="21496"/>
    <cellStyle name="Input 2 3 3 3 4 2 6" xfId="21497"/>
    <cellStyle name="Input 2 3 3 3 4 3" xfId="21498"/>
    <cellStyle name="Input 2 3 3 3 4 3 2" xfId="21499"/>
    <cellStyle name="Input 2 3 3 3 4 4" xfId="21500"/>
    <cellStyle name="Input 2 3 3 3 4 4 2" xfId="21501"/>
    <cellStyle name="Input 2 3 3 3 4 5" xfId="21502"/>
    <cellStyle name="Input 2 3 3 3 4 6" xfId="21503"/>
    <cellStyle name="Input 2 3 3 3 4 7" xfId="21504"/>
    <cellStyle name="Input 2 3 3 3 5" xfId="21505"/>
    <cellStyle name="Input 2 3 3 3 5 2" xfId="21506"/>
    <cellStyle name="Input 2 3 3 3 5 2 2" xfId="21507"/>
    <cellStyle name="Input 2 3 3 3 5 3" xfId="21508"/>
    <cellStyle name="Input 2 3 3 3 5 3 2" xfId="21509"/>
    <cellStyle name="Input 2 3 3 3 5 4" xfId="21510"/>
    <cellStyle name="Input 2 3 3 3 5 5" xfId="21511"/>
    <cellStyle name="Input 2 3 3 3 5 6" xfId="21512"/>
    <cellStyle name="Input 2 3 3 3 6" xfId="21513"/>
    <cellStyle name="Input 2 3 3 3 6 2" xfId="21514"/>
    <cellStyle name="Input 2 3 3 3 7" xfId="21515"/>
    <cellStyle name="Input 2 3 3 3 7 2" xfId="21516"/>
    <cellStyle name="Input 2 3 3 3 8" xfId="21517"/>
    <cellStyle name="Input 2 3 3 3 9" xfId="21518"/>
    <cellStyle name="Input 2 3 3 4" xfId="21519"/>
    <cellStyle name="Input 2 3 3 4 2" xfId="21520"/>
    <cellStyle name="Input 2 3 3 4 2 2" xfId="21521"/>
    <cellStyle name="Input 2 3 3 4 2 2 2" xfId="21522"/>
    <cellStyle name="Input 2 3 3 4 2 2 2 2" xfId="21523"/>
    <cellStyle name="Input 2 3 3 4 2 2 3" xfId="21524"/>
    <cellStyle name="Input 2 3 3 4 2 2 3 2" xfId="21525"/>
    <cellStyle name="Input 2 3 3 4 2 2 4" xfId="21526"/>
    <cellStyle name="Input 2 3 3 4 2 2 5" xfId="21527"/>
    <cellStyle name="Input 2 3 3 4 2 2 6" xfId="21528"/>
    <cellStyle name="Input 2 3 3 4 2 3" xfId="21529"/>
    <cellStyle name="Input 2 3 3 4 2 3 2" xfId="21530"/>
    <cellStyle name="Input 2 3 3 4 2 4" xfId="21531"/>
    <cellStyle name="Input 2 3 3 4 2 4 2" xfId="21532"/>
    <cellStyle name="Input 2 3 3 4 2 5" xfId="21533"/>
    <cellStyle name="Input 2 3 3 4 2 6" xfId="21534"/>
    <cellStyle name="Input 2 3 3 4 2 7" xfId="21535"/>
    <cellStyle name="Input 2 3 3 4 3" xfId="21536"/>
    <cellStyle name="Input 2 3 3 4 3 2" xfId="21537"/>
    <cellStyle name="Input 2 3 3 4 3 2 2" xfId="21538"/>
    <cellStyle name="Input 2 3 3 4 3 3" xfId="21539"/>
    <cellStyle name="Input 2 3 3 4 3 3 2" xfId="21540"/>
    <cellStyle name="Input 2 3 3 4 3 4" xfId="21541"/>
    <cellStyle name="Input 2 3 3 4 3 5" xfId="21542"/>
    <cellStyle name="Input 2 3 3 4 3 6" xfId="21543"/>
    <cellStyle name="Input 2 3 3 4 4" xfId="21544"/>
    <cellStyle name="Input 2 3 3 4 4 2" xfId="21545"/>
    <cellStyle name="Input 2 3 3 4 5" xfId="21546"/>
    <cellStyle name="Input 2 3 3 4 5 2" xfId="21547"/>
    <cellStyle name="Input 2 3 3 4 6" xfId="21548"/>
    <cellStyle name="Input 2 3 3 4 7" xfId="21549"/>
    <cellStyle name="Input 2 3 3 4 8" xfId="21550"/>
    <cellStyle name="Input 2 3 3 5" xfId="21551"/>
    <cellStyle name="Input 2 3 3 5 2" xfId="21552"/>
    <cellStyle name="Input 2 3 3 5 2 2" xfId="21553"/>
    <cellStyle name="Input 2 3 3 5 2 2 2" xfId="21554"/>
    <cellStyle name="Input 2 3 3 5 2 3" xfId="21555"/>
    <cellStyle name="Input 2 3 3 5 2 3 2" xfId="21556"/>
    <cellStyle name="Input 2 3 3 5 2 4" xfId="21557"/>
    <cellStyle name="Input 2 3 3 5 2 5" xfId="21558"/>
    <cellStyle name="Input 2 3 3 5 2 6" xfId="21559"/>
    <cellStyle name="Input 2 3 3 5 3" xfId="21560"/>
    <cellStyle name="Input 2 3 3 5 3 2" xfId="21561"/>
    <cellStyle name="Input 2 3 3 5 4" xfId="21562"/>
    <cellStyle name="Input 2 3 3 5 4 2" xfId="21563"/>
    <cellStyle name="Input 2 3 3 5 5" xfId="21564"/>
    <cellStyle name="Input 2 3 3 5 6" xfId="21565"/>
    <cellStyle name="Input 2 3 3 5 7" xfId="21566"/>
    <cellStyle name="Input 2 3 3 6" xfId="21567"/>
    <cellStyle name="Input 2 3 3 6 2" xfId="21568"/>
    <cellStyle name="Input 2 3 3 6 2 2" xfId="21569"/>
    <cellStyle name="Input 2 3 3 6 3" xfId="21570"/>
    <cellStyle name="Input 2 3 3 6 3 2" xfId="21571"/>
    <cellStyle name="Input 2 3 3 6 4" xfId="21572"/>
    <cellStyle name="Input 2 3 3 6 5" xfId="21573"/>
    <cellStyle name="Input 2 3 3 6 6" xfId="21574"/>
    <cellStyle name="Input 2 3 3 7" xfId="21575"/>
    <cellStyle name="Input 2 3 3 7 2" xfId="21576"/>
    <cellStyle name="Input 2 3 3 8" xfId="21577"/>
    <cellStyle name="Input 2 3 3 8 2" xfId="21578"/>
    <cellStyle name="Input 2 3 3 9" xfId="21579"/>
    <cellStyle name="Input 2 3 4" xfId="21580"/>
    <cellStyle name="Input 2 3 4 10" xfId="21581"/>
    <cellStyle name="Input 2 3 4 11" xfId="21582"/>
    <cellStyle name="Input 2 3 4 2" xfId="21583"/>
    <cellStyle name="Input 2 3 4 2 10" xfId="21584"/>
    <cellStyle name="Input 2 3 4 2 2" xfId="21585"/>
    <cellStyle name="Input 2 3 4 2 2 2" xfId="21586"/>
    <cellStyle name="Input 2 3 4 2 2 2 2" xfId="21587"/>
    <cellStyle name="Input 2 3 4 2 2 2 2 2" xfId="21588"/>
    <cellStyle name="Input 2 3 4 2 2 2 2 2 2" xfId="21589"/>
    <cellStyle name="Input 2 3 4 2 2 2 2 3" xfId="21590"/>
    <cellStyle name="Input 2 3 4 2 2 2 2 3 2" xfId="21591"/>
    <cellStyle name="Input 2 3 4 2 2 2 2 4" xfId="21592"/>
    <cellStyle name="Input 2 3 4 2 2 2 2 5" xfId="21593"/>
    <cellStyle name="Input 2 3 4 2 2 2 2 6" xfId="21594"/>
    <cellStyle name="Input 2 3 4 2 2 2 3" xfId="21595"/>
    <cellStyle name="Input 2 3 4 2 2 2 3 2" xfId="21596"/>
    <cellStyle name="Input 2 3 4 2 2 2 4" xfId="21597"/>
    <cellStyle name="Input 2 3 4 2 2 2 4 2" xfId="21598"/>
    <cellStyle name="Input 2 3 4 2 2 2 5" xfId="21599"/>
    <cellStyle name="Input 2 3 4 2 2 2 6" xfId="21600"/>
    <cellStyle name="Input 2 3 4 2 2 2 7" xfId="21601"/>
    <cellStyle name="Input 2 3 4 2 2 3" xfId="21602"/>
    <cellStyle name="Input 2 3 4 2 2 3 2" xfId="21603"/>
    <cellStyle name="Input 2 3 4 2 2 3 2 2" xfId="21604"/>
    <cellStyle name="Input 2 3 4 2 2 3 3" xfId="21605"/>
    <cellStyle name="Input 2 3 4 2 2 3 3 2" xfId="21606"/>
    <cellStyle name="Input 2 3 4 2 2 3 4" xfId="21607"/>
    <cellStyle name="Input 2 3 4 2 2 3 5" xfId="21608"/>
    <cellStyle name="Input 2 3 4 2 2 3 6" xfId="21609"/>
    <cellStyle name="Input 2 3 4 2 2 4" xfId="21610"/>
    <cellStyle name="Input 2 3 4 2 2 4 2" xfId="21611"/>
    <cellStyle name="Input 2 3 4 2 2 5" xfId="21612"/>
    <cellStyle name="Input 2 3 4 2 2 5 2" xfId="21613"/>
    <cellStyle name="Input 2 3 4 2 2 6" xfId="21614"/>
    <cellStyle name="Input 2 3 4 2 2 7" xfId="21615"/>
    <cellStyle name="Input 2 3 4 2 2 8" xfId="21616"/>
    <cellStyle name="Input 2 3 4 2 3" xfId="21617"/>
    <cellStyle name="Input 2 3 4 2 3 2" xfId="21618"/>
    <cellStyle name="Input 2 3 4 2 3 2 2" xfId="21619"/>
    <cellStyle name="Input 2 3 4 2 3 2 2 2" xfId="21620"/>
    <cellStyle name="Input 2 3 4 2 3 2 2 2 2" xfId="21621"/>
    <cellStyle name="Input 2 3 4 2 3 2 2 3" xfId="21622"/>
    <cellStyle name="Input 2 3 4 2 3 2 2 3 2" xfId="21623"/>
    <cellStyle name="Input 2 3 4 2 3 2 2 4" xfId="21624"/>
    <cellStyle name="Input 2 3 4 2 3 2 2 5" xfId="21625"/>
    <cellStyle name="Input 2 3 4 2 3 2 2 6" xfId="21626"/>
    <cellStyle name="Input 2 3 4 2 3 2 3" xfId="21627"/>
    <cellStyle name="Input 2 3 4 2 3 2 3 2" xfId="21628"/>
    <cellStyle name="Input 2 3 4 2 3 2 4" xfId="21629"/>
    <cellStyle name="Input 2 3 4 2 3 2 4 2" xfId="21630"/>
    <cellStyle name="Input 2 3 4 2 3 2 5" xfId="21631"/>
    <cellStyle name="Input 2 3 4 2 3 2 6" xfId="21632"/>
    <cellStyle name="Input 2 3 4 2 3 2 7" xfId="21633"/>
    <cellStyle name="Input 2 3 4 2 3 3" xfId="21634"/>
    <cellStyle name="Input 2 3 4 2 3 3 2" xfId="21635"/>
    <cellStyle name="Input 2 3 4 2 3 3 2 2" xfId="21636"/>
    <cellStyle name="Input 2 3 4 2 3 3 3" xfId="21637"/>
    <cellStyle name="Input 2 3 4 2 3 3 3 2" xfId="21638"/>
    <cellStyle name="Input 2 3 4 2 3 3 4" xfId="21639"/>
    <cellStyle name="Input 2 3 4 2 3 3 5" xfId="21640"/>
    <cellStyle name="Input 2 3 4 2 3 3 6" xfId="21641"/>
    <cellStyle name="Input 2 3 4 2 3 4" xfId="21642"/>
    <cellStyle name="Input 2 3 4 2 3 4 2" xfId="21643"/>
    <cellStyle name="Input 2 3 4 2 3 5" xfId="21644"/>
    <cellStyle name="Input 2 3 4 2 3 5 2" xfId="21645"/>
    <cellStyle name="Input 2 3 4 2 3 6" xfId="21646"/>
    <cellStyle name="Input 2 3 4 2 3 7" xfId="21647"/>
    <cellStyle name="Input 2 3 4 2 3 8" xfId="21648"/>
    <cellStyle name="Input 2 3 4 2 4" xfId="21649"/>
    <cellStyle name="Input 2 3 4 2 4 2" xfId="21650"/>
    <cellStyle name="Input 2 3 4 2 4 2 2" xfId="21651"/>
    <cellStyle name="Input 2 3 4 2 4 2 2 2" xfId="21652"/>
    <cellStyle name="Input 2 3 4 2 4 2 3" xfId="21653"/>
    <cellStyle name="Input 2 3 4 2 4 2 3 2" xfId="21654"/>
    <cellStyle name="Input 2 3 4 2 4 2 4" xfId="21655"/>
    <cellStyle name="Input 2 3 4 2 4 2 5" xfId="21656"/>
    <cellStyle name="Input 2 3 4 2 4 2 6" xfId="21657"/>
    <cellStyle name="Input 2 3 4 2 4 3" xfId="21658"/>
    <cellStyle name="Input 2 3 4 2 4 3 2" xfId="21659"/>
    <cellStyle name="Input 2 3 4 2 4 4" xfId="21660"/>
    <cellStyle name="Input 2 3 4 2 4 4 2" xfId="21661"/>
    <cellStyle name="Input 2 3 4 2 4 5" xfId="21662"/>
    <cellStyle name="Input 2 3 4 2 4 6" xfId="21663"/>
    <cellStyle name="Input 2 3 4 2 4 7" xfId="21664"/>
    <cellStyle name="Input 2 3 4 2 5" xfId="21665"/>
    <cellStyle name="Input 2 3 4 2 5 2" xfId="21666"/>
    <cellStyle name="Input 2 3 4 2 5 2 2" xfId="21667"/>
    <cellStyle name="Input 2 3 4 2 5 3" xfId="21668"/>
    <cellStyle name="Input 2 3 4 2 5 3 2" xfId="21669"/>
    <cellStyle name="Input 2 3 4 2 5 4" xfId="21670"/>
    <cellStyle name="Input 2 3 4 2 5 5" xfId="21671"/>
    <cellStyle name="Input 2 3 4 2 5 6" xfId="21672"/>
    <cellStyle name="Input 2 3 4 2 6" xfId="21673"/>
    <cellStyle name="Input 2 3 4 2 6 2" xfId="21674"/>
    <cellStyle name="Input 2 3 4 2 7" xfId="21675"/>
    <cellStyle name="Input 2 3 4 2 7 2" xfId="21676"/>
    <cellStyle name="Input 2 3 4 2 8" xfId="21677"/>
    <cellStyle name="Input 2 3 4 2 9" xfId="21678"/>
    <cellStyle name="Input 2 3 4 3" xfId="21679"/>
    <cellStyle name="Input 2 3 4 3 2" xfId="21680"/>
    <cellStyle name="Input 2 3 4 3 2 2" xfId="21681"/>
    <cellStyle name="Input 2 3 4 3 2 2 2" xfId="21682"/>
    <cellStyle name="Input 2 3 4 3 2 2 2 2" xfId="21683"/>
    <cellStyle name="Input 2 3 4 3 2 2 3" xfId="21684"/>
    <cellStyle name="Input 2 3 4 3 2 2 3 2" xfId="21685"/>
    <cellStyle name="Input 2 3 4 3 2 2 4" xfId="21686"/>
    <cellStyle name="Input 2 3 4 3 2 2 5" xfId="21687"/>
    <cellStyle name="Input 2 3 4 3 2 2 6" xfId="21688"/>
    <cellStyle name="Input 2 3 4 3 2 3" xfId="21689"/>
    <cellStyle name="Input 2 3 4 3 2 3 2" xfId="21690"/>
    <cellStyle name="Input 2 3 4 3 2 4" xfId="21691"/>
    <cellStyle name="Input 2 3 4 3 2 4 2" xfId="21692"/>
    <cellStyle name="Input 2 3 4 3 2 5" xfId="21693"/>
    <cellStyle name="Input 2 3 4 3 2 6" xfId="21694"/>
    <cellStyle name="Input 2 3 4 3 2 7" xfId="21695"/>
    <cellStyle name="Input 2 3 4 3 3" xfId="21696"/>
    <cellStyle name="Input 2 3 4 3 3 2" xfId="21697"/>
    <cellStyle name="Input 2 3 4 3 3 2 2" xfId="21698"/>
    <cellStyle name="Input 2 3 4 3 3 3" xfId="21699"/>
    <cellStyle name="Input 2 3 4 3 3 3 2" xfId="21700"/>
    <cellStyle name="Input 2 3 4 3 3 4" xfId="21701"/>
    <cellStyle name="Input 2 3 4 3 3 5" xfId="21702"/>
    <cellStyle name="Input 2 3 4 3 3 6" xfId="21703"/>
    <cellStyle name="Input 2 3 4 3 4" xfId="21704"/>
    <cellStyle name="Input 2 3 4 3 4 2" xfId="21705"/>
    <cellStyle name="Input 2 3 4 3 5" xfId="21706"/>
    <cellStyle name="Input 2 3 4 3 5 2" xfId="21707"/>
    <cellStyle name="Input 2 3 4 3 6" xfId="21708"/>
    <cellStyle name="Input 2 3 4 3 7" xfId="21709"/>
    <cellStyle name="Input 2 3 4 3 8" xfId="21710"/>
    <cellStyle name="Input 2 3 4 4" xfId="21711"/>
    <cellStyle name="Input 2 3 4 4 2" xfId="21712"/>
    <cellStyle name="Input 2 3 4 4 2 2" xfId="21713"/>
    <cellStyle name="Input 2 3 4 4 2 2 2" xfId="21714"/>
    <cellStyle name="Input 2 3 4 4 2 2 2 2" xfId="21715"/>
    <cellStyle name="Input 2 3 4 4 2 2 3" xfId="21716"/>
    <cellStyle name="Input 2 3 4 4 2 2 3 2" xfId="21717"/>
    <cellStyle name="Input 2 3 4 4 2 2 4" xfId="21718"/>
    <cellStyle name="Input 2 3 4 4 2 2 5" xfId="21719"/>
    <cellStyle name="Input 2 3 4 4 2 2 6" xfId="21720"/>
    <cellStyle name="Input 2 3 4 4 2 3" xfId="21721"/>
    <cellStyle name="Input 2 3 4 4 2 3 2" xfId="21722"/>
    <cellStyle name="Input 2 3 4 4 2 4" xfId="21723"/>
    <cellStyle name="Input 2 3 4 4 2 4 2" xfId="21724"/>
    <cellStyle name="Input 2 3 4 4 2 5" xfId="21725"/>
    <cellStyle name="Input 2 3 4 4 2 6" xfId="21726"/>
    <cellStyle name="Input 2 3 4 4 2 7" xfId="21727"/>
    <cellStyle name="Input 2 3 4 4 3" xfId="21728"/>
    <cellStyle name="Input 2 3 4 4 3 2" xfId="21729"/>
    <cellStyle name="Input 2 3 4 4 3 2 2" xfId="21730"/>
    <cellStyle name="Input 2 3 4 4 3 3" xfId="21731"/>
    <cellStyle name="Input 2 3 4 4 3 3 2" xfId="21732"/>
    <cellStyle name="Input 2 3 4 4 3 4" xfId="21733"/>
    <cellStyle name="Input 2 3 4 4 3 5" xfId="21734"/>
    <cellStyle name="Input 2 3 4 4 3 6" xfId="21735"/>
    <cellStyle name="Input 2 3 4 4 4" xfId="21736"/>
    <cellStyle name="Input 2 3 4 4 4 2" xfId="21737"/>
    <cellStyle name="Input 2 3 4 4 5" xfId="21738"/>
    <cellStyle name="Input 2 3 4 4 5 2" xfId="21739"/>
    <cellStyle name="Input 2 3 4 4 6" xfId="21740"/>
    <cellStyle name="Input 2 3 4 4 7" xfId="21741"/>
    <cellStyle name="Input 2 3 4 4 8" xfId="21742"/>
    <cellStyle name="Input 2 3 4 5" xfId="21743"/>
    <cellStyle name="Input 2 3 4 5 2" xfId="21744"/>
    <cellStyle name="Input 2 3 4 5 2 2" xfId="21745"/>
    <cellStyle name="Input 2 3 4 5 2 2 2" xfId="21746"/>
    <cellStyle name="Input 2 3 4 5 2 3" xfId="21747"/>
    <cellStyle name="Input 2 3 4 5 2 3 2" xfId="21748"/>
    <cellStyle name="Input 2 3 4 5 2 4" xfId="21749"/>
    <cellStyle name="Input 2 3 4 5 2 5" xfId="21750"/>
    <cellStyle name="Input 2 3 4 5 2 6" xfId="21751"/>
    <cellStyle name="Input 2 3 4 5 3" xfId="21752"/>
    <cellStyle name="Input 2 3 4 5 3 2" xfId="21753"/>
    <cellStyle name="Input 2 3 4 5 4" xfId="21754"/>
    <cellStyle name="Input 2 3 4 5 4 2" xfId="21755"/>
    <cellStyle name="Input 2 3 4 5 5" xfId="21756"/>
    <cellStyle name="Input 2 3 4 5 6" xfId="21757"/>
    <cellStyle name="Input 2 3 4 5 7" xfId="21758"/>
    <cellStyle name="Input 2 3 4 6" xfId="21759"/>
    <cellStyle name="Input 2 3 4 6 2" xfId="21760"/>
    <cellStyle name="Input 2 3 4 6 2 2" xfId="21761"/>
    <cellStyle name="Input 2 3 4 6 3" xfId="21762"/>
    <cellStyle name="Input 2 3 4 6 3 2" xfId="21763"/>
    <cellStyle name="Input 2 3 4 6 4" xfId="21764"/>
    <cellStyle name="Input 2 3 4 6 5" xfId="21765"/>
    <cellStyle name="Input 2 3 4 6 6" xfId="21766"/>
    <cellStyle name="Input 2 3 4 7" xfId="21767"/>
    <cellStyle name="Input 2 3 4 7 2" xfId="21768"/>
    <cellStyle name="Input 2 3 4 8" xfId="21769"/>
    <cellStyle name="Input 2 3 4 8 2" xfId="21770"/>
    <cellStyle name="Input 2 3 4 9" xfId="21771"/>
    <cellStyle name="Input 2 3 5" xfId="21772"/>
    <cellStyle name="Input 2 3 5 10" xfId="21773"/>
    <cellStyle name="Input 2 3 5 2" xfId="21774"/>
    <cellStyle name="Input 2 3 5 2 2" xfId="21775"/>
    <cellStyle name="Input 2 3 5 2 2 2" xfId="21776"/>
    <cellStyle name="Input 2 3 5 2 2 2 2" xfId="21777"/>
    <cellStyle name="Input 2 3 5 2 2 2 2 2" xfId="21778"/>
    <cellStyle name="Input 2 3 5 2 2 2 3" xfId="21779"/>
    <cellStyle name="Input 2 3 5 2 2 2 3 2" xfId="21780"/>
    <cellStyle name="Input 2 3 5 2 2 2 4" xfId="21781"/>
    <cellStyle name="Input 2 3 5 2 2 2 5" xfId="21782"/>
    <cellStyle name="Input 2 3 5 2 2 2 6" xfId="21783"/>
    <cellStyle name="Input 2 3 5 2 2 3" xfId="21784"/>
    <cellStyle name="Input 2 3 5 2 2 3 2" xfId="21785"/>
    <cellStyle name="Input 2 3 5 2 2 4" xfId="21786"/>
    <cellStyle name="Input 2 3 5 2 2 4 2" xfId="21787"/>
    <cellStyle name="Input 2 3 5 2 2 5" xfId="21788"/>
    <cellStyle name="Input 2 3 5 2 2 6" xfId="21789"/>
    <cellStyle name="Input 2 3 5 2 2 7" xfId="21790"/>
    <cellStyle name="Input 2 3 5 2 3" xfId="21791"/>
    <cellStyle name="Input 2 3 5 2 3 2" xfId="21792"/>
    <cellStyle name="Input 2 3 5 2 3 2 2" xfId="21793"/>
    <cellStyle name="Input 2 3 5 2 3 3" xfId="21794"/>
    <cellStyle name="Input 2 3 5 2 3 3 2" xfId="21795"/>
    <cellStyle name="Input 2 3 5 2 3 4" xfId="21796"/>
    <cellStyle name="Input 2 3 5 2 3 5" xfId="21797"/>
    <cellStyle name="Input 2 3 5 2 3 6" xfId="21798"/>
    <cellStyle name="Input 2 3 5 2 4" xfId="21799"/>
    <cellStyle name="Input 2 3 5 2 4 2" xfId="21800"/>
    <cellStyle name="Input 2 3 5 2 5" xfId="21801"/>
    <cellStyle name="Input 2 3 5 2 5 2" xfId="21802"/>
    <cellStyle name="Input 2 3 5 2 6" xfId="21803"/>
    <cellStyle name="Input 2 3 5 2 7" xfId="21804"/>
    <cellStyle name="Input 2 3 5 2 8" xfId="21805"/>
    <cellStyle name="Input 2 3 5 3" xfId="21806"/>
    <cellStyle name="Input 2 3 5 3 2" xfId="21807"/>
    <cellStyle name="Input 2 3 5 3 2 2" xfId="21808"/>
    <cellStyle name="Input 2 3 5 3 2 2 2" xfId="21809"/>
    <cellStyle name="Input 2 3 5 3 2 2 2 2" xfId="21810"/>
    <cellStyle name="Input 2 3 5 3 2 2 3" xfId="21811"/>
    <cellStyle name="Input 2 3 5 3 2 2 3 2" xfId="21812"/>
    <cellStyle name="Input 2 3 5 3 2 2 4" xfId="21813"/>
    <cellStyle name="Input 2 3 5 3 2 2 5" xfId="21814"/>
    <cellStyle name="Input 2 3 5 3 2 2 6" xfId="21815"/>
    <cellStyle name="Input 2 3 5 3 2 3" xfId="21816"/>
    <cellStyle name="Input 2 3 5 3 2 3 2" xfId="21817"/>
    <cellStyle name="Input 2 3 5 3 2 4" xfId="21818"/>
    <cellStyle name="Input 2 3 5 3 2 4 2" xfId="21819"/>
    <cellStyle name="Input 2 3 5 3 2 5" xfId="21820"/>
    <cellStyle name="Input 2 3 5 3 2 6" xfId="21821"/>
    <cellStyle name="Input 2 3 5 3 2 7" xfId="21822"/>
    <cellStyle name="Input 2 3 5 3 3" xfId="21823"/>
    <cellStyle name="Input 2 3 5 3 3 2" xfId="21824"/>
    <cellStyle name="Input 2 3 5 3 3 2 2" xfId="21825"/>
    <cellStyle name="Input 2 3 5 3 3 3" xfId="21826"/>
    <cellStyle name="Input 2 3 5 3 3 3 2" xfId="21827"/>
    <cellStyle name="Input 2 3 5 3 3 4" xfId="21828"/>
    <cellStyle name="Input 2 3 5 3 3 5" xfId="21829"/>
    <cellStyle name="Input 2 3 5 3 3 6" xfId="21830"/>
    <cellStyle name="Input 2 3 5 3 4" xfId="21831"/>
    <cellStyle name="Input 2 3 5 3 4 2" xfId="21832"/>
    <cellStyle name="Input 2 3 5 3 5" xfId="21833"/>
    <cellStyle name="Input 2 3 5 3 5 2" xfId="21834"/>
    <cellStyle name="Input 2 3 5 3 6" xfId="21835"/>
    <cellStyle name="Input 2 3 5 3 7" xfId="21836"/>
    <cellStyle name="Input 2 3 5 3 8" xfId="21837"/>
    <cellStyle name="Input 2 3 5 4" xfId="21838"/>
    <cellStyle name="Input 2 3 5 4 2" xfId="21839"/>
    <cellStyle name="Input 2 3 5 4 2 2" xfId="21840"/>
    <cellStyle name="Input 2 3 5 4 2 2 2" xfId="21841"/>
    <cellStyle name="Input 2 3 5 4 2 3" xfId="21842"/>
    <cellStyle name="Input 2 3 5 4 2 3 2" xfId="21843"/>
    <cellStyle name="Input 2 3 5 4 2 4" xfId="21844"/>
    <cellStyle name="Input 2 3 5 4 2 5" xfId="21845"/>
    <cellStyle name="Input 2 3 5 4 2 6" xfId="21846"/>
    <cellStyle name="Input 2 3 5 4 3" xfId="21847"/>
    <cellStyle name="Input 2 3 5 4 3 2" xfId="21848"/>
    <cellStyle name="Input 2 3 5 4 4" xfId="21849"/>
    <cellStyle name="Input 2 3 5 4 4 2" xfId="21850"/>
    <cellStyle name="Input 2 3 5 4 5" xfId="21851"/>
    <cellStyle name="Input 2 3 5 4 6" xfId="21852"/>
    <cellStyle name="Input 2 3 5 4 7" xfId="21853"/>
    <cellStyle name="Input 2 3 5 5" xfId="21854"/>
    <cellStyle name="Input 2 3 5 5 2" xfId="21855"/>
    <cellStyle name="Input 2 3 5 5 2 2" xfId="21856"/>
    <cellStyle name="Input 2 3 5 5 3" xfId="21857"/>
    <cellStyle name="Input 2 3 5 5 3 2" xfId="21858"/>
    <cellStyle name="Input 2 3 5 5 4" xfId="21859"/>
    <cellStyle name="Input 2 3 5 5 5" xfId="21860"/>
    <cellStyle name="Input 2 3 5 5 6" xfId="21861"/>
    <cellStyle name="Input 2 3 5 6" xfId="21862"/>
    <cellStyle name="Input 2 3 5 6 2" xfId="21863"/>
    <cellStyle name="Input 2 3 5 7" xfId="21864"/>
    <cellStyle name="Input 2 3 5 7 2" xfId="21865"/>
    <cellStyle name="Input 2 3 5 8" xfId="21866"/>
    <cellStyle name="Input 2 3 5 9" xfId="21867"/>
    <cellStyle name="Input 2 3 6" xfId="21868"/>
    <cellStyle name="Input 2 3 6 2" xfId="21869"/>
    <cellStyle name="Input 2 3 6 2 2" xfId="21870"/>
    <cellStyle name="Input 2 3 6 2 2 2" xfId="21871"/>
    <cellStyle name="Input 2 3 6 2 2 2 2" xfId="21872"/>
    <cellStyle name="Input 2 3 6 2 2 3" xfId="21873"/>
    <cellStyle name="Input 2 3 6 2 2 3 2" xfId="21874"/>
    <cellStyle name="Input 2 3 6 2 2 4" xfId="21875"/>
    <cellStyle name="Input 2 3 6 2 2 5" xfId="21876"/>
    <cellStyle name="Input 2 3 6 2 2 6" xfId="21877"/>
    <cellStyle name="Input 2 3 6 2 3" xfId="21878"/>
    <cellStyle name="Input 2 3 6 2 3 2" xfId="21879"/>
    <cellStyle name="Input 2 3 6 2 4" xfId="21880"/>
    <cellStyle name="Input 2 3 6 2 4 2" xfId="21881"/>
    <cellStyle name="Input 2 3 6 2 5" xfId="21882"/>
    <cellStyle name="Input 2 3 6 2 6" xfId="21883"/>
    <cellStyle name="Input 2 3 6 2 7" xfId="21884"/>
    <cellStyle name="Input 2 3 6 3" xfId="21885"/>
    <cellStyle name="Input 2 3 6 3 2" xfId="21886"/>
    <cellStyle name="Input 2 3 6 3 2 2" xfId="21887"/>
    <cellStyle name="Input 2 3 6 3 3" xfId="21888"/>
    <cellStyle name="Input 2 3 6 3 3 2" xfId="21889"/>
    <cellStyle name="Input 2 3 6 3 4" xfId="21890"/>
    <cellStyle name="Input 2 3 6 3 5" xfId="21891"/>
    <cellStyle name="Input 2 3 6 3 6" xfId="21892"/>
    <cellStyle name="Input 2 3 6 4" xfId="21893"/>
    <cellStyle name="Input 2 3 6 4 2" xfId="21894"/>
    <cellStyle name="Input 2 3 6 5" xfId="21895"/>
    <cellStyle name="Input 2 3 6 5 2" xfId="21896"/>
    <cellStyle name="Input 2 3 6 6" xfId="21897"/>
    <cellStyle name="Input 2 3 6 7" xfId="21898"/>
    <cellStyle name="Input 2 3 6 8" xfId="21899"/>
    <cellStyle name="Input 2 3 7" xfId="21900"/>
    <cellStyle name="Input 2 3 7 2" xfId="21901"/>
    <cellStyle name="Input 2 3 7 2 2" xfId="21902"/>
    <cellStyle name="Input 2 3 7 2 2 2" xfId="21903"/>
    <cellStyle name="Input 2 3 7 2 3" xfId="21904"/>
    <cellStyle name="Input 2 3 7 2 3 2" xfId="21905"/>
    <cellStyle name="Input 2 3 7 2 4" xfId="21906"/>
    <cellStyle name="Input 2 3 7 2 5" xfId="21907"/>
    <cellStyle name="Input 2 3 7 2 6" xfId="21908"/>
    <cellStyle name="Input 2 3 7 3" xfId="21909"/>
    <cellStyle name="Input 2 3 7 3 2" xfId="21910"/>
    <cellStyle name="Input 2 3 7 4" xfId="21911"/>
    <cellStyle name="Input 2 3 7 4 2" xfId="21912"/>
    <cellStyle name="Input 2 3 7 5" xfId="21913"/>
    <cellStyle name="Input 2 3 7 6" xfId="21914"/>
    <cellStyle name="Input 2 3 7 7" xfId="21915"/>
    <cellStyle name="Input 2 3 8" xfId="21916"/>
    <cellStyle name="Input 2 3 8 2" xfId="21917"/>
    <cellStyle name="Input 2 3 9" xfId="21918"/>
    <cellStyle name="Input 2 3 9 2" xfId="21919"/>
    <cellStyle name="Input 2 4" xfId="21920"/>
    <cellStyle name="Input 2 4 10" xfId="21921"/>
    <cellStyle name="Input 2 4 11" xfId="21922"/>
    <cellStyle name="Input 2 4 12" xfId="21923"/>
    <cellStyle name="Input 2 4 2" xfId="21924"/>
    <cellStyle name="Input 2 4 2 10" xfId="21925"/>
    <cellStyle name="Input 2 4 2 11" xfId="21926"/>
    <cellStyle name="Input 2 4 2 2" xfId="21927"/>
    <cellStyle name="Input 2 4 2 2 10" xfId="21928"/>
    <cellStyle name="Input 2 4 2 2 2" xfId="21929"/>
    <cellStyle name="Input 2 4 2 2 2 2" xfId="21930"/>
    <cellStyle name="Input 2 4 2 2 2 2 2" xfId="21931"/>
    <cellStyle name="Input 2 4 2 2 2 2 2 2" xfId="21932"/>
    <cellStyle name="Input 2 4 2 2 2 2 2 2 2" xfId="21933"/>
    <cellStyle name="Input 2 4 2 2 2 2 2 3" xfId="21934"/>
    <cellStyle name="Input 2 4 2 2 2 2 2 3 2" xfId="21935"/>
    <cellStyle name="Input 2 4 2 2 2 2 2 4" xfId="21936"/>
    <cellStyle name="Input 2 4 2 2 2 2 2 5" xfId="21937"/>
    <cellStyle name="Input 2 4 2 2 2 2 2 6" xfId="21938"/>
    <cellStyle name="Input 2 4 2 2 2 2 3" xfId="21939"/>
    <cellStyle name="Input 2 4 2 2 2 2 3 2" xfId="21940"/>
    <cellStyle name="Input 2 4 2 2 2 2 4" xfId="21941"/>
    <cellStyle name="Input 2 4 2 2 2 2 4 2" xfId="21942"/>
    <cellStyle name="Input 2 4 2 2 2 2 5" xfId="21943"/>
    <cellStyle name="Input 2 4 2 2 2 2 6" xfId="21944"/>
    <cellStyle name="Input 2 4 2 2 2 2 7" xfId="21945"/>
    <cellStyle name="Input 2 4 2 2 2 3" xfId="21946"/>
    <cellStyle name="Input 2 4 2 2 2 3 2" xfId="21947"/>
    <cellStyle name="Input 2 4 2 2 2 3 2 2" xfId="21948"/>
    <cellStyle name="Input 2 4 2 2 2 3 3" xfId="21949"/>
    <cellStyle name="Input 2 4 2 2 2 3 3 2" xfId="21950"/>
    <cellStyle name="Input 2 4 2 2 2 3 4" xfId="21951"/>
    <cellStyle name="Input 2 4 2 2 2 3 5" xfId="21952"/>
    <cellStyle name="Input 2 4 2 2 2 3 6" xfId="21953"/>
    <cellStyle name="Input 2 4 2 2 2 4" xfId="21954"/>
    <cellStyle name="Input 2 4 2 2 2 4 2" xfId="21955"/>
    <cellStyle name="Input 2 4 2 2 2 5" xfId="21956"/>
    <cellStyle name="Input 2 4 2 2 2 5 2" xfId="21957"/>
    <cellStyle name="Input 2 4 2 2 2 6" xfId="21958"/>
    <cellStyle name="Input 2 4 2 2 2 7" xfId="21959"/>
    <cellStyle name="Input 2 4 2 2 2 8" xfId="21960"/>
    <cellStyle name="Input 2 4 2 2 3" xfId="21961"/>
    <cellStyle name="Input 2 4 2 2 3 2" xfId="21962"/>
    <cellStyle name="Input 2 4 2 2 3 2 2" xfId="21963"/>
    <cellStyle name="Input 2 4 2 2 3 2 2 2" xfId="21964"/>
    <cellStyle name="Input 2 4 2 2 3 2 2 2 2" xfId="21965"/>
    <cellStyle name="Input 2 4 2 2 3 2 2 3" xfId="21966"/>
    <cellStyle name="Input 2 4 2 2 3 2 2 3 2" xfId="21967"/>
    <cellStyle name="Input 2 4 2 2 3 2 2 4" xfId="21968"/>
    <cellStyle name="Input 2 4 2 2 3 2 2 5" xfId="21969"/>
    <cellStyle name="Input 2 4 2 2 3 2 2 6" xfId="21970"/>
    <cellStyle name="Input 2 4 2 2 3 2 3" xfId="21971"/>
    <cellStyle name="Input 2 4 2 2 3 2 3 2" xfId="21972"/>
    <cellStyle name="Input 2 4 2 2 3 2 4" xfId="21973"/>
    <cellStyle name="Input 2 4 2 2 3 2 4 2" xfId="21974"/>
    <cellStyle name="Input 2 4 2 2 3 2 5" xfId="21975"/>
    <cellStyle name="Input 2 4 2 2 3 2 6" xfId="21976"/>
    <cellStyle name="Input 2 4 2 2 3 2 7" xfId="21977"/>
    <cellStyle name="Input 2 4 2 2 3 3" xfId="21978"/>
    <cellStyle name="Input 2 4 2 2 3 3 2" xfId="21979"/>
    <cellStyle name="Input 2 4 2 2 3 3 2 2" xfId="21980"/>
    <cellStyle name="Input 2 4 2 2 3 3 3" xfId="21981"/>
    <cellStyle name="Input 2 4 2 2 3 3 3 2" xfId="21982"/>
    <cellStyle name="Input 2 4 2 2 3 3 4" xfId="21983"/>
    <cellStyle name="Input 2 4 2 2 3 3 5" xfId="21984"/>
    <cellStyle name="Input 2 4 2 2 3 3 6" xfId="21985"/>
    <cellStyle name="Input 2 4 2 2 3 4" xfId="21986"/>
    <cellStyle name="Input 2 4 2 2 3 4 2" xfId="21987"/>
    <cellStyle name="Input 2 4 2 2 3 5" xfId="21988"/>
    <cellStyle name="Input 2 4 2 2 3 5 2" xfId="21989"/>
    <cellStyle name="Input 2 4 2 2 3 6" xfId="21990"/>
    <cellStyle name="Input 2 4 2 2 3 7" xfId="21991"/>
    <cellStyle name="Input 2 4 2 2 3 8" xfId="21992"/>
    <cellStyle name="Input 2 4 2 2 4" xfId="21993"/>
    <cellStyle name="Input 2 4 2 2 4 2" xfId="21994"/>
    <cellStyle name="Input 2 4 2 2 4 2 2" xfId="21995"/>
    <cellStyle name="Input 2 4 2 2 4 2 2 2" xfId="21996"/>
    <cellStyle name="Input 2 4 2 2 4 2 3" xfId="21997"/>
    <cellStyle name="Input 2 4 2 2 4 2 3 2" xfId="21998"/>
    <cellStyle name="Input 2 4 2 2 4 2 4" xfId="21999"/>
    <cellStyle name="Input 2 4 2 2 4 2 5" xfId="22000"/>
    <cellStyle name="Input 2 4 2 2 4 2 6" xfId="22001"/>
    <cellStyle name="Input 2 4 2 2 4 3" xfId="22002"/>
    <cellStyle name="Input 2 4 2 2 4 3 2" xfId="22003"/>
    <cellStyle name="Input 2 4 2 2 4 4" xfId="22004"/>
    <cellStyle name="Input 2 4 2 2 4 4 2" xfId="22005"/>
    <cellStyle name="Input 2 4 2 2 4 5" xfId="22006"/>
    <cellStyle name="Input 2 4 2 2 4 6" xfId="22007"/>
    <cellStyle name="Input 2 4 2 2 4 7" xfId="22008"/>
    <cellStyle name="Input 2 4 2 2 5" xfId="22009"/>
    <cellStyle name="Input 2 4 2 2 5 2" xfId="22010"/>
    <cellStyle name="Input 2 4 2 2 5 2 2" xfId="22011"/>
    <cellStyle name="Input 2 4 2 2 5 3" xfId="22012"/>
    <cellStyle name="Input 2 4 2 2 5 3 2" xfId="22013"/>
    <cellStyle name="Input 2 4 2 2 5 4" xfId="22014"/>
    <cellStyle name="Input 2 4 2 2 5 5" xfId="22015"/>
    <cellStyle name="Input 2 4 2 2 5 6" xfId="22016"/>
    <cellStyle name="Input 2 4 2 2 6" xfId="22017"/>
    <cellStyle name="Input 2 4 2 2 6 2" xfId="22018"/>
    <cellStyle name="Input 2 4 2 2 7" xfId="22019"/>
    <cellStyle name="Input 2 4 2 2 7 2" xfId="22020"/>
    <cellStyle name="Input 2 4 2 2 8" xfId="22021"/>
    <cellStyle name="Input 2 4 2 2 9" xfId="22022"/>
    <cellStyle name="Input 2 4 2 3" xfId="22023"/>
    <cellStyle name="Input 2 4 2 3 2" xfId="22024"/>
    <cellStyle name="Input 2 4 2 3 2 2" xfId="22025"/>
    <cellStyle name="Input 2 4 2 3 2 2 2" xfId="22026"/>
    <cellStyle name="Input 2 4 2 3 2 2 2 2" xfId="22027"/>
    <cellStyle name="Input 2 4 2 3 2 2 3" xfId="22028"/>
    <cellStyle name="Input 2 4 2 3 2 2 3 2" xfId="22029"/>
    <cellStyle name="Input 2 4 2 3 2 2 4" xfId="22030"/>
    <cellStyle name="Input 2 4 2 3 2 2 5" xfId="22031"/>
    <cellStyle name="Input 2 4 2 3 2 2 6" xfId="22032"/>
    <cellStyle name="Input 2 4 2 3 2 3" xfId="22033"/>
    <cellStyle name="Input 2 4 2 3 2 3 2" xfId="22034"/>
    <cellStyle name="Input 2 4 2 3 2 4" xfId="22035"/>
    <cellStyle name="Input 2 4 2 3 2 4 2" xfId="22036"/>
    <cellStyle name="Input 2 4 2 3 2 5" xfId="22037"/>
    <cellStyle name="Input 2 4 2 3 2 6" xfId="22038"/>
    <cellStyle name="Input 2 4 2 3 2 7" xfId="22039"/>
    <cellStyle name="Input 2 4 2 3 3" xfId="22040"/>
    <cellStyle name="Input 2 4 2 3 3 2" xfId="22041"/>
    <cellStyle name="Input 2 4 2 3 3 2 2" xfId="22042"/>
    <cellStyle name="Input 2 4 2 3 3 3" xfId="22043"/>
    <cellStyle name="Input 2 4 2 3 3 3 2" xfId="22044"/>
    <cellStyle name="Input 2 4 2 3 3 4" xfId="22045"/>
    <cellStyle name="Input 2 4 2 3 3 5" xfId="22046"/>
    <cellStyle name="Input 2 4 2 3 3 6" xfId="22047"/>
    <cellStyle name="Input 2 4 2 3 4" xfId="22048"/>
    <cellStyle name="Input 2 4 2 3 4 2" xfId="22049"/>
    <cellStyle name="Input 2 4 2 3 5" xfId="22050"/>
    <cellStyle name="Input 2 4 2 3 5 2" xfId="22051"/>
    <cellStyle name="Input 2 4 2 3 6" xfId="22052"/>
    <cellStyle name="Input 2 4 2 3 7" xfId="22053"/>
    <cellStyle name="Input 2 4 2 3 8" xfId="22054"/>
    <cellStyle name="Input 2 4 2 4" xfId="22055"/>
    <cellStyle name="Input 2 4 2 4 2" xfId="22056"/>
    <cellStyle name="Input 2 4 2 4 2 2" xfId="22057"/>
    <cellStyle name="Input 2 4 2 4 2 2 2" xfId="22058"/>
    <cellStyle name="Input 2 4 2 4 2 2 2 2" xfId="22059"/>
    <cellStyle name="Input 2 4 2 4 2 2 3" xfId="22060"/>
    <cellStyle name="Input 2 4 2 4 2 2 3 2" xfId="22061"/>
    <cellStyle name="Input 2 4 2 4 2 2 4" xfId="22062"/>
    <cellStyle name="Input 2 4 2 4 2 2 5" xfId="22063"/>
    <cellStyle name="Input 2 4 2 4 2 2 6" xfId="22064"/>
    <cellStyle name="Input 2 4 2 4 2 3" xfId="22065"/>
    <cellStyle name="Input 2 4 2 4 2 3 2" xfId="22066"/>
    <cellStyle name="Input 2 4 2 4 2 4" xfId="22067"/>
    <cellStyle name="Input 2 4 2 4 2 4 2" xfId="22068"/>
    <cellStyle name="Input 2 4 2 4 2 5" xfId="22069"/>
    <cellStyle name="Input 2 4 2 4 2 6" xfId="22070"/>
    <cellStyle name="Input 2 4 2 4 2 7" xfId="22071"/>
    <cellStyle name="Input 2 4 2 4 3" xfId="22072"/>
    <cellStyle name="Input 2 4 2 4 3 2" xfId="22073"/>
    <cellStyle name="Input 2 4 2 4 3 2 2" xfId="22074"/>
    <cellStyle name="Input 2 4 2 4 3 3" xfId="22075"/>
    <cellStyle name="Input 2 4 2 4 3 3 2" xfId="22076"/>
    <cellStyle name="Input 2 4 2 4 3 4" xfId="22077"/>
    <cellStyle name="Input 2 4 2 4 3 5" xfId="22078"/>
    <cellStyle name="Input 2 4 2 4 3 6" xfId="22079"/>
    <cellStyle name="Input 2 4 2 4 4" xfId="22080"/>
    <cellStyle name="Input 2 4 2 4 4 2" xfId="22081"/>
    <cellStyle name="Input 2 4 2 4 5" xfId="22082"/>
    <cellStyle name="Input 2 4 2 4 5 2" xfId="22083"/>
    <cellStyle name="Input 2 4 2 4 6" xfId="22084"/>
    <cellStyle name="Input 2 4 2 4 7" xfId="22085"/>
    <cellStyle name="Input 2 4 2 4 8" xfId="22086"/>
    <cellStyle name="Input 2 4 2 5" xfId="22087"/>
    <cellStyle name="Input 2 4 2 5 2" xfId="22088"/>
    <cellStyle name="Input 2 4 2 5 2 2" xfId="22089"/>
    <cellStyle name="Input 2 4 2 5 2 2 2" xfId="22090"/>
    <cellStyle name="Input 2 4 2 5 2 3" xfId="22091"/>
    <cellStyle name="Input 2 4 2 5 2 3 2" xfId="22092"/>
    <cellStyle name="Input 2 4 2 5 2 4" xfId="22093"/>
    <cellStyle name="Input 2 4 2 5 2 5" xfId="22094"/>
    <cellStyle name="Input 2 4 2 5 2 6" xfId="22095"/>
    <cellStyle name="Input 2 4 2 5 3" xfId="22096"/>
    <cellStyle name="Input 2 4 2 5 3 2" xfId="22097"/>
    <cellStyle name="Input 2 4 2 5 4" xfId="22098"/>
    <cellStyle name="Input 2 4 2 5 4 2" xfId="22099"/>
    <cellStyle name="Input 2 4 2 5 5" xfId="22100"/>
    <cellStyle name="Input 2 4 2 5 6" xfId="22101"/>
    <cellStyle name="Input 2 4 2 5 7" xfId="22102"/>
    <cellStyle name="Input 2 4 2 6" xfId="22103"/>
    <cellStyle name="Input 2 4 2 6 2" xfId="22104"/>
    <cellStyle name="Input 2 4 2 6 2 2" xfId="22105"/>
    <cellStyle name="Input 2 4 2 6 3" xfId="22106"/>
    <cellStyle name="Input 2 4 2 6 3 2" xfId="22107"/>
    <cellStyle name="Input 2 4 2 6 4" xfId="22108"/>
    <cellStyle name="Input 2 4 2 6 5" xfId="22109"/>
    <cellStyle name="Input 2 4 2 6 6" xfId="22110"/>
    <cellStyle name="Input 2 4 2 7" xfId="22111"/>
    <cellStyle name="Input 2 4 2 7 2" xfId="22112"/>
    <cellStyle name="Input 2 4 2 8" xfId="22113"/>
    <cellStyle name="Input 2 4 2 8 2" xfId="22114"/>
    <cellStyle name="Input 2 4 2 9" xfId="22115"/>
    <cellStyle name="Input 2 4 3" xfId="22116"/>
    <cellStyle name="Input 2 4 3 10" xfId="22117"/>
    <cellStyle name="Input 2 4 3 2" xfId="22118"/>
    <cellStyle name="Input 2 4 3 2 10" xfId="22119"/>
    <cellStyle name="Input 2 4 3 2 2" xfId="22120"/>
    <cellStyle name="Input 2 4 3 2 2 2" xfId="22121"/>
    <cellStyle name="Input 2 4 3 2 2 2 2" xfId="22122"/>
    <cellStyle name="Input 2 4 3 2 2 2 2 2" xfId="22123"/>
    <cellStyle name="Input 2 4 3 2 2 2 2 2 2" xfId="22124"/>
    <cellStyle name="Input 2 4 3 2 2 2 2 3" xfId="22125"/>
    <cellStyle name="Input 2 4 3 2 2 2 2 3 2" xfId="22126"/>
    <cellStyle name="Input 2 4 3 2 2 2 2 4" xfId="22127"/>
    <cellStyle name="Input 2 4 3 2 2 2 2 5" xfId="22128"/>
    <cellStyle name="Input 2 4 3 2 2 2 2 6" xfId="22129"/>
    <cellStyle name="Input 2 4 3 2 2 2 3" xfId="22130"/>
    <cellStyle name="Input 2 4 3 2 2 2 3 2" xfId="22131"/>
    <cellStyle name="Input 2 4 3 2 2 2 4" xfId="22132"/>
    <cellStyle name="Input 2 4 3 2 2 2 4 2" xfId="22133"/>
    <cellStyle name="Input 2 4 3 2 2 2 5" xfId="22134"/>
    <cellStyle name="Input 2 4 3 2 2 2 6" xfId="22135"/>
    <cellStyle name="Input 2 4 3 2 2 2 7" xfId="22136"/>
    <cellStyle name="Input 2 4 3 2 2 3" xfId="22137"/>
    <cellStyle name="Input 2 4 3 2 2 3 2" xfId="22138"/>
    <cellStyle name="Input 2 4 3 2 2 3 2 2" xfId="22139"/>
    <cellStyle name="Input 2 4 3 2 2 3 3" xfId="22140"/>
    <cellStyle name="Input 2 4 3 2 2 3 3 2" xfId="22141"/>
    <cellStyle name="Input 2 4 3 2 2 3 4" xfId="22142"/>
    <cellStyle name="Input 2 4 3 2 2 3 5" xfId="22143"/>
    <cellStyle name="Input 2 4 3 2 2 3 6" xfId="22144"/>
    <cellStyle name="Input 2 4 3 2 2 4" xfId="22145"/>
    <cellStyle name="Input 2 4 3 2 2 4 2" xfId="22146"/>
    <cellStyle name="Input 2 4 3 2 2 5" xfId="22147"/>
    <cellStyle name="Input 2 4 3 2 2 5 2" xfId="22148"/>
    <cellStyle name="Input 2 4 3 2 2 6" xfId="22149"/>
    <cellStyle name="Input 2 4 3 2 2 7" xfId="22150"/>
    <cellStyle name="Input 2 4 3 2 2 8" xfId="22151"/>
    <cellStyle name="Input 2 4 3 2 3" xfId="22152"/>
    <cellStyle name="Input 2 4 3 2 3 2" xfId="22153"/>
    <cellStyle name="Input 2 4 3 2 3 2 2" xfId="22154"/>
    <cellStyle name="Input 2 4 3 2 3 2 2 2" xfId="22155"/>
    <cellStyle name="Input 2 4 3 2 3 2 2 2 2" xfId="22156"/>
    <cellStyle name="Input 2 4 3 2 3 2 2 3" xfId="22157"/>
    <cellStyle name="Input 2 4 3 2 3 2 2 3 2" xfId="22158"/>
    <cellStyle name="Input 2 4 3 2 3 2 2 4" xfId="22159"/>
    <cellStyle name="Input 2 4 3 2 3 2 2 5" xfId="22160"/>
    <cellStyle name="Input 2 4 3 2 3 2 2 6" xfId="22161"/>
    <cellStyle name="Input 2 4 3 2 3 2 3" xfId="22162"/>
    <cellStyle name="Input 2 4 3 2 3 2 3 2" xfId="22163"/>
    <cellStyle name="Input 2 4 3 2 3 2 4" xfId="22164"/>
    <cellStyle name="Input 2 4 3 2 3 2 4 2" xfId="22165"/>
    <cellStyle name="Input 2 4 3 2 3 2 5" xfId="22166"/>
    <cellStyle name="Input 2 4 3 2 3 2 6" xfId="22167"/>
    <cellStyle name="Input 2 4 3 2 3 2 7" xfId="22168"/>
    <cellStyle name="Input 2 4 3 2 3 3" xfId="22169"/>
    <cellStyle name="Input 2 4 3 2 3 3 2" xfId="22170"/>
    <cellStyle name="Input 2 4 3 2 3 3 2 2" xfId="22171"/>
    <cellStyle name="Input 2 4 3 2 3 3 3" xfId="22172"/>
    <cellStyle name="Input 2 4 3 2 3 3 3 2" xfId="22173"/>
    <cellStyle name="Input 2 4 3 2 3 3 4" xfId="22174"/>
    <cellStyle name="Input 2 4 3 2 3 3 5" xfId="22175"/>
    <cellStyle name="Input 2 4 3 2 3 3 6" xfId="22176"/>
    <cellStyle name="Input 2 4 3 2 3 4" xfId="22177"/>
    <cellStyle name="Input 2 4 3 2 3 4 2" xfId="22178"/>
    <cellStyle name="Input 2 4 3 2 3 5" xfId="22179"/>
    <cellStyle name="Input 2 4 3 2 3 5 2" xfId="22180"/>
    <cellStyle name="Input 2 4 3 2 3 6" xfId="22181"/>
    <cellStyle name="Input 2 4 3 2 3 7" xfId="22182"/>
    <cellStyle name="Input 2 4 3 2 3 8" xfId="22183"/>
    <cellStyle name="Input 2 4 3 2 4" xfId="22184"/>
    <cellStyle name="Input 2 4 3 2 4 2" xfId="22185"/>
    <cellStyle name="Input 2 4 3 2 4 2 2" xfId="22186"/>
    <cellStyle name="Input 2 4 3 2 4 2 2 2" xfId="22187"/>
    <cellStyle name="Input 2 4 3 2 4 2 3" xfId="22188"/>
    <cellStyle name="Input 2 4 3 2 4 2 3 2" xfId="22189"/>
    <cellStyle name="Input 2 4 3 2 4 2 4" xfId="22190"/>
    <cellStyle name="Input 2 4 3 2 4 2 5" xfId="22191"/>
    <cellStyle name="Input 2 4 3 2 4 2 6" xfId="22192"/>
    <cellStyle name="Input 2 4 3 2 4 3" xfId="22193"/>
    <cellStyle name="Input 2 4 3 2 4 3 2" xfId="22194"/>
    <cellStyle name="Input 2 4 3 2 4 4" xfId="22195"/>
    <cellStyle name="Input 2 4 3 2 4 4 2" xfId="22196"/>
    <cellStyle name="Input 2 4 3 2 4 5" xfId="22197"/>
    <cellStyle name="Input 2 4 3 2 4 6" xfId="22198"/>
    <cellStyle name="Input 2 4 3 2 4 7" xfId="22199"/>
    <cellStyle name="Input 2 4 3 2 5" xfId="22200"/>
    <cellStyle name="Input 2 4 3 2 5 2" xfId="22201"/>
    <cellStyle name="Input 2 4 3 2 5 2 2" xfId="22202"/>
    <cellStyle name="Input 2 4 3 2 5 3" xfId="22203"/>
    <cellStyle name="Input 2 4 3 2 5 3 2" xfId="22204"/>
    <cellStyle name="Input 2 4 3 2 5 4" xfId="22205"/>
    <cellStyle name="Input 2 4 3 2 5 5" xfId="22206"/>
    <cellStyle name="Input 2 4 3 2 5 6" xfId="22207"/>
    <cellStyle name="Input 2 4 3 2 6" xfId="22208"/>
    <cellStyle name="Input 2 4 3 2 6 2" xfId="22209"/>
    <cellStyle name="Input 2 4 3 2 7" xfId="22210"/>
    <cellStyle name="Input 2 4 3 2 7 2" xfId="22211"/>
    <cellStyle name="Input 2 4 3 2 8" xfId="22212"/>
    <cellStyle name="Input 2 4 3 2 9" xfId="22213"/>
    <cellStyle name="Input 2 4 3 3" xfId="22214"/>
    <cellStyle name="Input 2 4 3 3 2" xfId="22215"/>
    <cellStyle name="Input 2 4 3 3 2 2" xfId="22216"/>
    <cellStyle name="Input 2 4 3 3 2 2 2" xfId="22217"/>
    <cellStyle name="Input 2 4 3 3 2 2 2 2" xfId="22218"/>
    <cellStyle name="Input 2 4 3 3 2 2 3" xfId="22219"/>
    <cellStyle name="Input 2 4 3 3 2 2 3 2" xfId="22220"/>
    <cellStyle name="Input 2 4 3 3 2 2 4" xfId="22221"/>
    <cellStyle name="Input 2 4 3 3 2 2 5" xfId="22222"/>
    <cellStyle name="Input 2 4 3 3 2 2 6" xfId="22223"/>
    <cellStyle name="Input 2 4 3 3 2 3" xfId="22224"/>
    <cellStyle name="Input 2 4 3 3 2 3 2" xfId="22225"/>
    <cellStyle name="Input 2 4 3 3 2 4" xfId="22226"/>
    <cellStyle name="Input 2 4 3 3 2 4 2" xfId="22227"/>
    <cellStyle name="Input 2 4 3 3 2 5" xfId="22228"/>
    <cellStyle name="Input 2 4 3 3 2 6" xfId="22229"/>
    <cellStyle name="Input 2 4 3 3 2 7" xfId="22230"/>
    <cellStyle name="Input 2 4 3 3 3" xfId="22231"/>
    <cellStyle name="Input 2 4 3 3 3 2" xfId="22232"/>
    <cellStyle name="Input 2 4 3 3 3 2 2" xfId="22233"/>
    <cellStyle name="Input 2 4 3 3 3 3" xfId="22234"/>
    <cellStyle name="Input 2 4 3 3 3 3 2" xfId="22235"/>
    <cellStyle name="Input 2 4 3 3 3 4" xfId="22236"/>
    <cellStyle name="Input 2 4 3 3 3 5" xfId="22237"/>
    <cellStyle name="Input 2 4 3 3 3 6" xfId="22238"/>
    <cellStyle name="Input 2 4 3 3 4" xfId="22239"/>
    <cellStyle name="Input 2 4 3 3 4 2" xfId="22240"/>
    <cellStyle name="Input 2 4 3 3 5" xfId="22241"/>
    <cellStyle name="Input 2 4 3 3 5 2" xfId="22242"/>
    <cellStyle name="Input 2 4 3 3 6" xfId="22243"/>
    <cellStyle name="Input 2 4 3 3 7" xfId="22244"/>
    <cellStyle name="Input 2 4 3 3 8" xfId="22245"/>
    <cellStyle name="Input 2 4 3 4" xfId="22246"/>
    <cellStyle name="Input 2 4 3 4 2" xfId="22247"/>
    <cellStyle name="Input 2 4 3 4 2 2" xfId="22248"/>
    <cellStyle name="Input 2 4 3 4 2 2 2" xfId="22249"/>
    <cellStyle name="Input 2 4 3 4 2 3" xfId="22250"/>
    <cellStyle name="Input 2 4 3 4 2 3 2" xfId="22251"/>
    <cellStyle name="Input 2 4 3 4 2 4" xfId="22252"/>
    <cellStyle name="Input 2 4 3 4 2 5" xfId="22253"/>
    <cellStyle name="Input 2 4 3 4 2 6" xfId="22254"/>
    <cellStyle name="Input 2 4 3 4 3" xfId="22255"/>
    <cellStyle name="Input 2 4 3 4 3 2" xfId="22256"/>
    <cellStyle name="Input 2 4 3 4 4" xfId="22257"/>
    <cellStyle name="Input 2 4 3 4 4 2" xfId="22258"/>
    <cellStyle name="Input 2 4 3 4 5" xfId="22259"/>
    <cellStyle name="Input 2 4 3 4 6" xfId="22260"/>
    <cellStyle name="Input 2 4 3 4 7" xfId="22261"/>
    <cellStyle name="Input 2 4 3 5" xfId="22262"/>
    <cellStyle name="Input 2 4 3 5 2" xfId="22263"/>
    <cellStyle name="Input 2 4 3 5 2 2" xfId="22264"/>
    <cellStyle name="Input 2 4 3 5 3" xfId="22265"/>
    <cellStyle name="Input 2 4 3 5 3 2" xfId="22266"/>
    <cellStyle name="Input 2 4 3 5 4" xfId="22267"/>
    <cellStyle name="Input 2 4 3 5 5" xfId="22268"/>
    <cellStyle name="Input 2 4 3 5 6" xfId="22269"/>
    <cellStyle name="Input 2 4 3 6" xfId="22270"/>
    <cellStyle name="Input 2 4 3 6 2" xfId="22271"/>
    <cellStyle name="Input 2 4 3 7" xfId="22272"/>
    <cellStyle name="Input 2 4 3 7 2" xfId="22273"/>
    <cellStyle name="Input 2 4 3 8" xfId="22274"/>
    <cellStyle name="Input 2 4 3 9" xfId="22275"/>
    <cellStyle name="Input 2 4 4" xfId="22276"/>
    <cellStyle name="Input 2 4 4 10" xfId="22277"/>
    <cellStyle name="Input 2 4 4 2" xfId="22278"/>
    <cellStyle name="Input 2 4 4 2 2" xfId="22279"/>
    <cellStyle name="Input 2 4 4 2 2 2" xfId="22280"/>
    <cellStyle name="Input 2 4 4 2 2 2 2" xfId="22281"/>
    <cellStyle name="Input 2 4 4 2 2 2 2 2" xfId="22282"/>
    <cellStyle name="Input 2 4 4 2 2 2 3" xfId="22283"/>
    <cellStyle name="Input 2 4 4 2 2 2 3 2" xfId="22284"/>
    <cellStyle name="Input 2 4 4 2 2 2 4" xfId="22285"/>
    <cellStyle name="Input 2 4 4 2 2 2 5" xfId="22286"/>
    <cellStyle name="Input 2 4 4 2 2 2 6" xfId="22287"/>
    <cellStyle name="Input 2 4 4 2 2 3" xfId="22288"/>
    <cellStyle name="Input 2 4 4 2 2 3 2" xfId="22289"/>
    <cellStyle name="Input 2 4 4 2 2 4" xfId="22290"/>
    <cellStyle name="Input 2 4 4 2 2 4 2" xfId="22291"/>
    <cellStyle name="Input 2 4 4 2 2 5" xfId="22292"/>
    <cellStyle name="Input 2 4 4 2 2 6" xfId="22293"/>
    <cellStyle name="Input 2 4 4 2 2 7" xfId="22294"/>
    <cellStyle name="Input 2 4 4 2 3" xfId="22295"/>
    <cellStyle name="Input 2 4 4 2 3 2" xfId="22296"/>
    <cellStyle name="Input 2 4 4 2 3 2 2" xfId="22297"/>
    <cellStyle name="Input 2 4 4 2 3 3" xfId="22298"/>
    <cellStyle name="Input 2 4 4 2 3 3 2" xfId="22299"/>
    <cellStyle name="Input 2 4 4 2 3 4" xfId="22300"/>
    <cellStyle name="Input 2 4 4 2 3 5" xfId="22301"/>
    <cellStyle name="Input 2 4 4 2 3 6" xfId="22302"/>
    <cellStyle name="Input 2 4 4 2 4" xfId="22303"/>
    <cellStyle name="Input 2 4 4 2 4 2" xfId="22304"/>
    <cellStyle name="Input 2 4 4 2 5" xfId="22305"/>
    <cellStyle name="Input 2 4 4 2 5 2" xfId="22306"/>
    <cellStyle name="Input 2 4 4 2 6" xfId="22307"/>
    <cellStyle name="Input 2 4 4 2 7" xfId="22308"/>
    <cellStyle name="Input 2 4 4 2 8" xfId="22309"/>
    <cellStyle name="Input 2 4 4 3" xfId="22310"/>
    <cellStyle name="Input 2 4 4 3 2" xfId="22311"/>
    <cellStyle name="Input 2 4 4 3 2 2" xfId="22312"/>
    <cellStyle name="Input 2 4 4 3 2 2 2" xfId="22313"/>
    <cellStyle name="Input 2 4 4 3 2 2 2 2" xfId="22314"/>
    <cellStyle name="Input 2 4 4 3 2 2 3" xfId="22315"/>
    <cellStyle name="Input 2 4 4 3 2 2 3 2" xfId="22316"/>
    <cellStyle name="Input 2 4 4 3 2 2 4" xfId="22317"/>
    <cellStyle name="Input 2 4 4 3 2 2 5" xfId="22318"/>
    <cellStyle name="Input 2 4 4 3 2 2 6" xfId="22319"/>
    <cellStyle name="Input 2 4 4 3 2 3" xfId="22320"/>
    <cellStyle name="Input 2 4 4 3 2 3 2" xfId="22321"/>
    <cellStyle name="Input 2 4 4 3 2 4" xfId="22322"/>
    <cellStyle name="Input 2 4 4 3 2 4 2" xfId="22323"/>
    <cellStyle name="Input 2 4 4 3 2 5" xfId="22324"/>
    <cellStyle name="Input 2 4 4 3 2 6" xfId="22325"/>
    <cellStyle name="Input 2 4 4 3 2 7" xfId="22326"/>
    <cellStyle name="Input 2 4 4 3 3" xfId="22327"/>
    <cellStyle name="Input 2 4 4 3 3 2" xfId="22328"/>
    <cellStyle name="Input 2 4 4 3 3 2 2" xfId="22329"/>
    <cellStyle name="Input 2 4 4 3 3 3" xfId="22330"/>
    <cellStyle name="Input 2 4 4 3 3 3 2" xfId="22331"/>
    <cellStyle name="Input 2 4 4 3 3 4" xfId="22332"/>
    <cellStyle name="Input 2 4 4 3 3 5" xfId="22333"/>
    <cellStyle name="Input 2 4 4 3 3 6" xfId="22334"/>
    <cellStyle name="Input 2 4 4 3 4" xfId="22335"/>
    <cellStyle name="Input 2 4 4 3 4 2" xfId="22336"/>
    <cellStyle name="Input 2 4 4 3 5" xfId="22337"/>
    <cellStyle name="Input 2 4 4 3 5 2" xfId="22338"/>
    <cellStyle name="Input 2 4 4 3 6" xfId="22339"/>
    <cellStyle name="Input 2 4 4 3 7" xfId="22340"/>
    <cellStyle name="Input 2 4 4 3 8" xfId="22341"/>
    <cellStyle name="Input 2 4 4 4" xfId="22342"/>
    <cellStyle name="Input 2 4 4 4 2" xfId="22343"/>
    <cellStyle name="Input 2 4 4 4 2 2" xfId="22344"/>
    <cellStyle name="Input 2 4 4 4 2 2 2" xfId="22345"/>
    <cellStyle name="Input 2 4 4 4 2 3" xfId="22346"/>
    <cellStyle name="Input 2 4 4 4 2 3 2" xfId="22347"/>
    <cellStyle name="Input 2 4 4 4 2 4" xfId="22348"/>
    <cellStyle name="Input 2 4 4 4 2 5" xfId="22349"/>
    <cellStyle name="Input 2 4 4 4 2 6" xfId="22350"/>
    <cellStyle name="Input 2 4 4 4 3" xfId="22351"/>
    <cellStyle name="Input 2 4 4 4 3 2" xfId="22352"/>
    <cellStyle name="Input 2 4 4 4 4" xfId="22353"/>
    <cellStyle name="Input 2 4 4 4 4 2" xfId="22354"/>
    <cellStyle name="Input 2 4 4 4 5" xfId="22355"/>
    <cellStyle name="Input 2 4 4 4 6" xfId="22356"/>
    <cellStyle name="Input 2 4 4 4 7" xfId="22357"/>
    <cellStyle name="Input 2 4 4 5" xfId="22358"/>
    <cellStyle name="Input 2 4 4 5 2" xfId="22359"/>
    <cellStyle name="Input 2 4 4 5 2 2" xfId="22360"/>
    <cellStyle name="Input 2 4 4 5 3" xfId="22361"/>
    <cellStyle name="Input 2 4 4 5 3 2" xfId="22362"/>
    <cellStyle name="Input 2 4 4 5 4" xfId="22363"/>
    <cellStyle name="Input 2 4 4 5 5" xfId="22364"/>
    <cellStyle name="Input 2 4 4 5 6" xfId="22365"/>
    <cellStyle name="Input 2 4 4 6" xfId="22366"/>
    <cellStyle name="Input 2 4 4 6 2" xfId="22367"/>
    <cellStyle name="Input 2 4 4 7" xfId="22368"/>
    <cellStyle name="Input 2 4 4 7 2" xfId="22369"/>
    <cellStyle name="Input 2 4 4 8" xfId="22370"/>
    <cellStyle name="Input 2 4 4 9" xfId="22371"/>
    <cellStyle name="Input 2 4 5" xfId="22372"/>
    <cellStyle name="Input 2 4 5 2" xfId="22373"/>
    <cellStyle name="Input 2 4 5 2 2" xfId="22374"/>
    <cellStyle name="Input 2 4 5 2 2 2" xfId="22375"/>
    <cellStyle name="Input 2 4 5 2 2 2 2" xfId="22376"/>
    <cellStyle name="Input 2 4 5 2 2 3" xfId="22377"/>
    <cellStyle name="Input 2 4 5 2 2 3 2" xfId="22378"/>
    <cellStyle name="Input 2 4 5 2 2 4" xfId="22379"/>
    <cellStyle name="Input 2 4 5 2 2 5" xfId="22380"/>
    <cellStyle name="Input 2 4 5 2 2 6" xfId="22381"/>
    <cellStyle name="Input 2 4 5 2 3" xfId="22382"/>
    <cellStyle name="Input 2 4 5 2 3 2" xfId="22383"/>
    <cellStyle name="Input 2 4 5 2 4" xfId="22384"/>
    <cellStyle name="Input 2 4 5 2 4 2" xfId="22385"/>
    <cellStyle name="Input 2 4 5 2 5" xfId="22386"/>
    <cellStyle name="Input 2 4 5 2 6" xfId="22387"/>
    <cellStyle name="Input 2 4 5 2 7" xfId="22388"/>
    <cellStyle name="Input 2 4 5 3" xfId="22389"/>
    <cellStyle name="Input 2 4 5 3 2" xfId="22390"/>
    <cellStyle name="Input 2 4 5 3 2 2" xfId="22391"/>
    <cellStyle name="Input 2 4 5 3 3" xfId="22392"/>
    <cellStyle name="Input 2 4 5 3 3 2" xfId="22393"/>
    <cellStyle name="Input 2 4 5 3 4" xfId="22394"/>
    <cellStyle name="Input 2 4 5 3 5" xfId="22395"/>
    <cellStyle name="Input 2 4 5 3 6" xfId="22396"/>
    <cellStyle name="Input 2 4 5 4" xfId="22397"/>
    <cellStyle name="Input 2 4 5 4 2" xfId="22398"/>
    <cellStyle name="Input 2 4 5 5" xfId="22399"/>
    <cellStyle name="Input 2 4 5 5 2" xfId="22400"/>
    <cellStyle name="Input 2 4 5 6" xfId="22401"/>
    <cellStyle name="Input 2 4 5 7" xfId="22402"/>
    <cellStyle name="Input 2 4 5 8" xfId="22403"/>
    <cellStyle name="Input 2 4 6" xfId="22404"/>
    <cellStyle name="Input 2 4 6 2" xfId="22405"/>
    <cellStyle name="Input 2 4 6 2 2" xfId="22406"/>
    <cellStyle name="Input 2 4 6 2 2 2" xfId="22407"/>
    <cellStyle name="Input 2 4 6 2 3" xfId="22408"/>
    <cellStyle name="Input 2 4 6 2 3 2" xfId="22409"/>
    <cellStyle name="Input 2 4 6 2 4" xfId="22410"/>
    <cellStyle name="Input 2 4 6 2 5" xfId="22411"/>
    <cellStyle name="Input 2 4 6 2 6" xfId="22412"/>
    <cellStyle name="Input 2 4 6 3" xfId="22413"/>
    <cellStyle name="Input 2 4 6 3 2" xfId="22414"/>
    <cellStyle name="Input 2 4 6 4" xfId="22415"/>
    <cellStyle name="Input 2 4 6 4 2" xfId="22416"/>
    <cellStyle name="Input 2 4 6 5" xfId="22417"/>
    <cellStyle name="Input 2 4 6 6" xfId="22418"/>
    <cellStyle name="Input 2 4 6 7" xfId="22419"/>
    <cellStyle name="Input 2 4 7" xfId="22420"/>
    <cellStyle name="Input 2 4 7 2" xfId="22421"/>
    <cellStyle name="Input 2 4 7 2 2" xfId="22422"/>
    <cellStyle name="Input 2 4 7 3" xfId="22423"/>
    <cellStyle name="Input 2 4 7 3 2" xfId="22424"/>
    <cellStyle name="Input 2 4 7 4" xfId="22425"/>
    <cellStyle name="Input 2 4 7 5" xfId="22426"/>
    <cellStyle name="Input 2 4 7 6" xfId="22427"/>
    <cellStyle name="Input 2 4 8" xfId="22428"/>
    <cellStyle name="Input 2 4 8 2" xfId="22429"/>
    <cellStyle name="Input 2 4 9" xfId="22430"/>
    <cellStyle name="Input 2 4 9 2" xfId="22431"/>
    <cellStyle name="Input 2 5" xfId="22432"/>
    <cellStyle name="Input 2 5 10" xfId="22433"/>
    <cellStyle name="Input 2 5 11" xfId="22434"/>
    <cellStyle name="Input 2 5 2" xfId="22435"/>
    <cellStyle name="Input 2 5 2 10" xfId="22436"/>
    <cellStyle name="Input 2 5 2 2" xfId="22437"/>
    <cellStyle name="Input 2 5 2 2 10" xfId="22438"/>
    <cellStyle name="Input 2 5 2 2 2" xfId="22439"/>
    <cellStyle name="Input 2 5 2 2 2 2" xfId="22440"/>
    <cellStyle name="Input 2 5 2 2 2 2 2" xfId="22441"/>
    <cellStyle name="Input 2 5 2 2 2 2 2 2" xfId="22442"/>
    <cellStyle name="Input 2 5 2 2 2 2 2 2 2" xfId="22443"/>
    <cellStyle name="Input 2 5 2 2 2 2 2 3" xfId="22444"/>
    <cellStyle name="Input 2 5 2 2 2 2 2 3 2" xfId="22445"/>
    <cellStyle name="Input 2 5 2 2 2 2 2 4" xfId="22446"/>
    <cellStyle name="Input 2 5 2 2 2 2 2 5" xfId="22447"/>
    <cellStyle name="Input 2 5 2 2 2 2 2 6" xfId="22448"/>
    <cellStyle name="Input 2 5 2 2 2 2 3" xfId="22449"/>
    <cellStyle name="Input 2 5 2 2 2 2 3 2" xfId="22450"/>
    <cellStyle name="Input 2 5 2 2 2 2 4" xfId="22451"/>
    <cellStyle name="Input 2 5 2 2 2 2 4 2" xfId="22452"/>
    <cellStyle name="Input 2 5 2 2 2 2 5" xfId="22453"/>
    <cellStyle name="Input 2 5 2 2 2 2 6" xfId="22454"/>
    <cellStyle name="Input 2 5 2 2 2 2 7" xfId="22455"/>
    <cellStyle name="Input 2 5 2 2 2 3" xfId="22456"/>
    <cellStyle name="Input 2 5 2 2 2 3 2" xfId="22457"/>
    <cellStyle name="Input 2 5 2 2 2 3 2 2" xfId="22458"/>
    <cellStyle name="Input 2 5 2 2 2 3 3" xfId="22459"/>
    <cellStyle name="Input 2 5 2 2 2 3 3 2" xfId="22460"/>
    <cellStyle name="Input 2 5 2 2 2 3 4" xfId="22461"/>
    <cellStyle name="Input 2 5 2 2 2 3 5" xfId="22462"/>
    <cellStyle name="Input 2 5 2 2 2 3 6" xfId="22463"/>
    <cellStyle name="Input 2 5 2 2 2 4" xfId="22464"/>
    <cellStyle name="Input 2 5 2 2 2 4 2" xfId="22465"/>
    <cellStyle name="Input 2 5 2 2 2 5" xfId="22466"/>
    <cellStyle name="Input 2 5 2 2 2 5 2" xfId="22467"/>
    <cellStyle name="Input 2 5 2 2 2 6" xfId="22468"/>
    <cellStyle name="Input 2 5 2 2 2 7" xfId="22469"/>
    <cellStyle name="Input 2 5 2 2 2 8" xfId="22470"/>
    <cellStyle name="Input 2 5 2 2 3" xfId="22471"/>
    <cellStyle name="Input 2 5 2 2 3 2" xfId="22472"/>
    <cellStyle name="Input 2 5 2 2 3 2 2" xfId="22473"/>
    <cellStyle name="Input 2 5 2 2 3 2 2 2" xfId="22474"/>
    <cellStyle name="Input 2 5 2 2 3 2 2 2 2" xfId="22475"/>
    <cellStyle name="Input 2 5 2 2 3 2 2 3" xfId="22476"/>
    <cellStyle name="Input 2 5 2 2 3 2 2 3 2" xfId="22477"/>
    <cellStyle name="Input 2 5 2 2 3 2 2 4" xfId="22478"/>
    <cellStyle name="Input 2 5 2 2 3 2 2 5" xfId="22479"/>
    <cellStyle name="Input 2 5 2 2 3 2 2 6" xfId="22480"/>
    <cellStyle name="Input 2 5 2 2 3 2 3" xfId="22481"/>
    <cellStyle name="Input 2 5 2 2 3 2 3 2" xfId="22482"/>
    <cellStyle name="Input 2 5 2 2 3 2 4" xfId="22483"/>
    <cellStyle name="Input 2 5 2 2 3 2 4 2" xfId="22484"/>
    <cellStyle name="Input 2 5 2 2 3 2 5" xfId="22485"/>
    <cellStyle name="Input 2 5 2 2 3 2 6" xfId="22486"/>
    <cellStyle name="Input 2 5 2 2 3 2 7" xfId="22487"/>
    <cellStyle name="Input 2 5 2 2 3 3" xfId="22488"/>
    <cellStyle name="Input 2 5 2 2 3 3 2" xfId="22489"/>
    <cellStyle name="Input 2 5 2 2 3 3 2 2" xfId="22490"/>
    <cellStyle name="Input 2 5 2 2 3 3 3" xfId="22491"/>
    <cellStyle name="Input 2 5 2 2 3 3 3 2" xfId="22492"/>
    <cellStyle name="Input 2 5 2 2 3 3 4" xfId="22493"/>
    <cellStyle name="Input 2 5 2 2 3 3 5" xfId="22494"/>
    <cellStyle name="Input 2 5 2 2 3 3 6" xfId="22495"/>
    <cellStyle name="Input 2 5 2 2 3 4" xfId="22496"/>
    <cellStyle name="Input 2 5 2 2 3 4 2" xfId="22497"/>
    <cellStyle name="Input 2 5 2 2 3 5" xfId="22498"/>
    <cellStyle name="Input 2 5 2 2 3 5 2" xfId="22499"/>
    <cellStyle name="Input 2 5 2 2 3 6" xfId="22500"/>
    <cellStyle name="Input 2 5 2 2 3 7" xfId="22501"/>
    <cellStyle name="Input 2 5 2 2 3 8" xfId="22502"/>
    <cellStyle name="Input 2 5 2 2 4" xfId="22503"/>
    <cellStyle name="Input 2 5 2 2 4 2" xfId="22504"/>
    <cellStyle name="Input 2 5 2 2 4 2 2" xfId="22505"/>
    <cellStyle name="Input 2 5 2 2 4 2 2 2" xfId="22506"/>
    <cellStyle name="Input 2 5 2 2 4 2 3" xfId="22507"/>
    <cellStyle name="Input 2 5 2 2 4 2 3 2" xfId="22508"/>
    <cellStyle name="Input 2 5 2 2 4 2 4" xfId="22509"/>
    <cellStyle name="Input 2 5 2 2 4 2 5" xfId="22510"/>
    <cellStyle name="Input 2 5 2 2 4 2 6" xfId="22511"/>
    <cellStyle name="Input 2 5 2 2 4 3" xfId="22512"/>
    <cellStyle name="Input 2 5 2 2 4 3 2" xfId="22513"/>
    <cellStyle name="Input 2 5 2 2 4 4" xfId="22514"/>
    <cellStyle name="Input 2 5 2 2 4 4 2" xfId="22515"/>
    <cellStyle name="Input 2 5 2 2 4 5" xfId="22516"/>
    <cellStyle name="Input 2 5 2 2 4 6" xfId="22517"/>
    <cellStyle name="Input 2 5 2 2 4 7" xfId="22518"/>
    <cellStyle name="Input 2 5 2 2 5" xfId="22519"/>
    <cellStyle name="Input 2 5 2 2 5 2" xfId="22520"/>
    <cellStyle name="Input 2 5 2 2 5 2 2" xfId="22521"/>
    <cellStyle name="Input 2 5 2 2 5 3" xfId="22522"/>
    <cellStyle name="Input 2 5 2 2 5 3 2" xfId="22523"/>
    <cellStyle name="Input 2 5 2 2 5 4" xfId="22524"/>
    <cellStyle name="Input 2 5 2 2 5 5" xfId="22525"/>
    <cellStyle name="Input 2 5 2 2 5 6" xfId="22526"/>
    <cellStyle name="Input 2 5 2 2 6" xfId="22527"/>
    <cellStyle name="Input 2 5 2 2 6 2" xfId="22528"/>
    <cellStyle name="Input 2 5 2 2 7" xfId="22529"/>
    <cellStyle name="Input 2 5 2 2 7 2" xfId="22530"/>
    <cellStyle name="Input 2 5 2 2 8" xfId="22531"/>
    <cellStyle name="Input 2 5 2 2 9" xfId="22532"/>
    <cellStyle name="Input 2 5 2 3" xfId="22533"/>
    <cellStyle name="Input 2 5 2 3 2" xfId="22534"/>
    <cellStyle name="Input 2 5 2 3 2 2" xfId="22535"/>
    <cellStyle name="Input 2 5 2 3 2 2 2" xfId="22536"/>
    <cellStyle name="Input 2 5 2 3 2 2 2 2" xfId="22537"/>
    <cellStyle name="Input 2 5 2 3 2 2 3" xfId="22538"/>
    <cellStyle name="Input 2 5 2 3 2 2 3 2" xfId="22539"/>
    <cellStyle name="Input 2 5 2 3 2 2 4" xfId="22540"/>
    <cellStyle name="Input 2 5 2 3 2 2 5" xfId="22541"/>
    <cellStyle name="Input 2 5 2 3 2 2 6" xfId="22542"/>
    <cellStyle name="Input 2 5 2 3 2 3" xfId="22543"/>
    <cellStyle name="Input 2 5 2 3 2 3 2" xfId="22544"/>
    <cellStyle name="Input 2 5 2 3 2 4" xfId="22545"/>
    <cellStyle name="Input 2 5 2 3 2 4 2" xfId="22546"/>
    <cellStyle name="Input 2 5 2 3 2 5" xfId="22547"/>
    <cellStyle name="Input 2 5 2 3 2 6" xfId="22548"/>
    <cellStyle name="Input 2 5 2 3 2 7" xfId="22549"/>
    <cellStyle name="Input 2 5 2 3 3" xfId="22550"/>
    <cellStyle name="Input 2 5 2 3 3 2" xfId="22551"/>
    <cellStyle name="Input 2 5 2 3 3 2 2" xfId="22552"/>
    <cellStyle name="Input 2 5 2 3 3 3" xfId="22553"/>
    <cellStyle name="Input 2 5 2 3 3 3 2" xfId="22554"/>
    <cellStyle name="Input 2 5 2 3 3 4" xfId="22555"/>
    <cellStyle name="Input 2 5 2 3 3 5" xfId="22556"/>
    <cellStyle name="Input 2 5 2 3 3 6" xfId="22557"/>
    <cellStyle name="Input 2 5 2 3 4" xfId="22558"/>
    <cellStyle name="Input 2 5 2 3 4 2" xfId="22559"/>
    <cellStyle name="Input 2 5 2 3 5" xfId="22560"/>
    <cellStyle name="Input 2 5 2 3 5 2" xfId="22561"/>
    <cellStyle name="Input 2 5 2 3 6" xfId="22562"/>
    <cellStyle name="Input 2 5 2 3 7" xfId="22563"/>
    <cellStyle name="Input 2 5 2 3 8" xfId="22564"/>
    <cellStyle name="Input 2 5 2 4" xfId="22565"/>
    <cellStyle name="Input 2 5 2 4 2" xfId="22566"/>
    <cellStyle name="Input 2 5 2 4 2 2" xfId="22567"/>
    <cellStyle name="Input 2 5 2 4 2 2 2" xfId="22568"/>
    <cellStyle name="Input 2 5 2 4 2 3" xfId="22569"/>
    <cellStyle name="Input 2 5 2 4 2 3 2" xfId="22570"/>
    <cellStyle name="Input 2 5 2 4 2 4" xfId="22571"/>
    <cellStyle name="Input 2 5 2 4 2 5" xfId="22572"/>
    <cellStyle name="Input 2 5 2 4 2 6" xfId="22573"/>
    <cellStyle name="Input 2 5 2 4 3" xfId="22574"/>
    <cellStyle name="Input 2 5 2 4 3 2" xfId="22575"/>
    <cellStyle name="Input 2 5 2 4 4" xfId="22576"/>
    <cellStyle name="Input 2 5 2 4 4 2" xfId="22577"/>
    <cellStyle name="Input 2 5 2 4 5" xfId="22578"/>
    <cellStyle name="Input 2 5 2 4 6" xfId="22579"/>
    <cellStyle name="Input 2 5 2 4 7" xfId="22580"/>
    <cellStyle name="Input 2 5 2 5" xfId="22581"/>
    <cellStyle name="Input 2 5 2 5 2" xfId="22582"/>
    <cellStyle name="Input 2 5 2 5 2 2" xfId="22583"/>
    <cellStyle name="Input 2 5 2 5 3" xfId="22584"/>
    <cellStyle name="Input 2 5 2 5 3 2" xfId="22585"/>
    <cellStyle name="Input 2 5 2 5 4" xfId="22586"/>
    <cellStyle name="Input 2 5 2 5 5" xfId="22587"/>
    <cellStyle name="Input 2 5 2 5 6" xfId="22588"/>
    <cellStyle name="Input 2 5 2 6" xfId="22589"/>
    <cellStyle name="Input 2 5 2 6 2" xfId="22590"/>
    <cellStyle name="Input 2 5 2 7" xfId="22591"/>
    <cellStyle name="Input 2 5 2 7 2" xfId="22592"/>
    <cellStyle name="Input 2 5 2 8" xfId="22593"/>
    <cellStyle name="Input 2 5 2 9" xfId="22594"/>
    <cellStyle name="Input 2 5 3" xfId="22595"/>
    <cellStyle name="Input 2 5 3 10" xfId="22596"/>
    <cellStyle name="Input 2 5 3 2" xfId="22597"/>
    <cellStyle name="Input 2 5 3 2 2" xfId="22598"/>
    <cellStyle name="Input 2 5 3 2 2 2" xfId="22599"/>
    <cellStyle name="Input 2 5 3 2 2 2 2" xfId="22600"/>
    <cellStyle name="Input 2 5 3 2 2 2 2 2" xfId="22601"/>
    <cellStyle name="Input 2 5 3 2 2 2 3" xfId="22602"/>
    <cellStyle name="Input 2 5 3 2 2 2 3 2" xfId="22603"/>
    <cellStyle name="Input 2 5 3 2 2 2 4" xfId="22604"/>
    <cellStyle name="Input 2 5 3 2 2 2 5" xfId="22605"/>
    <cellStyle name="Input 2 5 3 2 2 2 6" xfId="22606"/>
    <cellStyle name="Input 2 5 3 2 2 3" xfId="22607"/>
    <cellStyle name="Input 2 5 3 2 2 3 2" xfId="22608"/>
    <cellStyle name="Input 2 5 3 2 2 4" xfId="22609"/>
    <cellStyle name="Input 2 5 3 2 2 4 2" xfId="22610"/>
    <cellStyle name="Input 2 5 3 2 2 5" xfId="22611"/>
    <cellStyle name="Input 2 5 3 2 2 6" xfId="22612"/>
    <cellStyle name="Input 2 5 3 2 2 7" xfId="22613"/>
    <cellStyle name="Input 2 5 3 2 3" xfId="22614"/>
    <cellStyle name="Input 2 5 3 2 3 2" xfId="22615"/>
    <cellStyle name="Input 2 5 3 2 3 2 2" xfId="22616"/>
    <cellStyle name="Input 2 5 3 2 3 3" xfId="22617"/>
    <cellStyle name="Input 2 5 3 2 3 3 2" xfId="22618"/>
    <cellStyle name="Input 2 5 3 2 3 4" xfId="22619"/>
    <cellStyle name="Input 2 5 3 2 3 5" xfId="22620"/>
    <cellStyle name="Input 2 5 3 2 3 6" xfId="22621"/>
    <cellStyle name="Input 2 5 3 2 4" xfId="22622"/>
    <cellStyle name="Input 2 5 3 2 4 2" xfId="22623"/>
    <cellStyle name="Input 2 5 3 2 5" xfId="22624"/>
    <cellStyle name="Input 2 5 3 2 5 2" xfId="22625"/>
    <cellStyle name="Input 2 5 3 2 6" xfId="22626"/>
    <cellStyle name="Input 2 5 3 2 7" xfId="22627"/>
    <cellStyle name="Input 2 5 3 2 8" xfId="22628"/>
    <cellStyle name="Input 2 5 3 3" xfId="22629"/>
    <cellStyle name="Input 2 5 3 3 2" xfId="22630"/>
    <cellStyle name="Input 2 5 3 3 2 2" xfId="22631"/>
    <cellStyle name="Input 2 5 3 3 2 2 2" xfId="22632"/>
    <cellStyle name="Input 2 5 3 3 2 2 2 2" xfId="22633"/>
    <cellStyle name="Input 2 5 3 3 2 2 3" xfId="22634"/>
    <cellStyle name="Input 2 5 3 3 2 2 3 2" xfId="22635"/>
    <cellStyle name="Input 2 5 3 3 2 2 4" xfId="22636"/>
    <cellStyle name="Input 2 5 3 3 2 2 5" xfId="22637"/>
    <cellStyle name="Input 2 5 3 3 2 2 6" xfId="22638"/>
    <cellStyle name="Input 2 5 3 3 2 3" xfId="22639"/>
    <cellStyle name="Input 2 5 3 3 2 3 2" xfId="22640"/>
    <cellStyle name="Input 2 5 3 3 2 4" xfId="22641"/>
    <cellStyle name="Input 2 5 3 3 2 4 2" xfId="22642"/>
    <cellStyle name="Input 2 5 3 3 2 5" xfId="22643"/>
    <cellStyle name="Input 2 5 3 3 2 6" xfId="22644"/>
    <cellStyle name="Input 2 5 3 3 2 7" xfId="22645"/>
    <cellStyle name="Input 2 5 3 3 3" xfId="22646"/>
    <cellStyle name="Input 2 5 3 3 3 2" xfId="22647"/>
    <cellStyle name="Input 2 5 3 3 3 2 2" xfId="22648"/>
    <cellStyle name="Input 2 5 3 3 3 3" xfId="22649"/>
    <cellStyle name="Input 2 5 3 3 3 3 2" xfId="22650"/>
    <cellStyle name="Input 2 5 3 3 3 4" xfId="22651"/>
    <cellStyle name="Input 2 5 3 3 3 5" xfId="22652"/>
    <cellStyle name="Input 2 5 3 3 3 6" xfId="22653"/>
    <cellStyle name="Input 2 5 3 3 4" xfId="22654"/>
    <cellStyle name="Input 2 5 3 3 4 2" xfId="22655"/>
    <cellStyle name="Input 2 5 3 3 5" xfId="22656"/>
    <cellStyle name="Input 2 5 3 3 5 2" xfId="22657"/>
    <cellStyle name="Input 2 5 3 3 6" xfId="22658"/>
    <cellStyle name="Input 2 5 3 3 7" xfId="22659"/>
    <cellStyle name="Input 2 5 3 3 8" xfId="22660"/>
    <cellStyle name="Input 2 5 3 4" xfId="22661"/>
    <cellStyle name="Input 2 5 3 4 2" xfId="22662"/>
    <cellStyle name="Input 2 5 3 4 2 2" xfId="22663"/>
    <cellStyle name="Input 2 5 3 4 2 2 2" xfId="22664"/>
    <cellStyle name="Input 2 5 3 4 2 3" xfId="22665"/>
    <cellStyle name="Input 2 5 3 4 2 3 2" xfId="22666"/>
    <cellStyle name="Input 2 5 3 4 2 4" xfId="22667"/>
    <cellStyle name="Input 2 5 3 4 2 5" xfId="22668"/>
    <cellStyle name="Input 2 5 3 4 2 6" xfId="22669"/>
    <cellStyle name="Input 2 5 3 4 3" xfId="22670"/>
    <cellStyle name="Input 2 5 3 4 3 2" xfId="22671"/>
    <cellStyle name="Input 2 5 3 4 4" xfId="22672"/>
    <cellStyle name="Input 2 5 3 4 4 2" xfId="22673"/>
    <cellStyle name="Input 2 5 3 4 5" xfId="22674"/>
    <cellStyle name="Input 2 5 3 4 6" xfId="22675"/>
    <cellStyle name="Input 2 5 3 4 7" xfId="22676"/>
    <cellStyle name="Input 2 5 3 5" xfId="22677"/>
    <cellStyle name="Input 2 5 3 5 2" xfId="22678"/>
    <cellStyle name="Input 2 5 3 5 2 2" xfId="22679"/>
    <cellStyle name="Input 2 5 3 5 3" xfId="22680"/>
    <cellStyle name="Input 2 5 3 5 3 2" xfId="22681"/>
    <cellStyle name="Input 2 5 3 5 4" xfId="22682"/>
    <cellStyle name="Input 2 5 3 5 5" xfId="22683"/>
    <cellStyle name="Input 2 5 3 5 6" xfId="22684"/>
    <cellStyle name="Input 2 5 3 6" xfId="22685"/>
    <cellStyle name="Input 2 5 3 6 2" xfId="22686"/>
    <cellStyle name="Input 2 5 3 7" xfId="22687"/>
    <cellStyle name="Input 2 5 3 7 2" xfId="22688"/>
    <cellStyle name="Input 2 5 3 8" xfId="22689"/>
    <cellStyle name="Input 2 5 3 9" xfId="22690"/>
    <cellStyle name="Input 2 5 4" xfId="22691"/>
    <cellStyle name="Input 2 5 4 2" xfId="22692"/>
    <cellStyle name="Input 2 5 4 2 2" xfId="22693"/>
    <cellStyle name="Input 2 5 4 2 2 2" xfId="22694"/>
    <cellStyle name="Input 2 5 4 2 2 2 2" xfId="22695"/>
    <cellStyle name="Input 2 5 4 2 2 3" xfId="22696"/>
    <cellStyle name="Input 2 5 4 2 2 3 2" xfId="22697"/>
    <cellStyle name="Input 2 5 4 2 2 4" xfId="22698"/>
    <cellStyle name="Input 2 5 4 2 2 5" xfId="22699"/>
    <cellStyle name="Input 2 5 4 2 2 6" xfId="22700"/>
    <cellStyle name="Input 2 5 4 2 3" xfId="22701"/>
    <cellStyle name="Input 2 5 4 2 3 2" xfId="22702"/>
    <cellStyle name="Input 2 5 4 2 4" xfId="22703"/>
    <cellStyle name="Input 2 5 4 2 4 2" xfId="22704"/>
    <cellStyle name="Input 2 5 4 2 5" xfId="22705"/>
    <cellStyle name="Input 2 5 4 2 6" xfId="22706"/>
    <cellStyle name="Input 2 5 4 2 7" xfId="22707"/>
    <cellStyle name="Input 2 5 4 3" xfId="22708"/>
    <cellStyle name="Input 2 5 4 3 2" xfId="22709"/>
    <cellStyle name="Input 2 5 4 3 2 2" xfId="22710"/>
    <cellStyle name="Input 2 5 4 3 3" xfId="22711"/>
    <cellStyle name="Input 2 5 4 3 3 2" xfId="22712"/>
    <cellStyle name="Input 2 5 4 3 4" xfId="22713"/>
    <cellStyle name="Input 2 5 4 3 5" xfId="22714"/>
    <cellStyle name="Input 2 5 4 3 6" xfId="22715"/>
    <cellStyle name="Input 2 5 4 4" xfId="22716"/>
    <cellStyle name="Input 2 5 4 4 2" xfId="22717"/>
    <cellStyle name="Input 2 5 4 5" xfId="22718"/>
    <cellStyle name="Input 2 5 4 5 2" xfId="22719"/>
    <cellStyle name="Input 2 5 4 6" xfId="22720"/>
    <cellStyle name="Input 2 5 4 7" xfId="22721"/>
    <cellStyle name="Input 2 5 4 8" xfId="22722"/>
    <cellStyle name="Input 2 5 5" xfId="22723"/>
    <cellStyle name="Input 2 5 5 2" xfId="22724"/>
    <cellStyle name="Input 2 5 5 2 2" xfId="22725"/>
    <cellStyle name="Input 2 5 5 2 2 2" xfId="22726"/>
    <cellStyle name="Input 2 5 5 2 3" xfId="22727"/>
    <cellStyle name="Input 2 5 5 2 3 2" xfId="22728"/>
    <cellStyle name="Input 2 5 5 2 4" xfId="22729"/>
    <cellStyle name="Input 2 5 5 2 5" xfId="22730"/>
    <cellStyle name="Input 2 5 5 2 6" xfId="22731"/>
    <cellStyle name="Input 2 5 5 3" xfId="22732"/>
    <cellStyle name="Input 2 5 5 3 2" xfId="22733"/>
    <cellStyle name="Input 2 5 5 4" xfId="22734"/>
    <cellStyle name="Input 2 5 5 4 2" xfId="22735"/>
    <cellStyle name="Input 2 5 5 5" xfId="22736"/>
    <cellStyle name="Input 2 5 5 6" xfId="22737"/>
    <cellStyle name="Input 2 5 5 7" xfId="22738"/>
    <cellStyle name="Input 2 5 6" xfId="22739"/>
    <cellStyle name="Input 2 5 6 2" xfId="22740"/>
    <cellStyle name="Input 2 5 6 2 2" xfId="22741"/>
    <cellStyle name="Input 2 5 6 3" xfId="22742"/>
    <cellStyle name="Input 2 5 6 3 2" xfId="22743"/>
    <cellStyle name="Input 2 5 6 4" xfId="22744"/>
    <cellStyle name="Input 2 5 6 5" xfId="22745"/>
    <cellStyle name="Input 2 5 6 6" xfId="22746"/>
    <cellStyle name="Input 2 5 7" xfId="22747"/>
    <cellStyle name="Input 2 5 7 2" xfId="22748"/>
    <cellStyle name="Input 2 5 8" xfId="22749"/>
    <cellStyle name="Input 2 5 8 2" xfId="22750"/>
    <cellStyle name="Input 2 5 9" xfId="22751"/>
    <cellStyle name="Input 2 6" xfId="22752"/>
    <cellStyle name="Input 2 6 10" xfId="22753"/>
    <cellStyle name="Input 2 6 11" xfId="22754"/>
    <cellStyle name="Input 2 6 2" xfId="22755"/>
    <cellStyle name="Input 2 6 2 10" xfId="22756"/>
    <cellStyle name="Input 2 6 2 2" xfId="22757"/>
    <cellStyle name="Input 2 6 2 2 2" xfId="22758"/>
    <cellStyle name="Input 2 6 2 2 2 2" xfId="22759"/>
    <cellStyle name="Input 2 6 2 2 2 2 2" xfId="22760"/>
    <cellStyle name="Input 2 6 2 2 2 2 2 2" xfId="22761"/>
    <cellStyle name="Input 2 6 2 2 2 2 3" xfId="22762"/>
    <cellStyle name="Input 2 6 2 2 2 2 3 2" xfId="22763"/>
    <cellStyle name="Input 2 6 2 2 2 2 4" xfId="22764"/>
    <cellStyle name="Input 2 6 2 2 2 2 5" xfId="22765"/>
    <cellStyle name="Input 2 6 2 2 2 2 6" xfId="22766"/>
    <cellStyle name="Input 2 6 2 2 2 3" xfId="22767"/>
    <cellStyle name="Input 2 6 2 2 2 3 2" xfId="22768"/>
    <cellStyle name="Input 2 6 2 2 2 4" xfId="22769"/>
    <cellStyle name="Input 2 6 2 2 2 4 2" xfId="22770"/>
    <cellStyle name="Input 2 6 2 2 2 5" xfId="22771"/>
    <cellStyle name="Input 2 6 2 2 2 6" xfId="22772"/>
    <cellStyle name="Input 2 6 2 2 2 7" xfId="22773"/>
    <cellStyle name="Input 2 6 2 2 3" xfId="22774"/>
    <cellStyle name="Input 2 6 2 2 3 2" xfId="22775"/>
    <cellStyle name="Input 2 6 2 2 3 2 2" xfId="22776"/>
    <cellStyle name="Input 2 6 2 2 3 3" xfId="22777"/>
    <cellStyle name="Input 2 6 2 2 3 3 2" xfId="22778"/>
    <cellStyle name="Input 2 6 2 2 3 4" xfId="22779"/>
    <cellStyle name="Input 2 6 2 2 3 5" xfId="22780"/>
    <cellStyle name="Input 2 6 2 2 3 6" xfId="22781"/>
    <cellStyle name="Input 2 6 2 2 4" xfId="22782"/>
    <cellStyle name="Input 2 6 2 2 4 2" xfId="22783"/>
    <cellStyle name="Input 2 6 2 2 5" xfId="22784"/>
    <cellStyle name="Input 2 6 2 2 5 2" xfId="22785"/>
    <cellStyle name="Input 2 6 2 2 6" xfId="22786"/>
    <cellStyle name="Input 2 6 2 2 7" xfId="22787"/>
    <cellStyle name="Input 2 6 2 2 8" xfId="22788"/>
    <cellStyle name="Input 2 6 2 3" xfId="22789"/>
    <cellStyle name="Input 2 6 2 3 2" xfId="22790"/>
    <cellStyle name="Input 2 6 2 3 2 2" xfId="22791"/>
    <cellStyle name="Input 2 6 2 3 2 2 2" xfId="22792"/>
    <cellStyle name="Input 2 6 2 3 2 2 2 2" xfId="22793"/>
    <cellStyle name="Input 2 6 2 3 2 2 3" xfId="22794"/>
    <cellStyle name="Input 2 6 2 3 2 2 3 2" xfId="22795"/>
    <cellStyle name="Input 2 6 2 3 2 2 4" xfId="22796"/>
    <cellStyle name="Input 2 6 2 3 2 2 5" xfId="22797"/>
    <cellStyle name="Input 2 6 2 3 2 2 6" xfId="22798"/>
    <cellStyle name="Input 2 6 2 3 2 3" xfId="22799"/>
    <cellStyle name="Input 2 6 2 3 2 3 2" xfId="22800"/>
    <cellStyle name="Input 2 6 2 3 2 4" xfId="22801"/>
    <cellStyle name="Input 2 6 2 3 2 4 2" xfId="22802"/>
    <cellStyle name="Input 2 6 2 3 2 5" xfId="22803"/>
    <cellStyle name="Input 2 6 2 3 2 6" xfId="22804"/>
    <cellStyle name="Input 2 6 2 3 2 7" xfId="22805"/>
    <cellStyle name="Input 2 6 2 3 3" xfId="22806"/>
    <cellStyle name="Input 2 6 2 3 3 2" xfId="22807"/>
    <cellStyle name="Input 2 6 2 3 3 2 2" xfId="22808"/>
    <cellStyle name="Input 2 6 2 3 3 3" xfId="22809"/>
    <cellStyle name="Input 2 6 2 3 3 3 2" xfId="22810"/>
    <cellStyle name="Input 2 6 2 3 3 4" xfId="22811"/>
    <cellStyle name="Input 2 6 2 3 3 5" xfId="22812"/>
    <cellStyle name="Input 2 6 2 3 3 6" xfId="22813"/>
    <cellStyle name="Input 2 6 2 3 4" xfId="22814"/>
    <cellStyle name="Input 2 6 2 3 4 2" xfId="22815"/>
    <cellStyle name="Input 2 6 2 3 5" xfId="22816"/>
    <cellStyle name="Input 2 6 2 3 5 2" xfId="22817"/>
    <cellStyle name="Input 2 6 2 3 6" xfId="22818"/>
    <cellStyle name="Input 2 6 2 3 7" xfId="22819"/>
    <cellStyle name="Input 2 6 2 3 8" xfId="22820"/>
    <cellStyle name="Input 2 6 2 4" xfId="22821"/>
    <cellStyle name="Input 2 6 2 4 2" xfId="22822"/>
    <cellStyle name="Input 2 6 2 4 2 2" xfId="22823"/>
    <cellStyle name="Input 2 6 2 4 2 2 2" xfId="22824"/>
    <cellStyle name="Input 2 6 2 4 2 3" xfId="22825"/>
    <cellStyle name="Input 2 6 2 4 2 3 2" xfId="22826"/>
    <cellStyle name="Input 2 6 2 4 2 4" xfId="22827"/>
    <cellStyle name="Input 2 6 2 4 2 5" xfId="22828"/>
    <cellStyle name="Input 2 6 2 4 2 6" xfId="22829"/>
    <cellStyle name="Input 2 6 2 4 3" xfId="22830"/>
    <cellStyle name="Input 2 6 2 4 3 2" xfId="22831"/>
    <cellStyle name="Input 2 6 2 4 4" xfId="22832"/>
    <cellStyle name="Input 2 6 2 4 4 2" xfId="22833"/>
    <cellStyle name="Input 2 6 2 4 5" xfId="22834"/>
    <cellStyle name="Input 2 6 2 4 6" xfId="22835"/>
    <cellStyle name="Input 2 6 2 4 7" xfId="22836"/>
    <cellStyle name="Input 2 6 2 5" xfId="22837"/>
    <cellStyle name="Input 2 6 2 5 2" xfId="22838"/>
    <cellStyle name="Input 2 6 2 5 2 2" xfId="22839"/>
    <cellStyle name="Input 2 6 2 5 3" xfId="22840"/>
    <cellStyle name="Input 2 6 2 5 3 2" xfId="22841"/>
    <cellStyle name="Input 2 6 2 5 4" xfId="22842"/>
    <cellStyle name="Input 2 6 2 5 5" xfId="22843"/>
    <cellStyle name="Input 2 6 2 5 6" xfId="22844"/>
    <cellStyle name="Input 2 6 2 6" xfId="22845"/>
    <cellStyle name="Input 2 6 2 6 2" xfId="22846"/>
    <cellStyle name="Input 2 6 2 7" xfId="22847"/>
    <cellStyle name="Input 2 6 2 7 2" xfId="22848"/>
    <cellStyle name="Input 2 6 2 8" xfId="22849"/>
    <cellStyle name="Input 2 6 2 9" xfId="22850"/>
    <cellStyle name="Input 2 6 3" xfId="22851"/>
    <cellStyle name="Input 2 6 3 2" xfId="22852"/>
    <cellStyle name="Input 2 6 3 2 2" xfId="22853"/>
    <cellStyle name="Input 2 6 3 2 2 2" xfId="22854"/>
    <cellStyle name="Input 2 6 3 2 2 2 2" xfId="22855"/>
    <cellStyle name="Input 2 6 3 2 2 3" xfId="22856"/>
    <cellStyle name="Input 2 6 3 2 2 3 2" xfId="22857"/>
    <cellStyle name="Input 2 6 3 2 2 4" xfId="22858"/>
    <cellStyle name="Input 2 6 3 2 2 5" xfId="22859"/>
    <cellStyle name="Input 2 6 3 2 2 6" xfId="22860"/>
    <cellStyle name="Input 2 6 3 2 3" xfId="22861"/>
    <cellStyle name="Input 2 6 3 2 3 2" xfId="22862"/>
    <cellStyle name="Input 2 6 3 2 4" xfId="22863"/>
    <cellStyle name="Input 2 6 3 2 4 2" xfId="22864"/>
    <cellStyle name="Input 2 6 3 2 5" xfId="22865"/>
    <cellStyle name="Input 2 6 3 2 6" xfId="22866"/>
    <cellStyle name="Input 2 6 3 2 7" xfId="22867"/>
    <cellStyle name="Input 2 6 3 3" xfId="22868"/>
    <cellStyle name="Input 2 6 3 3 2" xfId="22869"/>
    <cellStyle name="Input 2 6 3 3 2 2" xfId="22870"/>
    <cellStyle name="Input 2 6 3 3 3" xfId="22871"/>
    <cellStyle name="Input 2 6 3 3 3 2" xfId="22872"/>
    <cellStyle name="Input 2 6 3 3 4" xfId="22873"/>
    <cellStyle name="Input 2 6 3 3 5" xfId="22874"/>
    <cellStyle name="Input 2 6 3 3 6" xfId="22875"/>
    <cellStyle name="Input 2 6 3 4" xfId="22876"/>
    <cellStyle name="Input 2 6 3 4 2" xfId="22877"/>
    <cellStyle name="Input 2 6 3 5" xfId="22878"/>
    <cellStyle name="Input 2 6 3 5 2" xfId="22879"/>
    <cellStyle name="Input 2 6 3 6" xfId="22880"/>
    <cellStyle name="Input 2 6 3 7" xfId="22881"/>
    <cellStyle name="Input 2 6 3 8" xfId="22882"/>
    <cellStyle name="Input 2 6 4" xfId="22883"/>
    <cellStyle name="Input 2 6 4 2" xfId="22884"/>
    <cellStyle name="Input 2 6 4 2 2" xfId="22885"/>
    <cellStyle name="Input 2 6 4 2 2 2" xfId="22886"/>
    <cellStyle name="Input 2 6 4 2 2 2 2" xfId="22887"/>
    <cellStyle name="Input 2 6 4 2 2 3" xfId="22888"/>
    <cellStyle name="Input 2 6 4 2 2 3 2" xfId="22889"/>
    <cellStyle name="Input 2 6 4 2 2 4" xfId="22890"/>
    <cellStyle name="Input 2 6 4 2 2 5" xfId="22891"/>
    <cellStyle name="Input 2 6 4 2 2 6" xfId="22892"/>
    <cellStyle name="Input 2 6 4 2 3" xfId="22893"/>
    <cellStyle name="Input 2 6 4 2 3 2" xfId="22894"/>
    <cellStyle name="Input 2 6 4 2 4" xfId="22895"/>
    <cellStyle name="Input 2 6 4 2 4 2" xfId="22896"/>
    <cellStyle name="Input 2 6 4 2 5" xfId="22897"/>
    <cellStyle name="Input 2 6 4 2 6" xfId="22898"/>
    <cellStyle name="Input 2 6 4 2 7" xfId="22899"/>
    <cellStyle name="Input 2 6 4 3" xfId="22900"/>
    <cellStyle name="Input 2 6 4 3 2" xfId="22901"/>
    <cellStyle name="Input 2 6 4 3 2 2" xfId="22902"/>
    <cellStyle name="Input 2 6 4 3 3" xfId="22903"/>
    <cellStyle name="Input 2 6 4 3 3 2" xfId="22904"/>
    <cellStyle name="Input 2 6 4 3 4" xfId="22905"/>
    <cellStyle name="Input 2 6 4 3 5" xfId="22906"/>
    <cellStyle name="Input 2 6 4 3 6" xfId="22907"/>
    <cellStyle name="Input 2 6 4 4" xfId="22908"/>
    <cellStyle name="Input 2 6 4 4 2" xfId="22909"/>
    <cellStyle name="Input 2 6 4 5" xfId="22910"/>
    <cellStyle name="Input 2 6 4 5 2" xfId="22911"/>
    <cellStyle name="Input 2 6 4 6" xfId="22912"/>
    <cellStyle name="Input 2 6 4 7" xfId="22913"/>
    <cellStyle name="Input 2 6 4 8" xfId="22914"/>
    <cellStyle name="Input 2 6 5" xfId="22915"/>
    <cellStyle name="Input 2 6 5 2" xfId="22916"/>
    <cellStyle name="Input 2 6 5 2 2" xfId="22917"/>
    <cellStyle name="Input 2 6 5 2 2 2" xfId="22918"/>
    <cellStyle name="Input 2 6 5 2 3" xfId="22919"/>
    <cellStyle name="Input 2 6 5 2 3 2" xfId="22920"/>
    <cellStyle name="Input 2 6 5 2 4" xfId="22921"/>
    <cellStyle name="Input 2 6 5 2 5" xfId="22922"/>
    <cellStyle name="Input 2 6 5 2 6" xfId="22923"/>
    <cellStyle name="Input 2 6 5 3" xfId="22924"/>
    <cellStyle name="Input 2 6 5 3 2" xfId="22925"/>
    <cellStyle name="Input 2 6 5 4" xfId="22926"/>
    <cellStyle name="Input 2 6 5 4 2" xfId="22927"/>
    <cellStyle name="Input 2 6 5 5" xfId="22928"/>
    <cellStyle name="Input 2 6 5 6" xfId="22929"/>
    <cellStyle name="Input 2 6 5 7" xfId="22930"/>
    <cellStyle name="Input 2 6 6" xfId="22931"/>
    <cellStyle name="Input 2 6 6 2" xfId="22932"/>
    <cellStyle name="Input 2 6 6 2 2" xfId="22933"/>
    <cellStyle name="Input 2 6 6 3" xfId="22934"/>
    <cellStyle name="Input 2 6 6 3 2" xfId="22935"/>
    <cellStyle name="Input 2 6 6 4" xfId="22936"/>
    <cellStyle name="Input 2 6 6 5" xfId="22937"/>
    <cellStyle name="Input 2 6 6 6" xfId="22938"/>
    <cellStyle name="Input 2 6 7" xfId="22939"/>
    <cellStyle name="Input 2 6 7 2" xfId="22940"/>
    <cellStyle name="Input 2 6 8" xfId="22941"/>
    <cellStyle name="Input 2 6 8 2" xfId="22942"/>
    <cellStyle name="Input 2 6 9" xfId="22943"/>
    <cellStyle name="Input 2 7" xfId="22944"/>
    <cellStyle name="Input 2 7 2" xfId="22945"/>
    <cellStyle name="Input 2 7 2 2" xfId="22946"/>
    <cellStyle name="Input 2 7 2 2 2" xfId="22947"/>
    <cellStyle name="Input 2 7 2 3" xfId="22948"/>
    <cellStyle name="Input 2 7 2 3 2" xfId="22949"/>
    <cellStyle name="Input 2 7 2 4" xfId="22950"/>
    <cellStyle name="Input 2 7 2 5" xfId="22951"/>
    <cellStyle name="Input 2 7 2 6" xfId="22952"/>
    <cellStyle name="Input 2 7 3" xfId="22953"/>
    <cellStyle name="Input 2 7 3 2" xfId="22954"/>
    <cellStyle name="Input 2 7 4" xfId="22955"/>
    <cellStyle name="Input 2 7 4 2" xfId="22956"/>
    <cellStyle name="Input 2 7 5" xfId="22957"/>
    <cellStyle name="Input 2 7 6" xfId="22958"/>
    <cellStyle name="Input 2 7 7" xfId="22959"/>
    <cellStyle name="Input 2 8" xfId="22960"/>
    <cellStyle name="Input 2 8 2" xfId="22961"/>
    <cellStyle name="Input 2 9" xfId="22962"/>
    <cellStyle name="Input 2 9 2" xfId="22963"/>
    <cellStyle name="Input 20" xfId="22964"/>
    <cellStyle name="Input 20 10" xfId="22965"/>
    <cellStyle name="Input 20 11" xfId="22966"/>
    <cellStyle name="Input 20 12" xfId="22967"/>
    <cellStyle name="Input 20 2" xfId="22968"/>
    <cellStyle name="Input 20 2 10" xfId="22969"/>
    <cellStyle name="Input 20 2 11" xfId="22970"/>
    <cellStyle name="Input 20 2 2" xfId="22971"/>
    <cellStyle name="Input 20 2 2 10" xfId="22972"/>
    <cellStyle name="Input 20 2 2 2" xfId="22973"/>
    <cellStyle name="Input 20 2 2 2 2" xfId="22974"/>
    <cellStyle name="Input 20 2 2 2 2 2" xfId="22975"/>
    <cellStyle name="Input 20 2 2 2 2 2 2" xfId="22976"/>
    <cellStyle name="Input 20 2 2 2 2 2 2 2" xfId="22977"/>
    <cellStyle name="Input 20 2 2 2 2 2 3" xfId="22978"/>
    <cellStyle name="Input 20 2 2 2 2 2 3 2" xfId="22979"/>
    <cellStyle name="Input 20 2 2 2 2 2 4" xfId="22980"/>
    <cellStyle name="Input 20 2 2 2 2 2 5" xfId="22981"/>
    <cellStyle name="Input 20 2 2 2 2 2 6" xfId="22982"/>
    <cellStyle name="Input 20 2 2 2 2 3" xfId="22983"/>
    <cellStyle name="Input 20 2 2 2 2 3 2" xfId="22984"/>
    <cellStyle name="Input 20 2 2 2 2 4" xfId="22985"/>
    <cellStyle name="Input 20 2 2 2 2 4 2" xfId="22986"/>
    <cellStyle name="Input 20 2 2 2 2 5" xfId="22987"/>
    <cellStyle name="Input 20 2 2 2 2 6" xfId="22988"/>
    <cellStyle name="Input 20 2 2 2 2 7" xfId="22989"/>
    <cellStyle name="Input 20 2 2 2 3" xfId="22990"/>
    <cellStyle name="Input 20 2 2 2 3 2" xfId="22991"/>
    <cellStyle name="Input 20 2 2 2 3 2 2" xfId="22992"/>
    <cellStyle name="Input 20 2 2 2 3 3" xfId="22993"/>
    <cellStyle name="Input 20 2 2 2 3 3 2" xfId="22994"/>
    <cellStyle name="Input 20 2 2 2 3 4" xfId="22995"/>
    <cellStyle name="Input 20 2 2 2 3 5" xfId="22996"/>
    <cellStyle name="Input 20 2 2 2 3 6" xfId="22997"/>
    <cellStyle name="Input 20 2 2 2 4" xfId="22998"/>
    <cellStyle name="Input 20 2 2 2 4 2" xfId="22999"/>
    <cellStyle name="Input 20 2 2 2 5" xfId="23000"/>
    <cellStyle name="Input 20 2 2 2 5 2" xfId="23001"/>
    <cellStyle name="Input 20 2 2 2 6" xfId="23002"/>
    <cellStyle name="Input 20 2 2 2 7" xfId="23003"/>
    <cellStyle name="Input 20 2 2 2 8" xfId="23004"/>
    <cellStyle name="Input 20 2 2 3" xfId="23005"/>
    <cellStyle name="Input 20 2 2 3 2" xfId="23006"/>
    <cellStyle name="Input 20 2 2 3 2 2" xfId="23007"/>
    <cellStyle name="Input 20 2 2 3 2 2 2" xfId="23008"/>
    <cellStyle name="Input 20 2 2 3 2 2 2 2" xfId="23009"/>
    <cellStyle name="Input 20 2 2 3 2 2 3" xfId="23010"/>
    <cellStyle name="Input 20 2 2 3 2 2 3 2" xfId="23011"/>
    <cellStyle name="Input 20 2 2 3 2 2 4" xfId="23012"/>
    <cellStyle name="Input 20 2 2 3 2 2 5" xfId="23013"/>
    <cellStyle name="Input 20 2 2 3 2 2 6" xfId="23014"/>
    <cellStyle name="Input 20 2 2 3 2 3" xfId="23015"/>
    <cellStyle name="Input 20 2 2 3 2 3 2" xfId="23016"/>
    <cellStyle name="Input 20 2 2 3 2 4" xfId="23017"/>
    <cellStyle name="Input 20 2 2 3 2 4 2" xfId="23018"/>
    <cellStyle name="Input 20 2 2 3 2 5" xfId="23019"/>
    <cellStyle name="Input 20 2 2 3 2 6" xfId="23020"/>
    <cellStyle name="Input 20 2 2 3 2 7" xfId="23021"/>
    <cellStyle name="Input 20 2 2 3 3" xfId="23022"/>
    <cellStyle name="Input 20 2 2 3 3 2" xfId="23023"/>
    <cellStyle name="Input 20 2 2 3 3 2 2" xfId="23024"/>
    <cellStyle name="Input 20 2 2 3 3 3" xfId="23025"/>
    <cellStyle name="Input 20 2 2 3 3 3 2" xfId="23026"/>
    <cellStyle name="Input 20 2 2 3 3 4" xfId="23027"/>
    <cellStyle name="Input 20 2 2 3 3 5" xfId="23028"/>
    <cellStyle name="Input 20 2 2 3 3 6" xfId="23029"/>
    <cellStyle name="Input 20 2 2 3 4" xfId="23030"/>
    <cellStyle name="Input 20 2 2 3 4 2" xfId="23031"/>
    <cellStyle name="Input 20 2 2 3 5" xfId="23032"/>
    <cellStyle name="Input 20 2 2 3 5 2" xfId="23033"/>
    <cellStyle name="Input 20 2 2 3 6" xfId="23034"/>
    <cellStyle name="Input 20 2 2 3 7" xfId="23035"/>
    <cellStyle name="Input 20 2 2 3 8" xfId="23036"/>
    <cellStyle name="Input 20 2 2 4" xfId="23037"/>
    <cellStyle name="Input 20 2 2 4 2" xfId="23038"/>
    <cellStyle name="Input 20 2 2 4 2 2" xfId="23039"/>
    <cellStyle name="Input 20 2 2 4 2 2 2" xfId="23040"/>
    <cellStyle name="Input 20 2 2 4 2 3" xfId="23041"/>
    <cellStyle name="Input 20 2 2 4 2 3 2" xfId="23042"/>
    <cellStyle name="Input 20 2 2 4 2 4" xfId="23043"/>
    <cellStyle name="Input 20 2 2 4 2 5" xfId="23044"/>
    <cellStyle name="Input 20 2 2 4 2 6" xfId="23045"/>
    <cellStyle name="Input 20 2 2 4 3" xfId="23046"/>
    <cellStyle name="Input 20 2 2 4 3 2" xfId="23047"/>
    <cellStyle name="Input 20 2 2 4 4" xfId="23048"/>
    <cellStyle name="Input 20 2 2 4 4 2" xfId="23049"/>
    <cellStyle name="Input 20 2 2 4 5" xfId="23050"/>
    <cellStyle name="Input 20 2 2 4 6" xfId="23051"/>
    <cellStyle name="Input 20 2 2 4 7" xfId="23052"/>
    <cellStyle name="Input 20 2 2 5" xfId="23053"/>
    <cellStyle name="Input 20 2 2 5 2" xfId="23054"/>
    <cellStyle name="Input 20 2 2 5 2 2" xfId="23055"/>
    <cellStyle name="Input 20 2 2 5 3" xfId="23056"/>
    <cellStyle name="Input 20 2 2 5 3 2" xfId="23057"/>
    <cellStyle name="Input 20 2 2 5 4" xfId="23058"/>
    <cellStyle name="Input 20 2 2 5 5" xfId="23059"/>
    <cellStyle name="Input 20 2 2 5 6" xfId="23060"/>
    <cellStyle name="Input 20 2 2 6" xfId="23061"/>
    <cellStyle name="Input 20 2 2 6 2" xfId="23062"/>
    <cellStyle name="Input 20 2 2 7" xfId="23063"/>
    <cellStyle name="Input 20 2 2 7 2" xfId="23064"/>
    <cellStyle name="Input 20 2 2 8" xfId="23065"/>
    <cellStyle name="Input 20 2 2 9" xfId="23066"/>
    <cellStyle name="Input 20 2 3" xfId="23067"/>
    <cellStyle name="Input 20 2 3 2" xfId="23068"/>
    <cellStyle name="Input 20 2 3 2 2" xfId="23069"/>
    <cellStyle name="Input 20 2 3 2 2 2" xfId="23070"/>
    <cellStyle name="Input 20 2 3 2 2 2 2" xfId="23071"/>
    <cellStyle name="Input 20 2 3 2 2 3" xfId="23072"/>
    <cellStyle name="Input 20 2 3 2 2 3 2" xfId="23073"/>
    <cellStyle name="Input 20 2 3 2 2 4" xfId="23074"/>
    <cellStyle name="Input 20 2 3 2 2 5" xfId="23075"/>
    <cellStyle name="Input 20 2 3 2 2 6" xfId="23076"/>
    <cellStyle name="Input 20 2 3 2 3" xfId="23077"/>
    <cellStyle name="Input 20 2 3 2 3 2" xfId="23078"/>
    <cellStyle name="Input 20 2 3 2 4" xfId="23079"/>
    <cellStyle name="Input 20 2 3 2 4 2" xfId="23080"/>
    <cellStyle name="Input 20 2 3 2 5" xfId="23081"/>
    <cellStyle name="Input 20 2 3 2 6" xfId="23082"/>
    <cellStyle name="Input 20 2 3 2 7" xfId="23083"/>
    <cellStyle name="Input 20 2 3 3" xfId="23084"/>
    <cellStyle name="Input 20 2 3 3 2" xfId="23085"/>
    <cellStyle name="Input 20 2 3 3 2 2" xfId="23086"/>
    <cellStyle name="Input 20 2 3 3 3" xfId="23087"/>
    <cellStyle name="Input 20 2 3 3 3 2" xfId="23088"/>
    <cellStyle name="Input 20 2 3 3 4" xfId="23089"/>
    <cellStyle name="Input 20 2 3 3 5" xfId="23090"/>
    <cellStyle name="Input 20 2 3 3 6" xfId="23091"/>
    <cellStyle name="Input 20 2 3 4" xfId="23092"/>
    <cellStyle name="Input 20 2 3 4 2" xfId="23093"/>
    <cellStyle name="Input 20 2 3 5" xfId="23094"/>
    <cellStyle name="Input 20 2 3 5 2" xfId="23095"/>
    <cellStyle name="Input 20 2 3 6" xfId="23096"/>
    <cellStyle name="Input 20 2 3 7" xfId="23097"/>
    <cellStyle name="Input 20 2 3 8" xfId="23098"/>
    <cellStyle name="Input 20 2 4" xfId="23099"/>
    <cellStyle name="Input 20 2 4 2" xfId="23100"/>
    <cellStyle name="Input 20 2 4 2 2" xfId="23101"/>
    <cellStyle name="Input 20 2 4 2 2 2" xfId="23102"/>
    <cellStyle name="Input 20 2 4 2 2 2 2" xfId="23103"/>
    <cellStyle name="Input 20 2 4 2 2 3" xfId="23104"/>
    <cellStyle name="Input 20 2 4 2 2 3 2" xfId="23105"/>
    <cellStyle name="Input 20 2 4 2 2 4" xfId="23106"/>
    <cellStyle name="Input 20 2 4 2 2 5" xfId="23107"/>
    <cellStyle name="Input 20 2 4 2 2 6" xfId="23108"/>
    <cellStyle name="Input 20 2 4 2 3" xfId="23109"/>
    <cellStyle name="Input 20 2 4 2 3 2" xfId="23110"/>
    <cellStyle name="Input 20 2 4 2 4" xfId="23111"/>
    <cellStyle name="Input 20 2 4 2 4 2" xfId="23112"/>
    <cellStyle name="Input 20 2 4 2 5" xfId="23113"/>
    <cellStyle name="Input 20 2 4 2 6" xfId="23114"/>
    <cellStyle name="Input 20 2 4 2 7" xfId="23115"/>
    <cellStyle name="Input 20 2 4 3" xfId="23116"/>
    <cellStyle name="Input 20 2 4 3 2" xfId="23117"/>
    <cellStyle name="Input 20 2 4 3 2 2" xfId="23118"/>
    <cellStyle name="Input 20 2 4 3 3" xfId="23119"/>
    <cellStyle name="Input 20 2 4 3 3 2" xfId="23120"/>
    <cellStyle name="Input 20 2 4 3 4" xfId="23121"/>
    <cellStyle name="Input 20 2 4 3 5" xfId="23122"/>
    <cellStyle name="Input 20 2 4 3 6" xfId="23123"/>
    <cellStyle name="Input 20 2 4 4" xfId="23124"/>
    <cellStyle name="Input 20 2 4 4 2" xfId="23125"/>
    <cellStyle name="Input 20 2 4 5" xfId="23126"/>
    <cellStyle name="Input 20 2 4 5 2" xfId="23127"/>
    <cellStyle name="Input 20 2 4 6" xfId="23128"/>
    <cellStyle name="Input 20 2 4 7" xfId="23129"/>
    <cellStyle name="Input 20 2 4 8" xfId="23130"/>
    <cellStyle name="Input 20 2 5" xfId="23131"/>
    <cellStyle name="Input 20 2 5 2" xfId="23132"/>
    <cellStyle name="Input 20 2 5 2 2" xfId="23133"/>
    <cellStyle name="Input 20 2 5 2 2 2" xfId="23134"/>
    <cellStyle name="Input 20 2 5 2 3" xfId="23135"/>
    <cellStyle name="Input 20 2 5 2 3 2" xfId="23136"/>
    <cellStyle name="Input 20 2 5 2 4" xfId="23137"/>
    <cellStyle name="Input 20 2 5 2 5" xfId="23138"/>
    <cellStyle name="Input 20 2 5 2 6" xfId="23139"/>
    <cellStyle name="Input 20 2 5 3" xfId="23140"/>
    <cellStyle name="Input 20 2 5 3 2" xfId="23141"/>
    <cellStyle name="Input 20 2 5 4" xfId="23142"/>
    <cellStyle name="Input 20 2 5 4 2" xfId="23143"/>
    <cellStyle name="Input 20 2 5 5" xfId="23144"/>
    <cellStyle name="Input 20 2 5 6" xfId="23145"/>
    <cellStyle name="Input 20 2 5 7" xfId="23146"/>
    <cellStyle name="Input 20 2 6" xfId="23147"/>
    <cellStyle name="Input 20 2 6 2" xfId="23148"/>
    <cellStyle name="Input 20 2 6 2 2" xfId="23149"/>
    <cellStyle name="Input 20 2 6 3" xfId="23150"/>
    <cellStyle name="Input 20 2 6 3 2" xfId="23151"/>
    <cellStyle name="Input 20 2 6 4" xfId="23152"/>
    <cellStyle name="Input 20 2 6 5" xfId="23153"/>
    <cellStyle name="Input 20 2 6 6" xfId="23154"/>
    <cellStyle name="Input 20 2 7" xfId="23155"/>
    <cellStyle name="Input 20 2 7 2" xfId="23156"/>
    <cellStyle name="Input 20 2 8" xfId="23157"/>
    <cellStyle name="Input 20 2 8 2" xfId="23158"/>
    <cellStyle name="Input 20 2 9" xfId="23159"/>
    <cellStyle name="Input 20 3" xfId="23160"/>
    <cellStyle name="Input 20 3 10" xfId="23161"/>
    <cellStyle name="Input 20 3 2" xfId="23162"/>
    <cellStyle name="Input 20 3 2 10" xfId="23163"/>
    <cellStyle name="Input 20 3 2 2" xfId="23164"/>
    <cellStyle name="Input 20 3 2 2 2" xfId="23165"/>
    <cellStyle name="Input 20 3 2 2 2 2" xfId="23166"/>
    <cellStyle name="Input 20 3 2 2 2 2 2" xfId="23167"/>
    <cellStyle name="Input 20 3 2 2 2 2 2 2" xfId="23168"/>
    <cellStyle name="Input 20 3 2 2 2 2 3" xfId="23169"/>
    <cellStyle name="Input 20 3 2 2 2 2 3 2" xfId="23170"/>
    <cellStyle name="Input 20 3 2 2 2 2 4" xfId="23171"/>
    <cellStyle name="Input 20 3 2 2 2 2 5" xfId="23172"/>
    <cellStyle name="Input 20 3 2 2 2 2 6" xfId="23173"/>
    <cellStyle name="Input 20 3 2 2 2 3" xfId="23174"/>
    <cellStyle name="Input 20 3 2 2 2 3 2" xfId="23175"/>
    <cellStyle name="Input 20 3 2 2 2 4" xfId="23176"/>
    <cellStyle name="Input 20 3 2 2 2 4 2" xfId="23177"/>
    <cellStyle name="Input 20 3 2 2 2 5" xfId="23178"/>
    <cellStyle name="Input 20 3 2 2 2 6" xfId="23179"/>
    <cellStyle name="Input 20 3 2 2 2 7" xfId="23180"/>
    <cellStyle name="Input 20 3 2 2 3" xfId="23181"/>
    <cellStyle name="Input 20 3 2 2 3 2" xfId="23182"/>
    <cellStyle name="Input 20 3 2 2 3 2 2" xfId="23183"/>
    <cellStyle name="Input 20 3 2 2 3 3" xfId="23184"/>
    <cellStyle name="Input 20 3 2 2 3 3 2" xfId="23185"/>
    <cellStyle name="Input 20 3 2 2 3 4" xfId="23186"/>
    <cellStyle name="Input 20 3 2 2 3 5" xfId="23187"/>
    <cellStyle name="Input 20 3 2 2 3 6" xfId="23188"/>
    <cellStyle name="Input 20 3 2 2 4" xfId="23189"/>
    <cellStyle name="Input 20 3 2 2 4 2" xfId="23190"/>
    <cellStyle name="Input 20 3 2 2 5" xfId="23191"/>
    <cellStyle name="Input 20 3 2 2 5 2" xfId="23192"/>
    <cellStyle name="Input 20 3 2 2 6" xfId="23193"/>
    <cellStyle name="Input 20 3 2 2 7" xfId="23194"/>
    <cellStyle name="Input 20 3 2 2 8" xfId="23195"/>
    <cellStyle name="Input 20 3 2 3" xfId="23196"/>
    <cellStyle name="Input 20 3 2 3 2" xfId="23197"/>
    <cellStyle name="Input 20 3 2 3 2 2" xfId="23198"/>
    <cellStyle name="Input 20 3 2 3 2 2 2" xfId="23199"/>
    <cellStyle name="Input 20 3 2 3 2 2 2 2" xfId="23200"/>
    <cellStyle name="Input 20 3 2 3 2 2 3" xfId="23201"/>
    <cellStyle name="Input 20 3 2 3 2 2 3 2" xfId="23202"/>
    <cellStyle name="Input 20 3 2 3 2 2 4" xfId="23203"/>
    <cellStyle name="Input 20 3 2 3 2 2 5" xfId="23204"/>
    <cellStyle name="Input 20 3 2 3 2 2 6" xfId="23205"/>
    <cellStyle name="Input 20 3 2 3 2 3" xfId="23206"/>
    <cellStyle name="Input 20 3 2 3 2 3 2" xfId="23207"/>
    <cellStyle name="Input 20 3 2 3 2 4" xfId="23208"/>
    <cellStyle name="Input 20 3 2 3 2 4 2" xfId="23209"/>
    <cellStyle name="Input 20 3 2 3 2 5" xfId="23210"/>
    <cellStyle name="Input 20 3 2 3 2 6" xfId="23211"/>
    <cellStyle name="Input 20 3 2 3 2 7" xfId="23212"/>
    <cellStyle name="Input 20 3 2 3 3" xfId="23213"/>
    <cellStyle name="Input 20 3 2 3 3 2" xfId="23214"/>
    <cellStyle name="Input 20 3 2 3 3 2 2" xfId="23215"/>
    <cellStyle name="Input 20 3 2 3 3 3" xfId="23216"/>
    <cellStyle name="Input 20 3 2 3 3 3 2" xfId="23217"/>
    <cellStyle name="Input 20 3 2 3 3 4" xfId="23218"/>
    <cellStyle name="Input 20 3 2 3 3 5" xfId="23219"/>
    <cellStyle name="Input 20 3 2 3 3 6" xfId="23220"/>
    <cellStyle name="Input 20 3 2 3 4" xfId="23221"/>
    <cellStyle name="Input 20 3 2 3 4 2" xfId="23222"/>
    <cellStyle name="Input 20 3 2 3 5" xfId="23223"/>
    <cellStyle name="Input 20 3 2 3 5 2" xfId="23224"/>
    <cellStyle name="Input 20 3 2 3 6" xfId="23225"/>
    <cellStyle name="Input 20 3 2 3 7" xfId="23226"/>
    <cellStyle name="Input 20 3 2 3 8" xfId="23227"/>
    <cellStyle name="Input 20 3 2 4" xfId="23228"/>
    <cellStyle name="Input 20 3 2 4 2" xfId="23229"/>
    <cellStyle name="Input 20 3 2 4 2 2" xfId="23230"/>
    <cellStyle name="Input 20 3 2 4 2 2 2" xfId="23231"/>
    <cellStyle name="Input 20 3 2 4 2 3" xfId="23232"/>
    <cellStyle name="Input 20 3 2 4 2 3 2" xfId="23233"/>
    <cellStyle name="Input 20 3 2 4 2 4" xfId="23234"/>
    <cellStyle name="Input 20 3 2 4 2 5" xfId="23235"/>
    <cellStyle name="Input 20 3 2 4 2 6" xfId="23236"/>
    <cellStyle name="Input 20 3 2 4 3" xfId="23237"/>
    <cellStyle name="Input 20 3 2 4 3 2" xfId="23238"/>
    <cellStyle name="Input 20 3 2 4 4" xfId="23239"/>
    <cellStyle name="Input 20 3 2 4 4 2" xfId="23240"/>
    <cellStyle name="Input 20 3 2 4 5" xfId="23241"/>
    <cellStyle name="Input 20 3 2 4 6" xfId="23242"/>
    <cellStyle name="Input 20 3 2 4 7" xfId="23243"/>
    <cellStyle name="Input 20 3 2 5" xfId="23244"/>
    <cellStyle name="Input 20 3 2 5 2" xfId="23245"/>
    <cellStyle name="Input 20 3 2 5 2 2" xfId="23246"/>
    <cellStyle name="Input 20 3 2 5 3" xfId="23247"/>
    <cellStyle name="Input 20 3 2 5 3 2" xfId="23248"/>
    <cellStyle name="Input 20 3 2 5 4" xfId="23249"/>
    <cellStyle name="Input 20 3 2 5 5" xfId="23250"/>
    <cellStyle name="Input 20 3 2 5 6" xfId="23251"/>
    <cellStyle name="Input 20 3 2 6" xfId="23252"/>
    <cellStyle name="Input 20 3 2 6 2" xfId="23253"/>
    <cellStyle name="Input 20 3 2 7" xfId="23254"/>
    <cellStyle name="Input 20 3 2 7 2" xfId="23255"/>
    <cellStyle name="Input 20 3 2 8" xfId="23256"/>
    <cellStyle name="Input 20 3 2 9" xfId="23257"/>
    <cellStyle name="Input 20 3 3" xfId="23258"/>
    <cellStyle name="Input 20 3 3 2" xfId="23259"/>
    <cellStyle name="Input 20 3 3 2 2" xfId="23260"/>
    <cellStyle name="Input 20 3 3 2 2 2" xfId="23261"/>
    <cellStyle name="Input 20 3 3 2 2 2 2" xfId="23262"/>
    <cellStyle name="Input 20 3 3 2 2 3" xfId="23263"/>
    <cellStyle name="Input 20 3 3 2 2 3 2" xfId="23264"/>
    <cellStyle name="Input 20 3 3 2 2 4" xfId="23265"/>
    <cellStyle name="Input 20 3 3 2 2 5" xfId="23266"/>
    <cellStyle name="Input 20 3 3 2 2 6" xfId="23267"/>
    <cellStyle name="Input 20 3 3 2 3" xfId="23268"/>
    <cellStyle name="Input 20 3 3 2 3 2" xfId="23269"/>
    <cellStyle name="Input 20 3 3 2 4" xfId="23270"/>
    <cellStyle name="Input 20 3 3 2 4 2" xfId="23271"/>
    <cellStyle name="Input 20 3 3 2 5" xfId="23272"/>
    <cellStyle name="Input 20 3 3 2 6" xfId="23273"/>
    <cellStyle name="Input 20 3 3 2 7" xfId="23274"/>
    <cellStyle name="Input 20 3 3 3" xfId="23275"/>
    <cellStyle name="Input 20 3 3 3 2" xfId="23276"/>
    <cellStyle name="Input 20 3 3 3 2 2" xfId="23277"/>
    <cellStyle name="Input 20 3 3 3 3" xfId="23278"/>
    <cellStyle name="Input 20 3 3 3 3 2" xfId="23279"/>
    <cellStyle name="Input 20 3 3 3 4" xfId="23280"/>
    <cellStyle name="Input 20 3 3 3 5" xfId="23281"/>
    <cellStyle name="Input 20 3 3 3 6" xfId="23282"/>
    <cellStyle name="Input 20 3 3 4" xfId="23283"/>
    <cellStyle name="Input 20 3 3 4 2" xfId="23284"/>
    <cellStyle name="Input 20 3 3 5" xfId="23285"/>
    <cellStyle name="Input 20 3 3 5 2" xfId="23286"/>
    <cellStyle name="Input 20 3 3 6" xfId="23287"/>
    <cellStyle name="Input 20 3 3 7" xfId="23288"/>
    <cellStyle name="Input 20 3 3 8" xfId="23289"/>
    <cellStyle name="Input 20 3 4" xfId="23290"/>
    <cellStyle name="Input 20 3 4 2" xfId="23291"/>
    <cellStyle name="Input 20 3 4 2 2" xfId="23292"/>
    <cellStyle name="Input 20 3 4 2 2 2" xfId="23293"/>
    <cellStyle name="Input 20 3 4 2 3" xfId="23294"/>
    <cellStyle name="Input 20 3 4 2 3 2" xfId="23295"/>
    <cellStyle name="Input 20 3 4 2 4" xfId="23296"/>
    <cellStyle name="Input 20 3 4 2 5" xfId="23297"/>
    <cellStyle name="Input 20 3 4 2 6" xfId="23298"/>
    <cellStyle name="Input 20 3 4 3" xfId="23299"/>
    <cellStyle name="Input 20 3 4 3 2" xfId="23300"/>
    <cellStyle name="Input 20 3 4 4" xfId="23301"/>
    <cellStyle name="Input 20 3 4 4 2" xfId="23302"/>
    <cellStyle name="Input 20 3 4 5" xfId="23303"/>
    <cellStyle name="Input 20 3 4 6" xfId="23304"/>
    <cellStyle name="Input 20 3 4 7" xfId="23305"/>
    <cellStyle name="Input 20 3 5" xfId="23306"/>
    <cellStyle name="Input 20 3 5 2" xfId="23307"/>
    <cellStyle name="Input 20 3 5 2 2" xfId="23308"/>
    <cellStyle name="Input 20 3 5 3" xfId="23309"/>
    <cellStyle name="Input 20 3 5 3 2" xfId="23310"/>
    <cellStyle name="Input 20 3 5 4" xfId="23311"/>
    <cellStyle name="Input 20 3 5 5" xfId="23312"/>
    <cellStyle name="Input 20 3 5 6" xfId="23313"/>
    <cellStyle name="Input 20 3 6" xfId="23314"/>
    <cellStyle name="Input 20 3 6 2" xfId="23315"/>
    <cellStyle name="Input 20 3 7" xfId="23316"/>
    <cellStyle name="Input 20 3 7 2" xfId="23317"/>
    <cellStyle name="Input 20 3 8" xfId="23318"/>
    <cellStyle name="Input 20 3 9" xfId="23319"/>
    <cellStyle name="Input 20 4" xfId="23320"/>
    <cellStyle name="Input 20 4 10" xfId="23321"/>
    <cellStyle name="Input 20 4 2" xfId="23322"/>
    <cellStyle name="Input 20 4 2 2" xfId="23323"/>
    <cellStyle name="Input 20 4 2 2 2" xfId="23324"/>
    <cellStyle name="Input 20 4 2 2 2 2" xfId="23325"/>
    <cellStyle name="Input 20 4 2 2 2 2 2" xfId="23326"/>
    <cellStyle name="Input 20 4 2 2 2 3" xfId="23327"/>
    <cellStyle name="Input 20 4 2 2 2 3 2" xfId="23328"/>
    <cellStyle name="Input 20 4 2 2 2 4" xfId="23329"/>
    <cellStyle name="Input 20 4 2 2 2 5" xfId="23330"/>
    <cellStyle name="Input 20 4 2 2 2 6" xfId="23331"/>
    <cellStyle name="Input 20 4 2 2 3" xfId="23332"/>
    <cellStyle name="Input 20 4 2 2 3 2" xfId="23333"/>
    <cellStyle name="Input 20 4 2 2 4" xfId="23334"/>
    <cellStyle name="Input 20 4 2 2 4 2" xfId="23335"/>
    <cellStyle name="Input 20 4 2 2 5" xfId="23336"/>
    <cellStyle name="Input 20 4 2 2 6" xfId="23337"/>
    <cellStyle name="Input 20 4 2 2 7" xfId="23338"/>
    <cellStyle name="Input 20 4 2 3" xfId="23339"/>
    <cellStyle name="Input 20 4 2 3 2" xfId="23340"/>
    <cellStyle name="Input 20 4 2 3 2 2" xfId="23341"/>
    <cellStyle name="Input 20 4 2 3 3" xfId="23342"/>
    <cellStyle name="Input 20 4 2 3 3 2" xfId="23343"/>
    <cellStyle name="Input 20 4 2 3 4" xfId="23344"/>
    <cellStyle name="Input 20 4 2 3 5" xfId="23345"/>
    <cellStyle name="Input 20 4 2 3 6" xfId="23346"/>
    <cellStyle name="Input 20 4 2 4" xfId="23347"/>
    <cellStyle name="Input 20 4 2 4 2" xfId="23348"/>
    <cellStyle name="Input 20 4 2 5" xfId="23349"/>
    <cellStyle name="Input 20 4 2 5 2" xfId="23350"/>
    <cellStyle name="Input 20 4 2 6" xfId="23351"/>
    <cellStyle name="Input 20 4 2 7" xfId="23352"/>
    <cellStyle name="Input 20 4 2 8" xfId="23353"/>
    <cellStyle name="Input 20 4 3" xfId="23354"/>
    <cellStyle name="Input 20 4 3 2" xfId="23355"/>
    <cellStyle name="Input 20 4 3 2 2" xfId="23356"/>
    <cellStyle name="Input 20 4 3 2 2 2" xfId="23357"/>
    <cellStyle name="Input 20 4 3 2 2 2 2" xfId="23358"/>
    <cellStyle name="Input 20 4 3 2 2 3" xfId="23359"/>
    <cellStyle name="Input 20 4 3 2 2 3 2" xfId="23360"/>
    <cellStyle name="Input 20 4 3 2 2 4" xfId="23361"/>
    <cellStyle name="Input 20 4 3 2 2 5" xfId="23362"/>
    <cellStyle name="Input 20 4 3 2 2 6" xfId="23363"/>
    <cellStyle name="Input 20 4 3 2 3" xfId="23364"/>
    <cellStyle name="Input 20 4 3 2 3 2" xfId="23365"/>
    <cellStyle name="Input 20 4 3 2 4" xfId="23366"/>
    <cellStyle name="Input 20 4 3 2 4 2" xfId="23367"/>
    <cellStyle name="Input 20 4 3 2 5" xfId="23368"/>
    <cellStyle name="Input 20 4 3 2 6" xfId="23369"/>
    <cellStyle name="Input 20 4 3 2 7" xfId="23370"/>
    <cellStyle name="Input 20 4 3 3" xfId="23371"/>
    <cellStyle name="Input 20 4 3 3 2" xfId="23372"/>
    <cellStyle name="Input 20 4 3 3 2 2" xfId="23373"/>
    <cellStyle name="Input 20 4 3 3 3" xfId="23374"/>
    <cellStyle name="Input 20 4 3 3 3 2" xfId="23375"/>
    <cellStyle name="Input 20 4 3 3 4" xfId="23376"/>
    <cellStyle name="Input 20 4 3 3 5" xfId="23377"/>
    <cellStyle name="Input 20 4 3 3 6" xfId="23378"/>
    <cellStyle name="Input 20 4 3 4" xfId="23379"/>
    <cellStyle name="Input 20 4 3 4 2" xfId="23380"/>
    <cellStyle name="Input 20 4 3 5" xfId="23381"/>
    <cellStyle name="Input 20 4 3 5 2" xfId="23382"/>
    <cellStyle name="Input 20 4 3 6" xfId="23383"/>
    <cellStyle name="Input 20 4 3 7" xfId="23384"/>
    <cellStyle name="Input 20 4 3 8" xfId="23385"/>
    <cellStyle name="Input 20 4 4" xfId="23386"/>
    <cellStyle name="Input 20 4 4 2" xfId="23387"/>
    <cellStyle name="Input 20 4 4 2 2" xfId="23388"/>
    <cellStyle name="Input 20 4 4 2 2 2" xfId="23389"/>
    <cellStyle name="Input 20 4 4 2 3" xfId="23390"/>
    <cellStyle name="Input 20 4 4 2 3 2" xfId="23391"/>
    <cellStyle name="Input 20 4 4 2 4" xfId="23392"/>
    <cellStyle name="Input 20 4 4 2 5" xfId="23393"/>
    <cellStyle name="Input 20 4 4 2 6" xfId="23394"/>
    <cellStyle name="Input 20 4 4 3" xfId="23395"/>
    <cellStyle name="Input 20 4 4 3 2" xfId="23396"/>
    <cellStyle name="Input 20 4 4 4" xfId="23397"/>
    <cellStyle name="Input 20 4 4 4 2" xfId="23398"/>
    <cellStyle name="Input 20 4 4 5" xfId="23399"/>
    <cellStyle name="Input 20 4 4 6" xfId="23400"/>
    <cellStyle name="Input 20 4 4 7" xfId="23401"/>
    <cellStyle name="Input 20 4 5" xfId="23402"/>
    <cellStyle name="Input 20 4 5 2" xfId="23403"/>
    <cellStyle name="Input 20 4 5 2 2" xfId="23404"/>
    <cellStyle name="Input 20 4 5 3" xfId="23405"/>
    <cellStyle name="Input 20 4 5 3 2" xfId="23406"/>
    <cellStyle name="Input 20 4 5 4" xfId="23407"/>
    <cellStyle name="Input 20 4 5 5" xfId="23408"/>
    <cellStyle name="Input 20 4 5 6" xfId="23409"/>
    <cellStyle name="Input 20 4 6" xfId="23410"/>
    <cellStyle name="Input 20 4 6 2" xfId="23411"/>
    <cellStyle name="Input 20 4 7" xfId="23412"/>
    <cellStyle name="Input 20 4 7 2" xfId="23413"/>
    <cellStyle name="Input 20 4 8" xfId="23414"/>
    <cellStyle name="Input 20 4 9" xfId="23415"/>
    <cellStyle name="Input 20 5" xfId="23416"/>
    <cellStyle name="Input 20 5 2" xfId="23417"/>
    <cellStyle name="Input 20 5 2 2" xfId="23418"/>
    <cellStyle name="Input 20 5 2 2 2" xfId="23419"/>
    <cellStyle name="Input 20 5 2 2 2 2" xfId="23420"/>
    <cellStyle name="Input 20 5 2 2 3" xfId="23421"/>
    <cellStyle name="Input 20 5 2 2 3 2" xfId="23422"/>
    <cellStyle name="Input 20 5 2 2 4" xfId="23423"/>
    <cellStyle name="Input 20 5 2 2 5" xfId="23424"/>
    <cellStyle name="Input 20 5 2 2 6" xfId="23425"/>
    <cellStyle name="Input 20 5 2 3" xfId="23426"/>
    <cellStyle name="Input 20 5 2 3 2" xfId="23427"/>
    <cellStyle name="Input 20 5 2 4" xfId="23428"/>
    <cellStyle name="Input 20 5 2 4 2" xfId="23429"/>
    <cellStyle name="Input 20 5 2 5" xfId="23430"/>
    <cellStyle name="Input 20 5 2 6" xfId="23431"/>
    <cellStyle name="Input 20 5 2 7" xfId="23432"/>
    <cellStyle name="Input 20 5 3" xfId="23433"/>
    <cellStyle name="Input 20 5 3 2" xfId="23434"/>
    <cellStyle name="Input 20 5 3 2 2" xfId="23435"/>
    <cellStyle name="Input 20 5 3 3" xfId="23436"/>
    <cellStyle name="Input 20 5 3 3 2" xfId="23437"/>
    <cellStyle name="Input 20 5 3 4" xfId="23438"/>
    <cellStyle name="Input 20 5 3 5" xfId="23439"/>
    <cellStyle name="Input 20 5 3 6" xfId="23440"/>
    <cellStyle name="Input 20 5 4" xfId="23441"/>
    <cellStyle name="Input 20 5 4 2" xfId="23442"/>
    <cellStyle name="Input 20 5 5" xfId="23443"/>
    <cellStyle name="Input 20 5 5 2" xfId="23444"/>
    <cellStyle name="Input 20 5 6" xfId="23445"/>
    <cellStyle name="Input 20 5 7" xfId="23446"/>
    <cellStyle name="Input 20 5 8" xfId="23447"/>
    <cellStyle name="Input 20 6" xfId="23448"/>
    <cellStyle name="Input 20 6 2" xfId="23449"/>
    <cellStyle name="Input 20 6 2 2" xfId="23450"/>
    <cellStyle name="Input 20 6 2 2 2" xfId="23451"/>
    <cellStyle name="Input 20 6 2 3" xfId="23452"/>
    <cellStyle name="Input 20 6 2 3 2" xfId="23453"/>
    <cellStyle name="Input 20 6 2 4" xfId="23454"/>
    <cellStyle name="Input 20 6 2 5" xfId="23455"/>
    <cellStyle name="Input 20 6 2 6" xfId="23456"/>
    <cellStyle name="Input 20 6 3" xfId="23457"/>
    <cellStyle name="Input 20 6 3 2" xfId="23458"/>
    <cellStyle name="Input 20 6 4" xfId="23459"/>
    <cellStyle name="Input 20 6 4 2" xfId="23460"/>
    <cellStyle name="Input 20 6 5" xfId="23461"/>
    <cellStyle name="Input 20 6 6" xfId="23462"/>
    <cellStyle name="Input 20 6 7" xfId="23463"/>
    <cellStyle name="Input 20 7" xfId="23464"/>
    <cellStyle name="Input 20 7 2" xfId="23465"/>
    <cellStyle name="Input 20 7 2 2" xfId="23466"/>
    <cellStyle name="Input 20 7 3" xfId="23467"/>
    <cellStyle name="Input 20 7 3 2" xfId="23468"/>
    <cellStyle name="Input 20 7 4" xfId="23469"/>
    <cellStyle name="Input 20 7 5" xfId="23470"/>
    <cellStyle name="Input 20 7 6" xfId="23471"/>
    <cellStyle name="Input 20 8" xfId="23472"/>
    <cellStyle name="Input 20 8 2" xfId="23473"/>
    <cellStyle name="Input 20 9" xfId="23474"/>
    <cellStyle name="Input 20 9 2" xfId="23475"/>
    <cellStyle name="Input 21" xfId="23476"/>
    <cellStyle name="Input 21 10" xfId="23477"/>
    <cellStyle name="Input 21 11" xfId="23478"/>
    <cellStyle name="Input 21 12" xfId="23479"/>
    <cellStyle name="Input 21 2" xfId="23480"/>
    <cellStyle name="Input 21 2 10" xfId="23481"/>
    <cellStyle name="Input 21 2 11" xfId="23482"/>
    <cellStyle name="Input 21 2 2" xfId="23483"/>
    <cellStyle name="Input 21 2 2 10" xfId="23484"/>
    <cellStyle name="Input 21 2 2 2" xfId="23485"/>
    <cellStyle name="Input 21 2 2 2 2" xfId="23486"/>
    <cellStyle name="Input 21 2 2 2 2 2" xfId="23487"/>
    <cellStyle name="Input 21 2 2 2 2 2 2" xfId="23488"/>
    <cellStyle name="Input 21 2 2 2 2 2 2 2" xfId="23489"/>
    <cellStyle name="Input 21 2 2 2 2 2 3" xfId="23490"/>
    <cellStyle name="Input 21 2 2 2 2 2 3 2" xfId="23491"/>
    <cellStyle name="Input 21 2 2 2 2 2 4" xfId="23492"/>
    <cellStyle name="Input 21 2 2 2 2 2 5" xfId="23493"/>
    <cellStyle name="Input 21 2 2 2 2 2 6" xfId="23494"/>
    <cellStyle name="Input 21 2 2 2 2 3" xfId="23495"/>
    <cellStyle name="Input 21 2 2 2 2 3 2" xfId="23496"/>
    <cellStyle name="Input 21 2 2 2 2 4" xfId="23497"/>
    <cellStyle name="Input 21 2 2 2 2 4 2" xfId="23498"/>
    <cellStyle name="Input 21 2 2 2 2 5" xfId="23499"/>
    <cellStyle name="Input 21 2 2 2 2 6" xfId="23500"/>
    <cellStyle name="Input 21 2 2 2 2 7" xfId="23501"/>
    <cellStyle name="Input 21 2 2 2 3" xfId="23502"/>
    <cellStyle name="Input 21 2 2 2 3 2" xfId="23503"/>
    <cellStyle name="Input 21 2 2 2 3 2 2" xfId="23504"/>
    <cellStyle name="Input 21 2 2 2 3 3" xfId="23505"/>
    <cellStyle name="Input 21 2 2 2 3 3 2" xfId="23506"/>
    <cellStyle name="Input 21 2 2 2 3 4" xfId="23507"/>
    <cellStyle name="Input 21 2 2 2 3 5" xfId="23508"/>
    <cellStyle name="Input 21 2 2 2 3 6" xfId="23509"/>
    <cellStyle name="Input 21 2 2 2 4" xfId="23510"/>
    <cellStyle name="Input 21 2 2 2 4 2" xfId="23511"/>
    <cellStyle name="Input 21 2 2 2 5" xfId="23512"/>
    <cellStyle name="Input 21 2 2 2 5 2" xfId="23513"/>
    <cellStyle name="Input 21 2 2 2 6" xfId="23514"/>
    <cellStyle name="Input 21 2 2 2 7" xfId="23515"/>
    <cellStyle name="Input 21 2 2 2 8" xfId="23516"/>
    <cellStyle name="Input 21 2 2 3" xfId="23517"/>
    <cellStyle name="Input 21 2 2 3 2" xfId="23518"/>
    <cellStyle name="Input 21 2 2 3 2 2" xfId="23519"/>
    <cellStyle name="Input 21 2 2 3 2 2 2" xfId="23520"/>
    <cellStyle name="Input 21 2 2 3 2 2 2 2" xfId="23521"/>
    <cellStyle name="Input 21 2 2 3 2 2 3" xfId="23522"/>
    <cellStyle name="Input 21 2 2 3 2 2 3 2" xfId="23523"/>
    <cellStyle name="Input 21 2 2 3 2 2 4" xfId="23524"/>
    <cellStyle name="Input 21 2 2 3 2 2 5" xfId="23525"/>
    <cellStyle name="Input 21 2 2 3 2 2 6" xfId="23526"/>
    <cellStyle name="Input 21 2 2 3 2 3" xfId="23527"/>
    <cellStyle name="Input 21 2 2 3 2 3 2" xfId="23528"/>
    <cellStyle name="Input 21 2 2 3 2 4" xfId="23529"/>
    <cellStyle name="Input 21 2 2 3 2 4 2" xfId="23530"/>
    <cellStyle name="Input 21 2 2 3 2 5" xfId="23531"/>
    <cellStyle name="Input 21 2 2 3 2 6" xfId="23532"/>
    <cellStyle name="Input 21 2 2 3 2 7" xfId="23533"/>
    <cellStyle name="Input 21 2 2 3 3" xfId="23534"/>
    <cellStyle name="Input 21 2 2 3 3 2" xfId="23535"/>
    <cellStyle name="Input 21 2 2 3 3 2 2" xfId="23536"/>
    <cellStyle name="Input 21 2 2 3 3 3" xfId="23537"/>
    <cellStyle name="Input 21 2 2 3 3 3 2" xfId="23538"/>
    <cellStyle name="Input 21 2 2 3 3 4" xfId="23539"/>
    <cellStyle name="Input 21 2 2 3 3 5" xfId="23540"/>
    <cellStyle name="Input 21 2 2 3 3 6" xfId="23541"/>
    <cellStyle name="Input 21 2 2 3 4" xfId="23542"/>
    <cellStyle name="Input 21 2 2 3 4 2" xfId="23543"/>
    <cellStyle name="Input 21 2 2 3 5" xfId="23544"/>
    <cellStyle name="Input 21 2 2 3 5 2" xfId="23545"/>
    <cellStyle name="Input 21 2 2 3 6" xfId="23546"/>
    <cellStyle name="Input 21 2 2 3 7" xfId="23547"/>
    <cellStyle name="Input 21 2 2 3 8" xfId="23548"/>
    <cellStyle name="Input 21 2 2 4" xfId="23549"/>
    <cellStyle name="Input 21 2 2 4 2" xfId="23550"/>
    <cellStyle name="Input 21 2 2 4 2 2" xfId="23551"/>
    <cellStyle name="Input 21 2 2 4 2 2 2" xfId="23552"/>
    <cellStyle name="Input 21 2 2 4 2 3" xfId="23553"/>
    <cellStyle name="Input 21 2 2 4 2 3 2" xfId="23554"/>
    <cellStyle name="Input 21 2 2 4 2 4" xfId="23555"/>
    <cellStyle name="Input 21 2 2 4 2 5" xfId="23556"/>
    <cellStyle name="Input 21 2 2 4 2 6" xfId="23557"/>
    <cellStyle name="Input 21 2 2 4 3" xfId="23558"/>
    <cellStyle name="Input 21 2 2 4 3 2" xfId="23559"/>
    <cellStyle name="Input 21 2 2 4 4" xfId="23560"/>
    <cellStyle name="Input 21 2 2 4 4 2" xfId="23561"/>
    <cellStyle name="Input 21 2 2 4 5" xfId="23562"/>
    <cellStyle name="Input 21 2 2 4 6" xfId="23563"/>
    <cellStyle name="Input 21 2 2 4 7" xfId="23564"/>
    <cellStyle name="Input 21 2 2 5" xfId="23565"/>
    <cellStyle name="Input 21 2 2 5 2" xfId="23566"/>
    <cellStyle name="Input 21 2 2 5 2 2" xfId="23567"/>
    <cellStyle name="Input 21 2 2 5 3" xfId="23568"/>
    <cellStyle name="Input 21 2 2 5 3 2" xfId="23569"/>
    <cellStyle name="Input 21 2 2 5 4" xfId="23570"/>
    <cellStyle name="Input 21 2 2 5 5" xfId="23571"/>
    <cellStyle name="Input 21 2 2 5 6" xfId="23572"/>
    <cellStyle name="Input 21 2 2 6" xfId="23573"/>
    <cellStyle name="Input 21 2 2 6 2" xfId="23574"/>
    <cellStyle name="Input 21 2 2 7" xfId="23575"/>
    <cellStyle name="Input 21 2 2 7 2" xfId="23576"/>
    <cellStyle name="Input 21 2 2 8" xfId="23577"/>
    <cellStyle name="Input 21 2 2 9" xfId="23578"/>
    <cellStyle name="Input 21 2 3" xfId="23579"/>
    <cellStyle name="Input 21 2 3 2" xfId="23580"/>
    <cellStyle name="Input 21 2 3 2 2" xfId="23581"/>
    <cellStyle name="Input 21 2 3 2 2 2" xfId="23582"/>
    <cellStyle name="Input 21 2 3 2 2 2 2" xfId="23583"/>
    <cellStyle name="Input 21 2 3 2 2 3" xfId="23584"/>
    <cellStyle name="Input 21 2 3 2 2 3 2" xfId="23585"/>
    <cellStyle name="Input 21 2 3 2 2 4" xfId="23586"/>
    <cellStyle name="Input 21 2 3 2 2 5" xfId="23587"/>
    <cellStyle name="Input 21 2 3 2 2 6" xfId="23588"/>
    <cellStyle name="Input 21 2 3 2 3" xfId="23589"/>
    <cellStyle name="Input 21 2 3 2 3 2" xfId="23590"/>
    <cellStyle name="Input 21 2 3 2 4" xfId="23591"/>
    <cellStyle name="Input 21 2 3 2 4 2" xfId="23592"/>
    <cellStyle name="Input 21 2 3 2 5" xfId="23593"/>
    <cellStyle name="Input 21 2 3 2 6" xfId="23594"/>
    <cellStyle name="Input 21 2 3 2 7" xfId="23595"/>
    <cellStyle name="Input 21 2 3 3" xfId="23596"/>
    <cellStyle name="Input 21 2 3 3 2" xfId="23597"/>
    <cellStyle name="Input 21 2 3 3 2 2" xfId="23598"/>
    <cellStyle name="Input 21 2 3 3 3" xfId="23599"/>
    <cellStyle name="Input 21 2 3 3 3 2" xfId="23600"/>
    <cellStyle name="Input 21 2 3 3 4" xfId="23601"/>
    <cellStyle name="Input 21 2 3 3 5" xfId="23602"/>
    <cellStyle name="Input 21 2 3 3 6" xfId="23603"/>
    <cellStyle name="Input 21 2 3 4" xfId="23604"/>
    <cellStyle name="Input 21 2 3 4 2" xfId="23605"/>
    <cellStyle name="Input 21 2 3 5" xfId="23606"/>
    <cellStyle name="Input 21 2 3 5 2" xfId="23607"/>
    <cellStyle name="Input 21 2 3 6" xfId="23608"/>
    <cellStyle name="Input 21 2 3 7" xfId="23609"/>
    <cellStyle name="Input 21 2 3 8" xfId="23610"/>
    <cellStyle name="Input 21 2 4" xfId="23611"/>
    <cellStyle name="Input 21 2 4 2" xfId="23612"/>
    <cellStyle name="Input 21 2 4 2 2" xfId="23613"/>
    <cellStyle name="Input 21 2 4 2 2 2" xfId="23614"/>
    <cellStyle name="Input 21 2 4 2 2 2 2" xfId="23615"/>
    <cellStyle name="Input 21 2 4 2 2 3" xfId="23616"/>
    <cellStyle name="Input 21 2 4 2 2 3 2" xfId="23617"/>
    <cellStyle name="Input 21 2 4 2 2 4" xfId="23618"/>
    <cellStyle name="Input 21 2 4 2 2 5" xfId="23619"/>
    <cellStyle name="Input 21 2 4 2 2 6" xfId="23620"/>
    <cellStyle name="Input 21 2 4 2 3" xfId="23621"/>
    <cellStyle name="Input 21 2 4 2 3 2" xfId="23622"/>
    <cellStyle name="Input 21 2 4 2 4" xfId="23623"/>
    <cellStyle name="Input 21 2 4 2 4 2" xfId="23624"/>
    <cellStyle name="Input 21 2 4 2 5" xfId="23625"/>
    <cellStyle name="Input 21 2 4 2 6" xfId="23626"/>
    <cellStyle name="Input 21 2 4 2 7" xfId="23627"/>
    <cellStyle name="Input 21 2 4 3" xfId="23628"/>
    <cellStyle name="Input 21 2 4 3 2" xfId="23629"/>
    <cellStyle name="Input 21 2 4 3 2 2" xfId="23630"/>
    <cellStyle name="Input 21 2 4 3 3" xfId="23631"/>
    <cellStyle name="Input 21 2 4 3 3 2" xfId="23632"/>
    <cellStyle name="Input 21 2 4 3 4" xfId="23633"/>
    <cellStyle name="Input 21 2 4 3 5" xfId="23634"/>
    <cellStyle name="Input 21 2 4 3 6" xfId="23635"/>
    <cellStyle name="Input 21 2 4 4" xfId="23636"/>
    <cellStyle name="Input 21 2 4 4 2" xfId="23637"/>
    <cellStyle name="Input 21 2 4 5" xfId="23638"/>
    <cellStyle name="Input 21 2 4 5 2" xfId="23639"/>
    <cellStyle name="Input 21 2 4 6" xfId="23640"/>
    <cellStyle name="Input 21 2 4 7" xfId="23641"/>
    <cellStyle name="Input 21 2 4 8" xfId="23642"/>
    <cellStyle name="Input 21 2 5" xfId="23643"/>
    <cellStyle name="Input 21 2 5 2" xfId="23644"/>
    <cellStyle name="Input 21 2 5 2 2" xfId="23645"/>
    <cellStyle name="Input 21 2 5 2 2 2" xfId="23646"/>
    <cellStyle name="Input 21 2 5 2 3" xfId="23647"/>
    <cellStyle name="Input 21 2 5 2 3 2" xfId="23648"/>
    <cellStyle name="Input 21 2 5 2 4" xfId="23649"/>
    <cellStyle name="Input 21 2 5 2 5" xfId="23650"/>
    <cellStyle name="Input 21 2 5 2 6" xfId="23651"/>
    <cellStyle name="Input 21 2 5 3" xfId="23652"/>
    <cellStyle name="Input 21 2 5 3 2" xfId="23653"/>
    <cellStyle name="Input 21 2 5 4" xfId="23654"/>
    <cellStyle name="Input 21 2 5 4 2" xfId="23655"/>
    <cellStyle name="Input 21 2 5 5" xfId="23656"/>
    <cellStyle name="Input 21 2 5 6" xfId="23657"/>
    <cellStyle name="Input 21 2 5 7" xfId="23658"/>
    <cellStyle name="Input 21 2 6" xfId="23659"/>
    <cellStyle name="Input 21 2 6 2" xfId="23660"/>
    <cellStyle name="Input 21 2 6 2 2" xfId="23661"/>
    <cellStyle name="Input 21 2 6 3" xfId="23662"/>
    <cellStyle name="Input 21 2 6 3 2" xfId="23663"/>
    <cellStyle name="Input 21 2 6 4" xfId="23664"/>
    <cellStyle name="Input 21 2 6 5" xfId="23665"/>
    <cellStyle name="Input 21 2 6 6" xfId="23666"/>
    <cellStyle name="Input 21 2 7" xfId="23667"/>
    <cellStyle name="Input 21 2 7 2" xfId="23668"/>
    <cellStyle name="Input 21 2 8" xfId="23669"/>
    <cellStyle name="Input 21 2 8 2" xfId="23670"/>
    <cellStyle name="Input 21 2 9" xfId="23671"/>
    <cellStyle name="Input 21 3" xfId="23672"/>
    <cellStyle name="Input 21 3 10" xfId="23673"/>
    <cellStyle name="Input 21 3 2" xfId="23674"/>
    <cellStyle name="Input 21 3 2 10" xfId="23675"/>
    <cellStyle name="Input 21 3 2 2" xfId="23676"/>
    <cellStyle name="Input 21 3 2 2 2" xfId="23677"/>
    <cellStyle name="Input 21 3 2 2 2 2" xfId="23678"/>
    <cellStyle name="Input 21 3 2 2 2 2 2" xfId="23679"/>
    <cellStyle name="Input 21 3 2 2 2 2 2 2" xfId="23680"/>
    <cellStyle name="Input 21 3 2 2 2 2 3" xfId="23681"/>
    <cellStyle name="Input 21 3 2 2 2 2 3 2" xfId="23682"/>
    <cellStyle name="Input 21 3 2 2 2 2 4" xfId="23683"/>
    <cellStyle name="Input 21 3 2 2 2 2 5" xfId="23684"/>
    <cellStyle name="Input 21 3 2 2 2 2 6" xfId="23685"/>
    <cellStyle name="Input 21 3 2 2 2 3" xfId="23686"/>
    <cellStyle name="Input 21 3 2 2 2 3 2" xfId="23687"/>
    <cellStyle name="Input 21 3 2 2 2 4" xfId="23688"/>
    <cellStyle name="Input 21 3 2 2 2 4 2" xfId="23689"/>
    <cellStyle name="Input 21 3 2 2 2 5" xfId="23690"/>
    <cellStyle name="Input 21 3 2 2 2 6" xfId="23691"/>
    <cellStyle name="Input 21 3 2 2 2 7" xfId="23692"/>
    <cellStyle name="Input 21 3 2 2 3" xfId="23693"/>
    <cellStyle name="Input 21 3 2 2 3 2" xfId="23694"/>
    <cellStyle name="Input 21 3 2 2 3 2 2" xfId="23695"/>
    <cellStyle name="Input 21 3 2 2 3 3" xfId="23696"/>
    <cellStyle name="Input 21 3 2 2 3 3 2" xfId="23697"/>
    <cellStyle name="Input 21 3 2 2 3 4" xfId="23698"/>
    <cellStyle name="Input 21 3 2 2 3 5" xfId="23699"/>
    <cellStyle name="Input 21 3 2 2 3 6" xfId="23700"/>
    <cellStyle name="Input 21 3 2 2 4" xfId="23701"/>
    <cellStyle name="Input 21 3 2 2 4 2" xfId="23702"/>
    <cellStyle name="Input 21 3 2 2 5" xfId="23703"/>
    <cellStyle name="Input 21 3 2 2 5 2" xfId="23704"/>
    <cellStyle name="Input 21 3 2 2 6" xfId="23705"/>
    <cellStyle name="Input 21 3 2 2 7" xfId="23706"/>
    <cellStyle name="Input 21 3 2 2 8" xfId="23707"/>
    <cellStyle name="Input 21 3 2 3" xfId="23708"/>
    <cellStyle name="Input 21 3 2 3 2" xfId="23709"/>
    <cellStyle name="Input 21 3 2 3 2 2" xfId="23710"/>
    <cellStyle name="Input 21 3 2 3 2 2 2" xfId="23711"/>
    <cellStyle name="Input 21 3 2 3 2 2 2 2" xfId="23712"/>
    <cellStyle name="Input 21 3 2 3 2 2 3" xfId="23713"/>
    <cellStyle name="Input 21 3 2 3 2 2 3 2" xfId="23714"/>
    <cellStyle name="Input 21 3 2 3 2 2 4" xfId="23715"/>
    <cellStyle name="Input 21 3 2 3 2 2 5" xfId="23716"/>
    <cellStyle name="Input 21 3 2 3 2 2 6" xfId="23717"/>
    <cellStyle name="Input 21 3 2 3 2 3" xfId="23718"/>
    <cellStyle name="Input 21 3 2 3 2 3 2" xfId="23719"/>
    <cellStyle name="Input 21 3 2 3 2 4" xfId="23720"/>
    <cellStyle name="Input 21 3 2 3 2 4 2" xfId="23721"/>
    <cellStyle name="Input 21 3 2 3 2 5" xfId="23722"/>
    <cellStyle name="Input 21 3 2 3 2 6" xfId="23723"/>
    <cellStyle name="Input 21 3 2 3 2 7" xfId="23724"/>
    <cellStyle name="Input 21 3 2 3 3" xfId="23725"/>
    <cellStyle name="Input 21 3 2 3 3 2" xfId="23726"/>
    <cellStyle name="Input 21 3 2 3 3 2 2" xfId="23727"/>
    <cellStyle name="Input 21 3 2 3 3 3" xfId="23728"/>
    <cellStyle name="Input 21 3 2 3 3 3 2" xfId="23729"/>
    <cellStyle name="Input 21 3 2 3 3 4" xfId="23730"/>
    <cellStyle name="Input 21 3 2 3 3 5" xfId="23731"/>
    <cellStyle name="Input 21 3 2 3 3 6" xfId="23732"/>
    <cellStyle name="Input 21 3 2 3 4" xfId="23733"/>
    <cellStyle name="Input 21 3 2 3 4 2" xfId="23734"/>
    <cellStyle name="Input 21 3 2 3 5" xfId="23735"/>
    <cellStyle name="Input 21 3 2 3 5 2" xfId="23736"/>
    <cellStyle name="Input 21 3 2 3 6" xfId="23737"/>
    <cellStyle name="Input 21 3 2 3 7" xfId="23738"/>
    <cellStyle name="Input 21 3 2 3 8" xfId="23739"/>
    <cellStyle name="Input 21 3 2 4" xfId="23740"/>
    <cellStyle name="Input 21 3 2 4 2" xfId="23741"/>
    <cellStyle name="Input 21 3 2 4 2 2" xfId="23742"/>
    <cellStyle name="Input 21 3 2 4 2 2 2" xfId="23743"/>
    <cellStyle name="Input 21 3 2 4 2 3" xfId="23744"/>
    <cellStyle name="Input 21 3 2 4 2 3 2" xfId="23745"/>
    <cellStyle name="Input 21 3 2 4 2 4" xfId="23746"/>
    <cellStyle name="Input 21 3 2 4 2 5" xfId="23747"/>
    <cellStyle name="Input 21 3 2 4 2 6" xfId="23748"/>
    <cellStyle name="Input 21 3 2 4 3" xfId="23749"/>
    <cellStyle name="Input 21 3 2 4 3 2" xfId="23750"/>
    <cellStyle name="Input 21 3 2 4 4" xfId="23751"/>
    <cellStyle name="Input 21 3 2 4 4 2" xfId="23752"/>
    <cellStyle name="Input 21 3 2 4 5" xfId="23753"/>
    <cellStyle name="Input 21 3 2 4 6" xfId="23754"/>
    <cellStyle name="Input 21 3 2 4 7" xfId="23755"/>
    <cellStyle name="Input 21 3 2 5" xfId="23756"/>
    <cellStyle name="Input 21 3 2 5 2" xfId="23757"/>
    <cellStyle name="Input 21 3 2 5 2 2" xfId="23758"/>
    <cellStyle name="Input 21 3 2 5 3" xfId="23759"/>
    <cellStyle name="Input 21 3 2 5 3 2" xfId="23760"/>
    <cellStyle name="Input 21 3 2 5 4" xfId="23761"/>
    <cellStyle name="Input 21 3 2 5 5" xfId="23762"/>
    <cellStyle name="Input 21 3 2 5 6" xfId="23763"/>
    <cellStyle name="Input 21 3 2 6" xfId="23764"/>
    <cellStyle name="Input 21 3 2 6 2" xfId="23765"/>
    <cellStyle name="Input 21 3 2 7" xfId="23766"/>
    <cellStyle name="Input 21 3 2 7 2" xfId="23767"/>
    <cellStyle name="Input 21 3 2 8" xfId="23768"/>
    <cellStyle name="Input 21 3 2 9" xfId="23769"/>
    <cellStyle name="Input 21 3 3" xfId="23770"/>
    <cellStyle name="Input 21 3 3 2" xfId="23771"/>
    <cellStyle name="Input 21 3 3 2 2" xfId="23772"/>
    <cellStyle name="Input 21 3 3 2 2 2" xfId="23773"/>
    <cellStyle name="Input 21 3 3 2 2 2 2" xfId="23774"/>
    <cellStyle name="Input 21 3 3 2 2 3" xfId="23775"/>
    <cellStyle name="Input 21 3 3 2 2 3 2" xfId="23776"/>
    <cellStyle name="Input 21 3 3 2 2 4" xfId="23777"/>
    <cellStyle name="Input 21 3 3 2 2 5" xfId="23778"/>
    <cellStyle name="Input 21 3 3 2 2 6" xfId="23779"/>
    <cellStyle name="Input 21 3 3 2 3" xfId="23780"/>
    <cellStyle name="Input 21 3 3 2 3 2" xfId="23781"/>
    <cellStyle name="Input 21 3 3 2 4" xfId="23782"/>
    <cellStyle name="Input 21 3 3 2 4 2" xfId="23783"/>
    <cellStyle name="Input 21 3 3 2 5" xfId="23784"/>
    <cellStyle name="Input 21 3 3 2 6" xfId="23785"/>
    <cellStyle name="Input 21 3 3 2 7" xfId="23786"/>
    <cellStyle name="Input 21 3 3 3" xfId="23787"/>
    <cellStyle name="Input 21 3 3 3 2" xfId="23788"/>
    <cellStyle name="Input 21 3 3 3 2 2" xfId="23789"/>
    <cellStyle name="Input 21 3 3 3 3" xfId="23790"/>
    <cellStyle name="Input 21 3 3 3 3 2" xfId="23791"/>
    <cellStyle name="Input 21 3 3 3 4" xfId="23792"/>
    <cellStyle name="Input 21 3 3 3 5" xfId="23793"/>
    <cellStyle name="Input 21 3 3 3 6" xfId="23794"/>
    <cellStyle name="Input 21 3 3 4" xfId="23795"/>
    <cellStyle name="Input 21 3 3 4 2" xfId="23796"/>
    <cellStyle name="Input 21 3 3 5" xfId="23797"/>
    <cellStyle name="Input 21 3 3 5 2" xfId="23798"/>
    <cellStyle name="Input 21 3 3 6" xfId="23799"/>
    <cellStyle name="Input 21 3 3 7" xfId="23800"/>
    <cellStyle name="Input 21 3 3 8" xfId="23801"/>
    <cellStyle name="Input 21 3 4" xfId="23802"/>
    <cellStyle name="Input 21 3 4 2" xfId="23803"/>
    <cellStyle name="Input 21 3 4 2 2" xfId="23804"/>
    <cellStyle name="Input 21 3 4 2 2 2" xfId="23805"/>
    <cellStyle name="Input 21 3 4 2 3" xfId="23806"/>
    <cellStyle name="Input 21 3 4 2 3 2" xfId="23807"/>
    <cellStyle name="Input 21 3 4 2 4" xfId="23808"/>
    <cellStyle name="Input 21 3 4 2 5" xfId="23809"/>
    <cellStyle name="Input 21 3 4 2 6" xfId="23810"/>
    <cellStyle name="Input 21 3 4 3" xfId="23811"/>
    <cellStyle name="Input 21 3 4 3 2" xfId="23812"/>
    <cellStyle name="Input 21 3 4 4" xfId="23813"/>
    <cellStyle name="Input 21 3 4 4 2" xfId="23814"/>
    <cellStyle name="Input 21 3 4 5" xfId="23815"/>
    <cellStyle name="Input 21 3 4 6" xfId="23816"/>
    <cellStyle name="Input 21 3 4 7" xfId="23817"/>
    <cellStyle name="Input 21 3 5" xfId="23818"/>
    <cellStyle name="Input 21 3 5 2" xfId="23819"/>
    <cellStyle name="Input 21 3 5 2 2" xfId="23820"/>
    <cellStyle name="Input 21 3 5 3" xfId="23821"/>
    <cellStyle name="Input 21 3 5 3 2" xfId="23822"/>
    <cellStyle name="Input 21 3 5 4" xfId="23823"/>
    <cellStyle name="Input 21 3 5 5" xfId="23824"/>
    <cellStyle name="Input 21 3 5 6" xfId="23825"/>
    <cellStyle name="Input 21 3 6" xfId="23826"/>
    <cellStyle name="Input 21 3 6 2" xfId="23827"/>
    <cellStyle name="Input 21 3 7" xfId="23828"/>
    <cellStyle name="Input 21 3 7 2" xfId="23829"/>
    <cellStyle name="Input 21 3 8" xfId="23830"/>
    <cellStyle name="Input 21 3 9" xfId="23831"/>
    <cellStyle name="Input 21 4" xfId="23832"/>
    <cellStyle name="Input 21 4 10" xfId="23833"/>
    <cellStyle name="Input 21 4 2" xfId="23834"/>
    <cellStyle name="Input 21 4 2 2" xfId="23835"/>
    <cellStyle name="Input 21 4 2 2 2" xfId="23836"/>
    <cellStyle name="Input 21 4 2 2 2 2" xfId="23837"/>
    <cellStyle name="Input 21 4 2 2 2 2 2" xfId="23838"/>
    <cellStyle name="Input 21 4 2 2 2 3" xfId="23839"/>
    <cellStyle name="Input 21 4 2 2 2 3 2" xfId="23840"/>
    <cellStyle name="Input 21 4 2 2 2 4" xfId="23841"/>
    <cellStyle name="Input 21 4 2 2 2 5" xfId="23842"/>
    <cellStyle name="Input 21 4 2 2 2 6" xfId="23843"/>
    <cellStyle name="Input 21 4 2 2 3" xfId="23844"/>
    <cellStyle name="Input 21 4 2 2 3 2" xfId="23845"/>
    <cellStyle name="Input 21 4 2 2 4" xfId="23846"/>
    <cellStyle name="Input 21 4 2 2 4 2" xfId="23847"/>
    <cellStyle name="Input 21 4 2 2 5" xfId="23848"/>
    <cellStyle name="Input 21 4 2 2 6" xfId="23849"/>
    <cellStyle name="Input 21 4 2 2 7" xfId="23850"/>
    <cellStyle name="Input 21 4 2 3" xfId="23851"/>
    <cellStyle name="Input 21 4 2 3 2" xfId="23852"/>
    <cellStyle name="Input 21 4 2 3 2 2" xfId="23853"/>
    <cellStyle name="Input 21 4 2 3 3" xfId="23854"/>
    <cellStyle name="Input 21 4 2 3 3 2" xfId="23855"/>
    <cellStyle name="Input 21 4 2 3 4" xfId="23856"/>
    <cellStyle name="Input 21 4 2 3 5" xfId="23857"/>
    <cellStyle name="Input 21 4 2 3 6" xfId="23858"/>
    <cellStyle name="Input 21 4 2 4" xfId="23859"/>
    <cellStyle name="Input 21 4 2 4 2" xfId="23860"/>
    <cellStyle name="Input 21 4 2 5" xfId="23861"/>
    <cellStyle name="Input 21 4 2 5 2" xfId="23862"/>
    <cellStyle name="Input 21 4 2 6" xfId="23863"/>
    <cellStyle name="Input 21 4 2 7" xfId="23864"/>
    <cellStyle name="Input 21 4 2 8" xfId="23865"/>
    <cellStyle name="Input 21 4 3" xfId="23866"/>
    <cellStyle name="Input 21 4 3 2" xfId="23867"/>
    <cellStyle name="Input 21 4 3 2 2" xfId="23868"/>
    <cellStyle name="Input 21 4 3 2 2 2" xfId="23869"/>
    <cellStyle name="Input 21 4 3 2 2 2 2" xfId="23870"/>
    <cellStyle name="Input 21 4 3 2 2 3" xfId="23871"/>
    <cellStyle name="Input 21 4 3 2 2 3 2" xfId="23872"/>
    <cellStyle name="Input 21 4 3 2 2 4" xfId="23873"/>
    <cellStyle name="Input 21 4 3 2 2 5" xfId="23874"/>
    <cellStyle name="Input 21 4 3 2 2 6" xfId="23875"/>
    <cellStyle name="Input 21 4 3 2 3" xfId="23876"/>
    <cellStyle name="Input 21 4 3 2 3 2" xfId="23877"/>
    <cellStyle name="Input 21 4 3 2 4" xfId="23878"/>
    <cellStyle name="Input 21 4 3 2 4 2" xfId="23879"/>
    <cellStyle name="Input 21 4 3 2 5" xfId="23880"/>
    <cellStyle name="Input 21 4 3 2 6" xfId="23881"/>
    <cellStyle name="Input 21 4 3 2 7" xfId="23882"/>
    <cellStyle name="Input 21 4 3 3" xfId="23883"/>
    <cellStyle name="Input 21 4 3 3 2" xfId="23884"/>
    <cellStyle name="Input 21 4 3 3 2 2" xfId="23885"/>
    <cellStyle name="Input 21 4 3 3 3" xfId="23886"/>
    <cellStyle name="Input 21 4 3 3 3 2" xfId="23887"/>
    <cellStyle name="Input 21 4 3 3 4" xfId="23888"/>
    <cellStyle name="Input 21 4 3 3 5" xfId="23889"/>
    <cellStyle name="Input 21 4 3 3 6" xfId="23890"/>
    <cellStyle name="Input 21 4 3 4" xfId="23891"/>
    <cellStyle name="Input 21 4 3 4 2" xfId="23892"/>
    <cellStyle name="Input 21 4 3 5" xfId="23893"/>
    <cellStyle name="Input 21 4 3 5 2" xfId="23894"/>
    <cellStyle name="Input 21 4 3 6" xfId="23895"/>
    <cellStyle name="Input 21 4 3 7" xfId="23896"/>
    <cellStyle name="Input 21 4 3 8" xfId="23897"/>
    <cellStyle name="Input 21 4 4" xfId="23898"/>
    <cellStyle name="Input 21 4 4 2" xfId="23899"/>
    <cellStyle name="Input 21 4 4 2 2" xfId="23900"/>
    <cellStyle name="Input 21 4 4 2 2 2" xfId="23901"/>
    <cellStyle name="Input 21 4 4 2 3" xfId="23902"/>
    <cellStyle name="Input 21 4 4 2 3 2" xfId="23903"/>
    <cellStyle name="Input 21 4 4 2 4" xfId="23904"/>
    <cellStyle name="Input 21 4 4 2 5" xfId="23905"/>
    <cellStyle name="Input 21 4 4 2 6" xfId="23906"/>
    <cellStyle name="Input 21 4 4 3" xfId="23907"/>
    <cellStyle name="Input 21 4 4 3 2" xfId="23908"/>
    <cellStyle name="Input 21 4 4 4" xfId="23909"/>
    <cellStyle name="Input 21 4 4 4 2" xfId="23910"/>
    <cellStyle name="Input 21 4 4 5" xfId="23911"/>
    <cellStyle name="Input 21 4 4 6" xfId="23912"/>
    <cellStyle name="Input 21 4 4 7" xfId="23913"/>
    <cellStyle name="Input 21 4 5" xfId="23914"/>
    <cellStyle name="Input 21 4 5 2" xfId="23915"/>
    <cellStyle name="Input 21 4 5 2 2" xfId="23916"/>
    <cellStyle name="Input 21 4 5 3" xfId="23917"/>
    <cellStyle name="Input 21 4 5 3 2" xfId="23918"/>
    <cellStyle name="Input 21 4 5 4" xfId="23919"/>
    <cellStyle name="Input 21 4 5 5" xfId="23920"/>
    <cellStyle name="Input 21 4 5 6" xfId="23921"/>
    <cellStyle name="Input 21 4 6" xfId="23922"/>
    <cellStyle name="Input 21 4 6 2" xfId="23923"/>
    <cellStyle name="Input 21 4 7" xfId="23924"/>
    <cellStyle name="Input 21 4 7 2" xfId="23925"/>
    <cellStyle name="Input 21 4 8" xfId="23926"/>
    <cellStyle name="Input 21 4 9" xfId="23927"/>
    <cellStyle name="Input 21 5" xfId="23928"/>
    <cellStyle name="Input 21 5 2" xfId="23929"/>
    <cellStyle name="Input 21 5 2 2" xfId="23930"/>
    <cellStyle name="Input 21 5 2 2 2" xfId="23931"/>
    <cellStyle name="Input 21 5 2 2 2 2" xfId="23932"/>
    <cellStyle name="Input 21 5 2 2 3" xfId="23933"/>
    <cellStyle name="Input 21 5 2 2 3 2" xfId="23934"/>
    <cellStyle name="Input 21 5 2 2 4" xfId="23935"/>
    <cellStyle name="Input 21 5 2 2 5" xfId="23936"/>
    <cellStyle name="Input 21 5 2 2 6" xfId="23937"/>
    <cellStyle name="Input 21 5 2 3" xfId="23938"/>
    <cellStyle name="Input 21 5 2 3 2" xfId="23939"/>
    <cellStyle name="Input 21 5 2 4" xfId="23940"/>
    <cellStyle name="Input 21 5 2 4 2" xfId="23941"/>
    <cellStyle name="Input 21 5 2 5" xfId="23942"/>
    <cellStyle name="Input 21 5 2 6" xfId="23943"/>
    <cellStyle name="Input 21 5 2 7" xfId="23944"/>
    <cellStyle name="Input 21 5 3" xfId="23945"/>
    <cellStyle name="Input 21 5 3 2" xfId="23946"/>
    <cellStyle name="Input 21 5 3 2 2" xfId="23947"/>
    <cellStyle name="Input 21 5 3 3" xfId="23948"/>
    <cellStyle name="Input 21 5 3 3 2" xfId="23949"/>
    <cellStyle name="Input 21 5 3 4" xfId="23950"/>
    <cellStyle name="Input 21 5 3 5" xfId="23951"/>
    <cellStyle name="Input 21 5 3 6" xfId="23952"/>
    <cellStyle name="Input 21 5 4" xfId="23953"/>
    <cellStyle name="Input 21 5 4 2" xfId="23954"/>
    <cellStyle name="Input 21 5 5" xfId="23955"/>
    <cellStyle name="Input 21 5 5 2" xfId="23956"/>
    <cellStyle name="Input 21 5 6" xfId="23957"/>
    <cellStyle name="Input 21 5 7" xfId="23958"/>
    <cellStyle name="Input 21 5 8" xfId="23959"/>
    <cellStyle name="Input 21 6" xfId="23960"/>
    <cellStyle name="Input 21 6 2" xfId="23961"/>
    <cellStyle name="Input 21 6 2 2" xfId="23962"/>
    <cellStyle name="Input 21 6 2 2 2" xfId="23963"/>
    <cellStyle name="Input 21 6 2 3" xfId="23964"/>
    <cellStyle name="Input 21 6 2 3 2" xfId="23965"/>
    <cellStyle name="Input 21 6 2 4" xfId="23966"/>
    <cellStyle name="Input 21 6 2 5" xfId="23967"/>
    <cellStyle name="Input 21 6 2 6" xfId="23968"/>
    <cellStyle name="Input 21 6 3" xfId="23969"/>
    <cellStyle name="Input 21 6 3 2" xfId="23970"/>
    <cellStyle name="Input 21 6 4" xfId="23971"/>
    <cellStyle name="Input 21 6 4 2" xfId="23972"/>
    <cellStyle name="Input 21 6 5" xfId="23973"/>
    <cellStyle name="Input 21 6 6" xfId="23974"/>
    <cellStyle name="Input 21 6 7" xfId="23975"/>
    <cellStyle name="Input 21 7" xfId="23976"/>
    <cellStyle name="Input 21 7 2" xfId="23977"/>
    <cellStyle name="Input 21 7 2 2" xfId="23978"/>
    <cellStyle name="Input 21 7 3" xfId="23979"/>
    <cellStyle name="Input 21 7 3 2" xfId="23980"/>
    <cellStyle name="Input 21 7 4" xfId="23981"/>
    <cellStyle name="Input 21 7 5" xfId="23982"/>
    <cellStyle name="Input 21 7 6" xfId="23983"/>
    <cellStyle name="Input 21 8" xfId="23984"/>
    <cellStyle name="Input 21 8 2" xfId="23985"/>
    <cellStyle name="Input 21 9" xfId="23986"/>
    <cellStyle name="Input 21 9 2" xfId="23987"/>
    <cellStyle name="Input 22" xfId="23988"/>
    <cellStyle name="Input 22 10" xfId="23989"/>
    <cellStyle name="Input 22 11" xfId="23990"/>
    <cellStyle name="Input 22 12" xfId="23991"/>
    <cellStyle name="Input 22 2" xfId="23992"/>
    <cellStyle name="Input 22 2 10" xfId="23993"/>
    <cellStyle name="Input 22 2 11" xfId="23994"/>
    <cellStyle name="Input 22 2 2" xfId="23995"/>
    <cellStyle name="Input 22 2 2 10" xfId="23996"/>
    <cellStyle name="Input 22 2 2 2" xfId="23997"/>
    <cellStyle name="Input 22 2 2 2 2" xfId="23998"/>
    <cellStyle name="Input 22 2 2 2 2 2" xfId="23999"/>
    <cellStyle name="Input 22 2 2 2 2 2 2" xfId="24000"/>
    <cellStyle name="Input 22 2 2 2 2 2 2 2" xfId="24001"/>
    <cellStyle name="Input 22 2 2 2 2 2 3" xfId="24002"/>
    <cellStyle name="Input 22 2 2 2 2 2 3 2" xfId="24003"/>
    <cellStyle name="Input 22 2 2 2 2 2 4" xfId="24004"/>
    <cellStyle name="Input 22 2 2 2 2 2 5" xfId="24005"/>
    <cellStyle name="Input 22 2 2 2 2 2 6" xfId="24006"/>
    <cellStyle name="Input 22 2 2 2 2 3" xfId="24007"/>
    <cellStyle name="Input 22 2 2 2 2 3 2" xfId="24008"/>
    <cellStyle name="Input 22 2 2 2 2 4" xfId="24009"/>
    <cellStyle name="Input 22 2 2 2 2 4 2" xfId="24010"/>
    <cellStyle name="Input 22 2 2 2 2 5" xfId="24011"/>
    <cellStyle name="Input 22 2 2 2 2 6" xfId="24012"/>
    <cellStyle name="Input 22 2 2 2 2 7" xfId="24013"/>
    <cellStyle name="Input 22 2 2 2 3" xfId="24014"/>
    <cellStyle name="Input 22 2 2 2 3 2" xfId="24015"/>
    <cellStyle name="Input 22 2 2 2 3 2 2" xfId="24016"/>
    <cellStyle name="Input 22 2 2 2 3 3" xfId="24017"/>
    <cellStyle name="Input 22 2 2 2 3 3 2" xfId="24018"/>
    <cellStyle name="Input 22 2 2 2 3 4" xfId="24019"/>
    <cellStyle name="Input 22 2 2 2 3 5" xfId="24020"/>
    <cellStyle name="Input 22 2 2 2 3 6" xfId="24021"/>
    <cellStyle name="Input 22 2 2 2 4" xfId="24022"/>
    <cellStyle name="Input 22 2 2 2 4 2" xfId="24023"/>
    <cellStyle name="Input 22 2 2 2 5" xfId="24024"/>
    <cellStyle name="Input 22 2 2 2 5 2" xfId="24025"/>
    <cellStyle name="Input 22 2 2 2 6" xfId="24026"/>
    <cellStyle name="Input 22 2 2 2 7" xfId="24027"/>
    <cellStyle name="Input 22 2 2 2 8" xfId="24028"/>
    <cellStyle name="Input 22 2 2 3" xfId="24029"/>
    <cellStyle name="Input 22 2 2 3 2" xfId="24030"/>
    <cellStyle name="Input 22 2 2 3 2 2" xfId="24031"/>
    <cellStyle name="Input 22 2 2 3 2 2 2" xfId="24032"/>
    <cellStyle name="Input 22 2 2 3 2 2 2 2" xfId="24033"/>
    <cellStyle name="Input 22 2 2 3 2 2 3" xfId="24034"/>
    <cellStyle name="Input 22 2 2 3 2 2 3 2" xfId="24035"/>
    <cellStyle name="Input 22 2 2 3 2 2 4" xfId="24036"/>
    <cellStyle name="Input 22 2 2 3 2 2 5" xfId="24037"/>
    <cellStyle name="Input 22 2 2 3 2 2 6" xfId="24038"/>
    <cellStyle name="Input 22 2 2 3 2 3" xfId="24039"/>
    <cellStyle name="Input 22 2 2 3 2 3 2" xfId="24040"/>
    <cellStyle name="Input 22 2 2 3 2 4" xfId="24041"/>
    <cellStyle name="Input 22 2 2 3 2 4 2" xfId="24042"/>
    <cellStyle name="Input 22 2 2 3 2 5" xfId="24043"/>
    <cellStyle name="Input 22 2 2 3 2 6" xfId="24044"/>
    <cellStyle name="Input 22 2 2 3 2 7" xfId="24045"/>
    <cellStyle name="Input 22 2 2 3 3" xfId="24046"/>
    <cellStyle name="Input 22 2 2 3 3 2" xfId="24047"/>
    <cellStyle name="Input 22 2 2 3 3 2 2" xfId="24048"/>
    <cellStyle name="Input 22 2 2 3 3 3" xfId="24049"/>
    <cellStyle name="Input 22 2 2 3 3 3 2" xfId="24050"/>
    <cellStyle name="Input 22 2 2 3 3 4" xfId="24051"/>
    <cellStyle name="Input 22 2 2 3 3 5" xfId="24052"/>
    <cellStyle name="Input 22 2 2 3 3 6" xfId="24053"/>
    <cellStyle name="Input 22 2 2 3 4" xfId="24054"/>
    <cellStyle name="Input 22 2 2 3 4 2" xfId="24055"/>
    <cellStyle name="Input 22 2 2 3 5" xfId="24056"/>
    <cellStyle name="Input 22 2 2 3 5 2" xfId="24057"/>
    <cellStyle name="Input 22 2 2 3 6" xfId="24058"/>
    <cellStyle name="Input 22 2 2 3 7" xfId="24059"/>
    <cellStyle name="Input 22 2 2 3 8" xfId="24060"/>
    <cellStyle name="Input 22 2 2 4" xfId="24061"/>
    <cellStyle name="Input 22 2 2 4 2" xfId="24062"/>
    <cellStyle name="Input 22 2 2 4 2 2" xfId="24063"/>
    <cellStyle name="Input 22 2 2 4 2 2 2" xfId="24064"/>
    <cellStyle name="Input 22 2 2 4 2 3" xfId="24065"/>
    <cellStyle name="Input 22 2 2 4 2 3 2" xfId="24066"/>
    <cellStyle name="Input 22 2 2 4 2 4" xfId="24067"/>
    <cellStyle name="Input 22 2 2 4 2 5" xfId="24068"/>
    <cellStyle name="Input 22 2 2 4 2 6" xfId="24069"/>
    <cellStyle name="Input 22 2 2 4 3" xfId="24070"/>
    <cellStyle name="Input 22 2 2 4 3 2" xfId="24071"/>
    <cellStyle name="Input 22 2 2 4 4" xfId="24072"/>
    <cellStyle name="Input 22 2 2 4 4 2" xfId="24073"/>
    <cellStyle name="Input 22 2 2 4 5" xfId="24074"/>
    <cellStyle name="Input 22 2 2 4 6" xfId="24075"/>
    <cellStyle name="Input 22 2 2 4 7" xfId="24076"/>
    <cellStyle name="Input 22 2 2 5" xfId="24077"/>
    <cellStyle name="Input 22 2 2 5 2" xfId="24078"/>
    <cellStyle name="Input 22 2 2 5 2 2" xfId="24079"/>
    <cellStyle name="Input 22 2 2 5 3" xfId="24080"/>
    <cellStyle name="Input 22 2 2 5 3 2" xfId="24081"/>
    <cellStyle name="Input 22 2 2 5 4" xfId="24082"/>
    <cellStyle name="Input 22 2 2 5 5" xfId="24083"/>
    <cellStyle name="Input 22 2 2 5 6" xfId="24084"/>
    <cellStyle name="Input 22 2 2 6" xfId="24085"/>
    <cellStyle name="Input 22 2 2 6 2" xfId="24086"/>
    <cellStyle name="Input 22 2 2 7" xfId="24087"/>
    <cellStyle name="Input 22 2 2 7 2" xfId="24088"/>
    <cellStyle name="Input 22 2 2 8" xfId="24089"/>
    <cellStyle name="Input 22 2 2 9" xfId="24090"/>
    <cellStyle name="Input 22 2 3" xfId="24091"/>
    <cellStyle name="Input 22 2 3 2" xfId="24092"/>
    <cellStyle name="Input 22 2 3 2 2" xfId="24093"/>
    <cellStyle name="Input 22 2 3 2 2 2" xfId="24094"/>
    <cellStyle name="Input 22 2 3 2 2 2 2" xfId="24095"/>
    <cellStyle name="Input 22 2 3 2 2 3" xfId="24096"/>
    <cellStyle name="Input 22 2 3 2 2 3 2" xfId="24097"/>
    <cellStyle name="Input 22 2 3 2 2 4" xfId="24098"/>
    <cellStyle name="Input 22 2 3 2 2 5" xfId="24099"/>
    <cellStyle name="Input 22 2 3 2 2 6" xfId="24100"/>
    <cellStyle name="Input 22 2 3 2 3" xfId="24101"/>
    <cellStyle name="Input 22 2 3 2 3 2" xfId="24102"/>
    <cellStyle name="Input 22 2 3 2 4" xfId="24103"/>
    <cellStyle name="Input 22 2 3 2 4 2" xfId="24104"/>
    <cellStyle name="Input 22 2 3 2 5" xfId="24105"/>
    <cellStyle name="Input 22 2 3 2 6" xfId="24106"/>
    <cellStyle name="Input 22 2 3 2 7" xfId="24107"/>
    <cellStyle name="Input 22 2 3 3" xfId="24108"/>
    <cellStyle name="Input 22 2 3 3 2" xfId="24109"/>
    <cellStyle name="Input 22 2 3 3 2 2" xfId="24110"/>
    <cellStyle name="Input 22 2 3 3 3" xfId="24111"/>
    <cellStyle name="Input 22 2 3 3 3 2" xfId="24112"/>
    <cellStyle name="Input 22 2 3 3 4" xfId="24113"/>
    <cellStyle name="Input 22 2 3 3 5" xfId="24114"/>
    <cellStyle name="Input 22 2 3 3 6" xfId="24115"/>
    <cellStyle name="Input 22 2 3 4" xfId="24116"/>
    <cellStyle name="Input 22 2 3 4 2" xfId="24117"/>
    <cellStyle name="Input 22 2 3 5" xfId="24118"/>
    <cellStyle name="Input 22 2 3 5 2" xfId="24119"/>
    <cellStyle name="Input 22 2 3 6" xfId="24120"/>
    <cellStyle name="Input 22 2 3 7" xfId="24121"/>
    <cellStyle name="Input 22 2 3 8" xfId="24122"/>
    <cellStyle name="Input 22 2 4" xfId="24123"/>
    <cellStyle name="Input 22 2 4 2" xfId="24124"/>
    <cellStyle name="Input 22 2 4 2 2" xfId="24125"/>
    <cellStyle name="Input 22 2 4 2 2 2" xfId="24126"/>
    <cellStyle name="Input 22 2 4 2 2 2 2" xfId="24127"/>
    <cellStyle name="Input 22 2 4 2 2 3" xfId="24128"/>
    <cellStyle name="Input 22 2 4 2 2 3 2" xfId="24129"/>
    <cellStyle name="Input 22 2 4 2 2 4" xfId="24130"/>
    <cellStyle name="Input 22 2 4 2 2 5" xfId="24131"/>
    <cellStyle name="Input 22 2 4 2 2 6" xfId="24132"/>
    <cellStyle name="Input 22 2 4 2 3" xfId="24133"/>
    <cellStyle name="Input 22 2 4 2 3 2" xfId="24134"/>
    <cellStyle name="Input 22 2 4 2 4" xfId="24135"/>
    <cellStyle name="Input 22 2 4 2 4 2" xfId="24136"/>
    <cellStyle name="Input 22 2 4 2 5" xfId="24137"/>
    <cellStyle name="Input 22 2 4 2 6" xfId="24138"/>
    <cellStyle name="Input 22 2 4 2 7" xfId="24139"/>
    <cellStyle name="Input 22 2 4 3" xfId="24140"/>
    <cellStyle name="Input 22 2 4 3 2" xfId="24141"/>
    <cellStyle name="Input 22 2 4 3 2 2" xfId="24142"/>
    <cellStyle name="Input 22 2 4 3 3" xfId="24143"/>
    <cellStyle name="Input 22 2 4 3 3 2" xfId="24144"/>
    <cellStyle name="Input 22 2 4 3 4" xfId="24145"/>
    <cellStyle name="Input 22 2 4 3 5" xfId="24146"/>
    <cellStyle name="Input 22 2 4 3 6" xfId="24147"/>
    <cellStyle name="Input 22 2 4 4" xfId="24148"/>
    <cellStyle name="Input 22 2 4 4 2" xfId="24149"/>
    <cellStyle name="Input 22 2 4 5" xfId="24150"/>
    <cellStyle name="Input 22 2 4 5 2" xfId="24151"/>
    <cellStyle name="Input 22 2 4 6" xfId="24152"/>
    <cellStyle name="Input 22 2 4 7" xfId="24153"/>
    <cellStyle name="Input 22 2 4 8" xfId="24154"/>
    <cellStyle name="Input 22 2 5" xfId="24155"/>
    <cellStyle name="Input 22 2 5 2" xfId="24156"/>
    <cellStyle name="Input 22 2 5 2 2" xfId="24157"/>
    <cellStyle name="Input 22 2 5 2 2 2" xfId="24158"/>
    <cellStyle name="Input 22 2 5 2 3" xfId="24159"/>
    <cellStyle name="Input 22 2 5 2 3 2" xfId="24160"/>
    <cellStyle name="Input 22 2 5 2 4" xfId="24161"/>
    <cellStyle name="Input 22 2 5 2 5" xfId="24162"/>
    <cellStyle name="Input 22 2 5 2 6" xfId="24163"/>
    <cellStyle name="Input 22 2 5 3" xfId="24164"/>
    <cellStyle name="Input 22 2 5 3 2" xfId="24165"/>
    <cellStyle name="Input 22 2 5 4" xfId="24166"/>
    <cellStyle name="Input 22 2 5 4 2" xfId="24167"/>
    <cellStyle name="Input 22 2 5 5" xfId="24168"/>
    <cellStyle name="Input 22 2 5 6" xfId="24169"/>
    <cellStyle name="Input 22 2 5 7" xfId="24170"/>
    <cellStyle name="Input 22 2 6" xfId="24171"/>
    <cellStyle name="Input 22 2 6 2" xfId="24172"/>
    <cellStyle name="Input 22 2 6 2 2" xfId="24173"/>
    <cellStyle name="Input 22 2 6 3" xfId="24174"/>
    <cellStyle name="Input 22 2 6 3 2" xfId="24175"/>
    <cellStyle name="Input 22 2 6 4" xfId="24176"/>
    <cellStyle name="Input 22 2 6 5" xfId="24177"/>
    <cellStyle name="Input 22 2 6 6" xfId="24178"/>
    <cellStyle name="Input 22 2 7" xfId="24179"/>
    <cellStyle name="Input 22 2 7 2" xfId="24180"/>
    <cellStyle name="Input 22 2 8" xfId="24181"/>
    <cellStyle name="Input 22 2 8 2" xfId="24182"/>
    <cellStyle name="Input 22 2 9" xfId="24183"/>
    <cellStyle name="Input 22 3" xfId="24184"/>
    <cellStyle name="Input 22 3 10" xfId="24185"/>
    <cellStyle name="Input 22 3 2" xfId="24186"/>
    <cellStyle name="Input 22 3 2 10" xfId="24187"/>
    <cellStyle name="Input 22 3 2 2" xfId="24188"/>
    <cellStyle name="Input 22 3 2 2 2" xfId="24189"/>
    <cellStyle name="Input 22 3 2 2 2 2" xfId="24190"/>
    <cellStyle name="Input 22 3 2 2 2 2 2" xfId="24191"/>
    <cellStyle name="Input 22 3 2 2 2 2 2 2" xfId="24192"/>
    <cellStyle name="Input 22 3 2 2 2 2 3" xfId="24193"/>
    <cellStyle name="Input 22 3 2 2 2 2 3 2" xfId="24194"/>
    <cellStyle name="Input 22 3 2 2 2 2 4" xfId="24195"/>
    <cellStyle name="Input 22 3 2 2 2 2 5" xfId="24196"/>
    <cellStyle name="Input 22 3 2 2 2 2 6" xfId="24197"/>
    <cellStyle name="Input 22 3 2 2 2 3" xfId="24198"/>
    <cellStyle name="Input 22 3 2 2 2 3 2" xfId="24199"/>
    <cellStyle name="Input 22 3 2 2 2 4" xfId="24200"/>
    <cellStyle name="Input 22 3 2 2 2 4 2" xfId="24201"/>
    <cellStyle name="Input 22 3 2 2 2 5" xfId="24202"/>
    <cellStyle name="Input 22 3 2 2 2 6" xfId="24203"/>
    <cellStyle name="Input 22 3 2 2 2 7" xfId="24204"/>
    <cellStyle name="Input 22 3 2 2 3" xfId="24205"/>
    <cellStyle name="Input 22 3 2 2 3 2" xfId="24206"/>
    <cellStyle name="Input 22 3 2 2 3 2 2" xfId="24207"/>
    <cellStyle name="Input 22 3 2 2 3 3" xfId="24208"/>
    <cellStyle name="Input 22 3 2 2 3 3 2" xfId="24209"/>
    <cellStyle name="Input 22 3 2 2 3 4" xfId="24210"/>
    <cellStyle name="Input 22 3 2 2 3 5" xfId="24211"/>
    <cellStyle name="Input 22 3 2 2 3 6" xfId="24212"/>
    <cellStyle name="Input 22 3 2 2 4" xfId="24213"/>
    <cellStyle name="Input 22 3 2 2 4 2" xfId="24214"/>
    <cellStyle name="Input 22 3 2 2 5" xfId="24215"/>
    <cellStyle name="Input 22 3 2 2 5 2" xfId="24216"/>
    <cellStyle name="Input 22 3 2 2 6" xfId="24217"/>
    <cellStyle name="Input 22 3 2 2 7" xfId="24218"/>
    <cellStyle name="Input 22 3 2 2 8" xfId="24219"/>
    <cellStyle name="Input 22 3 2 3" xfId="24220"/>
    <cellStyle name="Input 22 3 2 3 2" xfId="24221"/>
    <cellStyle name="Input 22 3 2 3 2 2" xfId="24222"/>
    <cellStyle name="Input 22 3 2 3 2 2 2" xfId="24223"/>
    <cellStyle name="Input 22 3 2 3 2 2 2 2" xfId="24224"/>
    <cellStyle name="Input 22 3 2 3 2 2 3" xfId="24225"/>
    <cellStyle name="Input 22 3 2 3 2 2 3 2" xfId="24226"/>
    <cellStyle name="Input 22 3 2 3 2 2 4" xfId="24227"/>
    <cellStyle name="Input 22 3 2 3 2 2 5" xfId="24228"/>
    <cellStyle name="Input 22 3 2 3 2 2 6" xfId="24229"/>
    <cellStyle name="Input 22 3 2 3 2 3" xfId="24230"/>
    <cellStyle name="Input 22 3 2 3 2 3 2" xfId="24231"/>
    <cellStyle name="Input 22 3 2 3 2 4" xfId="24232"/>
    <cellStyle name="Input 22 3 2 3 2 4 2" xfId="24233"/>
    <cellStyle name="Input 22 3 2 3 2 5" xfId="24234"/>
    <cellStyle name="Input 22 3 2 3 2 6" xfId="24235"/>
    <cellStyle name="Input 22 3 2 3 2 7" xfId="24236"/>
    <cellStyle name="Input 22 3 2 3 3" xfId="24237"/>
    <cellStyle name="Input 22 3 2 3 3 2" xfId="24238"/>
    <cellStyle name="Input 22 3 2 3 3 2 2" xfId="24239"/>
    <cellStyle name="Input 22 3 2 3 3 3" xfId="24240"/>
    <cellStyle name="Input 22 3 2 3 3 3 2" xfId="24241"/>
    <cellStyle name="Input 22 3 2 3 3 4" xfId="24242"/>
    <cellStyle name="Input 22 3 2 3 3 5" xfId="24243"/>
    <cellStyle name="Input 22 3 2 3 3 6" xfId="24244"/>
    <cellStyle name="Input 22 3 2 3 4" xfId="24245"/>
    <cellStyle name="Input 22 3 2 3 4 2" xfId="24246"/>
    <cellStyle name="Input 22 3 2 3 5" xfId="24247"/>
    <cellStyle name="Input 22 3 2 3 5 2" xfId="24248"/>
    <cellStyle name="Input 22 3 2 3 6" xfId="24249"/>
    <cellStyle name="Input 22 3 2 3 7" xfId="24250"/>
    <cellStyle name="Input 22 3 2 3 8" xfId="24251"/>
    <cellStyle name="Input 22 3 2 4" xfId="24252"/>
    <cellStyle name="Input 22 3 2 4 2" xfId="24253"/>
    <cellStyle name="Input 22 3 2 4 2 2" xfId="24254"/>
    <cellStyle name="Input 22 3 2 4 2 2 2" xfId="24255"/>
    <cellStyle name="Input 22 3 2 4 2 3" xfId="24256"/>
    <cellStyle name="Input 22 3 2 4 2 3 2" xfId="24257"/>
    <cellStyle name="Input 22 3 2 4 2 4" xfId="24258"/>
    <cellStyle name="Input 22 3 2 4 2 5" xfId="24259"/>
    <cellStyle name="Input 22 3 2 4 2 6" xfId="24260"/>
    <cellStyle name="Input 22 3 2 4 3" xfId="24261"/>
    <cellStyle name="Input 22 3 2 4 3 2" xfId="24262"/>
    <cellStyle name="Input 22 3 2 4 4" xfId="24263"/>
    <cellStyle name="Input 22 3 2 4 4 2" xfId="24264"/>
    <cellStyle name="Input 22 3 2 4 5" xfId="24265"/>
    <cellStyle name="Input 22 3 2 4 6" xfId="24266"/>
    <cellStyle name="Input 22 3 2 4 7" xfId="24267"/>
    <cellStyle name="Input 22 3 2 5" xfId="24268"/>
    <cellStyle name="Input 22 3 2 5 2" xfId="24269"/>
    <cellStyle name="Input 22 3 2 5 2 2" xfId="24270"/>
    <cellStyle name="Input 22 3 2 5 3" xfId="24271"/>
    <cellStyle name="Input 22 3 2 5 3 2" xfId="24272"/>
    <cellStyle name="Input 22 3 2 5 4" xfId="24273"/>
    <cellStyle name="Input 22 3 2 5 5" xfId="24274"/>
    <cellStyle name="Input 22 3 2 5 6" xfId="24275"/>
    <cellStyle name="Input 22 3 2 6" xfId="24276"/>
    <cellStyle name="Input 22 3 2 6 2" xfId="24277"/>
    <cellStyle name="Input 22 3 2 7" xfId="24278"/>
    <cellStyle name="Input 22 3 2 7 2" xfId="24279"/>
    <cellStyle name="Input 22 3 2 8" xfId="24280"/>
    <cellStyle name="Input 22 3 2 9" xfId="24281"/>
    <cellStyle name="Input 22 3 3" xfId="24282"/>
    <cellStyle name="Input 22 3 3 2" xfId="24283"/>
    <cellStyle name="Input 22 3 3 2 2" xfId="24284"/>
    <cellStyle name="Input 22 3 3 2 2 2" xfId="24285"/>
    <cellStyle name="Input 22 3 3 2 2 2 2" xfId="24286"/>
    <cellStyle name="Input 22 3 3 2 2 3" xfId="24287"/>
    <cellStyle name="Input 22 3 3 2 2 3 2" xfId="24288"/>
    <cellStyle name="Input 22 3 3 2 2 4" xfId="24289"/>
    <cellStyle name="Input 22 3 3 2 2 5" xfId="24290"/>
    <cellStyle name="Input 22 3 3 2 2 6" xfId="24291"/>
    <cellStyle name="Input 22 3 3 2 3" xfId="24292"/>
    <cellStyle name="Input 22 3 3 2 3 2" xfId="24293"/>
    <cellStyle name="Input 22 3 3 2 4" xfId="24294"/>
    <cellStyle name="Input 22 3 3 2 4 2" xfId="24295"/>
    <cellStyle name="Input 22 3 3 2 5" xfId="24296"/>
    <cellStyle name="Input 22 3 3 2 6" xfId="24297"/>
    <cellStyle name="Input 22 3 3 2 7" xfId="24298"/>
    <cellStyle name="Input 22 3 3 3" xfId="24299"/>
    <cellStyle name="Input 22 3 3 3 2" xfId="24300"/>
    <cellStyle name="Input 22 3 3 3 2 2" xfId="24301"/>
    <cellStyle name="Input 22 3 3 3 3" xfId="24302"/>
    <cellStyle name="Input 22 3 3 3 3 2" xfId="24303"/>
    <cellStyle name="Input 22 3 3 3 4" xfId="24304"/>
    <cellStyle name="Input 22 3 3 3 5" xfId="24305"/>
    <cellStyle name="Input 22 3 3 3 6" xfId="24306"/>
    <cellStyle name="Input 22 3 3 4" xfId="24307"/>
    <cellStyle name="Input 22 3 3 4 2" xfId="24308"/>
    <cellStyle name="Input 22 3 3 5" xfId="24309"/>
    <cellStyle name="Input 22 3 3 5 2" xfId="24310"/>
    <cellStyle name="Input 22 3 3 6" xfId="24311"/>
    <cellStyle name="Input 22 3 3 7" xfId="24312"/>
    <cellStyle name="Input 22 3 3 8" xfId="24313"/>
    <cellStyle name="Input 22 3 4" xfId="24314"/>
    <cellStyle name="Input 22 3 4 2" xfId="24315"/>
    <cellStyle name="Input 22 3 4 2 2" xfId="24316"/>
    <cellStyle name="Input 22 3 4 2 2 2" xfId="24317"/>
    <cellStyle name="Input 22 3 4 2 3" xfId="24318"/>
    <cellStyle name="Input 22 3 4 2 3 2" xfId="24319"/>
    <cellStyle name="Input 22 3 4 2 4" xfId="24320"/>
    <cellStyle name="Input 22 3 4 2 5" xfId="24321"/>
    <cellStyle name="Input 22 3 4 2 6" xfId="24322"/>
    <cellStyle name="Input 22 3 4 3" xfId="24323"/>
    <cellStyle name="Input 22 3 4 3 2" xfId="24324"/>
    <cellStyle name="Input 22 3 4 4" xfId="24325"/>
    <cellStyle name="Input 22 3 4 4 2" xfId="24326"/>
    <cellStyle name="Input 22 3 4 5" xfId="24327"/>
    <cellStyle name="Input 22 3 4 6" xfId="24328"/>
    <cellStyle name="Input 22 3 4 7" xfId="24329"/>
    <cellStyle name="Input 22 3 5" xfId="24330"/>
    <cellStyle name="Input 22 3 5 2" xfId="24331"/>
    <cellStyle name="Input 22 3 5 2 2" xfId="24332"/>
    <cellStyle name="Input 22 3 5 3" xfId="24333"/>
    <cellStyle name="Input 22 3 5 3 2" xfId="24334"/>
    <cellStyle name="Input 22 3 5 4" xfId="24335"/>
    <cellStyle name="Input 22 3 5 5" xfId="24336"/>
    <cellStyle name="Input 22 3 5 6" xfId="24337"/>
    <cellStyle name="Input 22 3 6" xfId="24338"/>
    <cellStyle name="Input 22 3 6 2" xfId="24339"/>
    <cellStyle name="Input 22 3 7" xfId="24340"/>
    <cellStyle name="Input 22 3 7 2" xfId="24341"/>
    <cellStyle name="Input 22 3 8" xfId="24342"/>
    <cellStyle name="Input 22 3 9" xfId="24343"/>
    <cellStyle name="Input 22 4" xfId="24344"/>
    <cellStyle name="Input 22 4 10" xfId="24345"/>
    <cellStyle name="Input 22 4 2" xfId="24346"/>
    <cellStyle name="Input 22 4 2 2" xfId="24347"/>
    <cellStyle name="Input 22 4 2 2 2" xfId="24348"/>
    <cellStyle name="Input 22 4 2 2 2 2" xfId="24349"/>
    <cellStyle name="Input 22 4 2 2 2 2 2" xfId="24350"/>
    <cellStyle name="Input 22 4 2 2 2 3" xfId="24351"/>
    <cellStyle name="Input 22 4 2 2 2 3 2" xfId="24352"/>
    <cellStyle name="Input 22 4 2 2 2 4" xfId="24353"/>
    <cellStyle name="Input 22 4 2 2 2 5" xfId="24354"/>
    <cellStyle name="Input 22 4 2 2 2 6" xfId="24355"/>
    <cellStyle name="Input 22 4 2 2 3" xfId="24356"/>
    <cellStyle name="Input 22 4 2 2 3 2" xfId="24357"/>
    <cellStyle name="Input 22 4 2 2 4" xfId="24358"/>
    <cellStyle name="Input 22 4 2 2 4 2" xfId="24359"/>
    <cellStyle name="Input 22 4 2 2 5" xfId="24360"/>
    <cellStyle name="Input 22 4 2 2 6" xfId="24361"/>
    <cellStyle name="Input 22 4 2 2 7" xfId="24362"/>
    <cellStyle name="Input 22 4 2 3" xfId="24363"/>
    <cellStyle name="Input 22 4 2 3 2" xfId="24364"/>
    <cellStyle name="Input 22 4 2 3 2 2" xfId="24365"/>
    <cellStyle name="Input 22 4 2 3 3" xfId="24366"/>
    <cellStyle name="Input 22 4 2 3 3 2" xfId="24367"/>
    <cellStyle name="Input 22 4 2 3 4" xfId="24368"/>
    <cellStyle name="Input 22 4 2 3 5" xfId="24369"/>
    <cellStyle name="Input 22 4 2 3 6" xfId="24370"/>
    <cellStyle name="Input 22 4 2 4" xfId="24371"/>
    <cellStyle name="Input 22 4 2 4 2" xfId="24372"/>
    <cellStyle name="Input 22 4 2 5" xfId="24373"/>
    <cellStyle name="Input 22 4 2 5 2" xfId="24374"/>
    <cellStyle name="Input 22 4 2 6" xfId="24375"/>
    <cellStyle name="Input 22 4 2 7" xfId="24376"/>
    <cellStyle name="Input 22 4 2 8" xfId="24377"/>
    <cellStyle name="Input 22 4 3" xfId="24378"/>
    <cellStyle name="Input 22 4 3 2" xfId="24379"/>
    <cellStyle name="Input 22 4 3 2 2" xfId="24380"/>
    <cellStyle name="Input 22 4 3 2 2 2" xfId="24381"/>
    <cellStyle name="Input 22 4 3 2 2 2 2" xfId="24382"/>
    <cellStyle name="Input 22 4 3 2 2 3" xfId="24383"/>
    <cellStyle name="Input 22 4 3 2 2 3 2" xfId="24384"/>
    <cellStyle name="Input 22 4 3 2 2 4" xfId="24385"/>
    <cellStyle name="Input 22 4 3 2 2 5" xfId="24386"/>
    <cellStyle name="Input 22 4 3 2 2 6" xfId="24387"/>
    <cellStyle name="Input 22 4 3 2 3" xfId="24388"/>
    <cellStyle name="Input 22 4 3 2 3 2" xfId="24389"/>
    <cellStyle name="Input 22 4 3 2 4" xfId="24390"/>
    <cellStyle name="Input 22 4 3 2 4 2" xfId="24391"/>
    <cellStyle name="Input 22 4 3 2 5" xfId="24392"/>
    <cellStyle name="Input 22 4 3 2 6" xfId="24393"/>
    <cellStyle name="Input 22 4 3 2 7" xfId="24394"/>
    <cellStyle name="Input 22 4 3 3" xfId="24395"/>
    <cellStyle name="Input 22 4 3 3 2" xfId="24396"/>
    <cellStyle name="Input 22 4 3 3 2 2" xfId="24397"/>
    <cellStyle name="Input 22 4 3 3 3" xfId="24398"/>
    <cellStyle name="Input 22 4 3 3 3 2" xfId="24399"/>
    <cellStyle name="Input 22 4 3 3 4" xfId="24400"/>
    <cellStyle name="Input 22 4 3 3 5" xfId="24401"/>
    <cellStyle name="Input 22 4 3 3 6" xfId="24402"/>
    <cellStyle name="Input 22 4 3 4" xfId="24403"/>
    <cellStyle name="Input 22 4 3 4 2" xfId="24404"/>
    <cellStyle name="Input 22 4 3 5" xfId="24405"/>
    <cellStyle name="Input 22 4 3 5 2" xfId="24406"/>
    <cellStyle name="Input 22 4 3 6" xfId="24407"/>
    <cellStyle name="Input 22 4 3 7" xfId="24408"/>
    <cellStyle name="Input 22 4 3 8" xfId="24409"/>
    <cellStyle name="Input 22 4 4" xfId="24410"/>
    <cellStyle name="Input 22 4 4 2" xfId="24411"/>
    <cellStyle name="Input 22 4 4 2 2" xfId="24412"/>
    <cellStyle name="Input 22 4 4 2 2 2" xfId="24413"/>
    <cellStyle name="Input 22 4 4 2 3" xfId="24414"/>
    <cellStyle name="Input 22 4 4 2 3 2" xfId="24415"/>
    <cellStyle name="Input 22 4 4 2 4" xfId="24416"/>
    <cellStyle name="Input 22 4 4 2 5" xfId="24417"/>
    <cellStyle name="Input 22 4 4 2 6" xfId="24418"/>
    <cellStyle name="Input 22 4 4 3" xfId="24419"/>
    <cellStyle name="Input 22 4 4 3 2" xfId="24420"/>
    <cellStyle name="Input 22 4 4 4" xfId="24421"/>
    <cellStyle name="Input 22 4 4 4 2" xfId="24422"/>
    <cellStyle name="Input 22 4 4 5" xfId="24423"/>
    <cellStyle name="Input 22 4 4 6" xfId="24424"/>
    <cellStyle name="Input 22 4 4 7" xfId="24425"/>
    <cellStyle name="Input 22 4 5" xfId="24426"/>
    <cellStyle name="Input 22 4 5 2" xfId="24427"/>
    <cellStyle name="Input 22 4 5 2 2" xfId="24428"/>
    <cellStyle name="Input 22 4 5 3" xfId="24429"/>
    <cellStyle name="Input 22 4 5 3 2" xfId="24430"/>
    <cellStyle name="Input 22 4 5 4" xfId="24431"/>
    <cellStyle name="Input 22 4 5 5" xfId="24432"/>
    <cellStyle name="Input 22 4 5 6" xfId="24433"/>
    <cellStyle name="Input 22 4 6" xfId="24434"/>
    <cellStyle name="Input 22 4 6 2" xfId="24435"/>
    <cellStyle name="Input 22 4 7" xfId="24436"/>
    <cellStyle name="Input 22 4 7 2" xfId="24437"/>
    <cellStyle name="Input 22 4 8" xfId="24438"/>
    <cellStyle name="Input 22 4 9" xfId="24439"/>
    <cellStyle name="Input 22 5" xfId="24440"/>
    <cellStyle name="Input 22 5 2" xfId="24441"/>
    <cellStyle name="Input 22 5 2 2" xfId="24442"/>
    <cellStyle name="Input 22 5 2 2 2" xfId="24443"/>
    <cellStyle name="Input 22 5 2 2 2 2" xfId="24444"/>
    <cellStyle name="Input 22 5 2 2 3" xfId="24445"/>
    <cellStyle name="Input 22 5 2 2 3 2" xfId="24446"/>
    <cellStyle name="Input 22 5 2 2 4" xfId="24447"/>
    <cellStyle name="Input 22 5 2 2 5" xfId="24448"/>
    <cellStyle name="Input 22 5 2 2 6" xfId="24449"/>
    <cellStyle name="Input 22 5 2 3" xfId="24450"/>
    <cellStyle name="Input 22 5 2 3 2" xfId="24451"/>
    <cellStyle name="Input 22 5 2 4" xfId="24452"/>
    <cellStyle name="Input 22 5 2 4 2" xfId="24453"/>
    <cellStyle name="Input 22 5 2 5" xfId="24454"/>
    <cellStyle name="Input 22 5 2 6" xfId="24455"/>
    <cellStyle name="Input 22 5 2 7" xfId="24456"/>
    <cellStyle name="Input 22 5 3" xfId="24457"/>
    <cellStyle name="Input 22 5 3 2" xfId="24458"/>
    <cellStyle name="Input 22 5 3 2 2" xfId="24459"/>
    <cellStyle name="Input 22 5 3 3" xfId="24460"/>
    <cellStyle name="Input 22 5 3 3 2" xfId="24461"/>
    <cellStyle name="Input 22 5 3 4" xfId="24462"/>
    <cellStyle name="Input 22 5 3 5" xfId="24463"/>
    <cellStyle name="Input 22 5 3 6" xfId="24464"/>
    <cellStyle name="Input 22 5 4" xfId="24465"/>
    <cellStyle name="Input 22 5 4 2" xfId="24466"/>
    <cellStyle name="Input 22 5 5" xfId="24467"/>
    <cellStyle name="Input 22 5 5 2" xfId="24468"/>
    <cellStyle name="Input 22 5 6" xfId="24469"/>
    <cellStyle name="Input 22 5 7" xfId="24470"/>
    <cellStyle name="Input 22 5 8" xfId="24471"/>
    <cellStyle name="Input 22 6" xfId="24472"/>
    <cellStyle name="Input 22 6 2" xfId="24473"/>
    <cellStyle name="Input 22 6 2 2" xfId="24474"/>
    <cellStyle name="Input 22 6 2 2 2" xfId="24475"/>
    <cellStyle name="Input 22 6 2 3" xfId="24476"/>
    <cellStyle name="Input 22 6 2 3 2" xfId="24477"/>
    <cellStyle name="Input 22 6 2 4" xfId="24478"/>
    <cellStyle name="Input 22 6 2 5" xfId="24479"/>
    <cellStyle name="Input 22 6 2 6" xfId="24480"/>
    <cellStyle name="Input 22 6 3" xfId="24481"/>
    <cellStyle name="Input 22 6 3 2" xfId="24482"/>
    <cellStyle name="Input 22 6 4" xfId="24483"/>
    <cellStyle name="Input 22 6 4 2" xfId="24484"/>
    <cellStyle name="Input 22 6 5" xfId="24485"/>
    <cellStyle name="Input 22 6 6" xfId="24486"/>
    <cellStyle name="Input 22 6 7" xfId="24487"/>
    <cellStyle name="Input 22 7" xfId="24488"/>
    <cellStyle name="Input 22 7 2" xfId="24489"/>
    <cellStyle name="Input 22 7 2 2" xfId="24490"/>
    <cellStyle name="Input 22 7 3" xfId="24491"/>
    <cellStyle name="Input 22 7 3 2" xfId="24492"/>
    <cellStyle name="Input 22 7 4" xfId="24493"/>
    <cellStyle name="Input 22 7 5" xfId="24494"/>
    <cellStyle name="Input 22 7 6" xfId="24495"/>
    <cellStyle name="Input 22 8" xfId="24496"/>
    <cellStyle name="Input 22 8 2" xfId="24497"/>
    <cellStyle name="Input 22 9" xfId="24498"/>
    <cellStyle name="Input 22 9 2" xfId="24499"/>
    <cellStyle name="Input 23" xfId="24500"/>
    <cellStyle name="Input 23 10" xfId="24501"/>
    <cellStyle name="Input 23 11" xfId="24502"/>
    <cellStyle name="Input 23 2" xfId="24503"/>
    <cellStyle name="Input 23 2 10" xfId="24504"/>
    <cellStyle name="Input 23 2 2" xfId="24505"/>
    <cellStyle name="Input 23 2 2 10" xfId="24506"/>
    <cellStyle name="Input 23 2 2 2" xfId="24507"/>
    <cellStyle name="Input 23 2 2 2 2" xfId="24508"/>
    <cellStyle name="Input 23 2 2 2 2 2" xfId="24509"/>
    <cellStyle name="Input 23 2 2 2 2 2 2" xfId="24510"/>
    <cellStyle name="Input 23 2 2 2 2 2 2 2" xfId="24511"/>
    <cellStyle name="Input 23 2 2 2 2 2 3" xfId="24512"/>
    <cellStyle name="Input 23 2 2 2 2 2 3 2" xfId="24513"/>
    <cellStyle name="Input 23 2 2 2 2 2 4" xfId="24514"/>
    <cellStyle name="Input 23 2 2 2 2 2 5" xfId="24515"/>
    <cellStyle name="Input 23 2 2 2 2 2 6" xfId="24516"/>
    <cellStyle name="Input 23 2 2 2 2 3" xfId="24517"/>
    <cellStyle name="Input 23 2 2 2 2 3 2" xfId="24518"/>
    <cellStyle name="Input 23 2 2 2 2 4" xfId="24519"/>
    <cellStyle name="Input 23 2 2 2 2 4 2" xfId="24520"/>
    <cellStyle name="Input 23 2 2 2 2 5" xfId="24521"/>
    <cellStyle name="Input 23 2 2 2 2 6" xfId="24522"/>
    <cellStyle name="Input 23 2 2 2 2 7" xfId="24523"/>
    <cellStyle name="Input 23 2 2 2 3" xfId="24524"/>
    <cellStyle name="Input 23 2 2 2 3 2" xfId="24525"/>
    <cellStyle name="Input 23 2 2 2 3 2 2" xfId="24526"/>
    <cellStyle name="Input 23 2 2 2 3 3" xfId="24527"/>
    <cellStyle name="Input 23 2 2 2 3 3 2" xfId="24528"/>
    <cellStyle name="Input 23 2 2 2 3 4" xfId="24529"/>
    <cellStyle name="Input 23 2 2 2 3 5" xfId="24530"/>
    <cellStyle name="Input 23 2 2 2 3 6" xfId="24531"/>
    <cellStyle name="Input 23 2 2 2 4" xfId="24532"/>
    <cellStyle name="Input 23 2 2 2 4 2" xfId="24533"/>
    <cellStyle name="Input 23 2 2 2 5" xfId="24534"/>
    <cellStyle name="Input 23 2 2 2 5 2" xfId="24535"/>
    <cellStyle name="Input 23 2 2 2 6" xfId="24536"/>
    <cellStyle name="Input 23 2 2 2 7" xfId="24537"/>
    <cellStyle name="Input 23 2 2 2 8" xfId="24538"/>
    <cellStyle name="Input 23 2 2 3" xfId="24539"/>
    <cellStyle name="Input 23 2 2 3 2" xfId="24540"/>
    <cellStyle name="Input 23 2 2 3 2 2" xfId="24541"/>
    <cellStyle name="Input 23 2 2 3 2 2 2" xfId="24542"/>
    <cellStyle name="Input 23 2 2 3 2 2 2 2" xfId="24543"/>
    <cellStyle name="Input 23 2 2 3 2 2 3" xfId="24544"/>
    <cellStyle name="Input 23 2 2 3 2 2 3 2" xfId="24545"/>
    <cellStyle name="Input 23 2 2 3 2 2 4" xfId="24546"/>
    <cellStyle name="Input 23 2 2 3 2 2 5" xfId="24547"/>
    <cellStyle name="Input 23 2 2 3 2 2 6" xfId="24548"/>
    <cellStyle name="Input 23 2 2 3 2 3" xfId="24549"/>
    <cellStyle name="Input 23 2 2 3 2 3 2" xfId="24550"/>
    <cellStyle name="Input 23 2 2 3 2 4" xfId="24551"/>
    <cellStyle name="Input 23 2 2 3 2 4 2" xfId="24552"/>
    <cellStyle name="Input 23 2 2 3 2 5" xfId="24553"/>
    <cellStyle name="Input 23 2 2 3 2 6" xfId="24554"/>
    <cellStyle name="Input 23 2 2 3 2 7" xfId="24555"/>
    <cellStyle name="Input 23 2 2 3 3" xfId="24556"/>
    <cellStyle name="Input 23 2 2 3 3 2" xfId="24557"/>
    <cellStyle name="Input 23 2 2 3 3 2 2" xfId="24558"/>
    <cellStyle name="Input 23 2 2 3 3 3" xfId="24559"/>
    <cellStyle name="Input 23 2 2 3 3 3 2" xfId="24560"/>
    <cellStyle name="Input 23 2 2 3 3 4" xfId="24561"/>
    <cellStyle name="Input 23 2 2 3 3 5" xfId="24562"/>
    <cellStyle name="Input 23 2 2 3 3 6" xfId="24563"/>
    <cellStyle name="Input 23 2 2 3 4" xfId="24564"/>
    <cellStyle name="Input 23 2 2 3 4 2" xfId="24565"/>
    <cellStyle name="Input 23 2 2 3 5" xfId="24566"/>
    <cellStyle name="Input 23 2 2 3 5 2" xfId="24567"/>
    <cellStyle name="Input 23 2 2 3 6" xfId="24568"/>
    <cellStyle name="Input 23 2 2 3 7" xfId="24569"/>
    <cellStyle name="Input 23 2 2 3 8" xfId="24570"/>
    <cellStyle name="Input 23 2 2 4" xfId="24571"/>
    <cellStyle name="Input 23 2 2 4 2" xfId="24572"/>
    <cellStyle name="Input 23 2 2 4 2 2" xfId="24573"/>
    <cellStyle name="Input 23 2 2 4 2 2 2" xfId="24574"/>
    <cellStyle name="Input 23 2 2 4 2 3" xfId="24575"/>
    <cellStyle name="Input 23 2 2 4 2 3 2" xfId="24576"/>
    <cellStyle name="Input 23 2 2 4 2 4" xfId="24577"/>
    <cellStyle name="Input 23 2 2 4 2 5" xfId="24578"/>
    <cellStyle name="Input 23 2 2 4 2 6" xfId="24579"/>
    <cellStyle name="Input 23 2 2 4 3" xfId="24580"/>
    <cellStyle name="Input 23 2 2 4 3 2" xfId="24581"/>
    <cellStyle name="Input 23 2 2 4 4" xfId="24582"/>
    <cellStyle name="Input 23 2 2 4 4 2" xfId="24583"/>
    <cellStyle name="Input 23 2 2 4 5" xfId="24584"/>
    <cellStyle name="Input 23 2 2 4 6" xfId="24585"/>
    <cellStyle name="Input 23 2 2 4 7" xfId="24586"/>
    <cellStyle name="Input 23 2 2 5" xfId="24587"/>
    <cellStyle name="Input 23 2 2 5 2" xfId="24588"/>
    <cellStyle name="Input 23 2 2 5 2 2" xfId="24589"/>
    <cellStyle name="Input 23 2 2 5 3" xfId="24590"/>
    <cellStyle name="Input 23 2 2 5 3 2" xfId="24591"/>
    <cellStyle name="Input 23 2 2 5 4" xfId="24592"/>
    <cellStyle name="Input 23 2 2 5 5" xfId="24593"/>
    <cellStyle name="Input 23 2 2 5 6" xfId="24594"/>
    <cellStyle name="Input 23 2 2 6" xfId="24595"/>
    <cellStyle name="Input 23 2 2 6 2" xfId="24596"/>
    <cellStyle name="Input 23 2 2 7" xfId="24597"/>
    <cellStyle name="Input 23 2 2 7 2" xfId="24598"/>
    <cellStyle name="Input 23 2 2 8" xfId="24599"/>
    <cellStyle name="Input 23 2 2 9" xfId="24600"/>
    <cellStyle name="Input 23 2 3" xfId="24601"/>
    <cellStyle name="Input 23 2 3 2" xfId="24602"/>
    <cellStyle name="Input 23 2 3 2 2" xfId="24603"/>
    <cellStyle name="Input 23 2 3 2 2 2" xfId="24604"/>
    <cellStyle name="Input 23 2 3 2 2 2 2" xfId="24605"/>
    <cellStyle name="Input 23 2 3 2 2 3" xfId="24606"/>
    <cellStyle name="Input 23 2 3 2 2 3 2" xfId="24607"/>
    <cellStyle name="Input 23 2 3 2 2 4" xfId="24608"/>
    <cellStyle name="Input 23 2 3 2 2 5" xfId="24609"/>
    <cellStyle name="Input 23 2 3 2 2 6" xfId="24610"/>
    <cellStyle name="Input 23 2 3 2 3" xfId="24611"/>
    <cellStyle name="Input 23 2 3 2 3 2" xfId="24612"/>
    <cellStyle name="Input 23 2 3 2 4" xfId="24613"/>
    <cellStyle name="Input 23 2 3 2 4 2" xfId="24614"/>
    <cellStyle name="Input 23 2 3 2 5" xfId="24615"/>
    <cellStyle name="Input 23 2 3 2 6" xfId="24616"/>
    <cellStyle name="Input 23 2 3 2 7" xfId="24617"/>
    <cellStyle name="Input 23 2 3 3" xfId="24618"/>
    <cellStyle name="Input 23 2 3 3 2" xfId="24619"/>
    <cellStyle name="Input 23 2 3 3 2 2" xfId="24620"/>
    <cellStyle name="Input 23 2 3 3 3" xfId="24621"/>
    <cellStyle name="Input 23 2 3 3 3 2" xfId="24622"/>
    <cellStyle name="Input 23 2 3 3 4" xfId="24623"/>
    <cellStyle name="Input 23 2 3 3 5" xfId="24624"/>
    <cellStyle name="Input 23 2 3 3 6" xfId="24625"/>
    <cellStyle name="Input 23 2 3 4" xfId="24626"/>
    <cellStyle name="Input 23 2 3 4 2" xfId="24627"/>
    <cellStyle name="Input 23 2 3 5" xfId="24628"/>
    <cellStyle name="Input 23 2 3 5 2" xfId="24629"/>
    <cellStyle name="Input 23 2 3 6" xfId="24630"/>
    <cellStyle name="Input 23 2 3 7" xfId="24631"/>
    <cellStyle name="Input 23 2 3 8" xfId="24632"/>
    <cellStyle name="Input 23 2 4" xfId="24633"/>
    <cellStyle name="Input 23 2 4 2" xfId="24634"/>
    <cellStyle name="Input 23 2 4 2 2" xfId="24635"/>
    <cellStyle name="Input 23 2 4 2 2 2" xfId="24636"/>
    <cellStyle name="Input 23 2 4 2 3" xfId="24637"/>
    <cellStyle name="Input 23 2 4 2 3 2" xfId="24638"/>
    <cellStyle name="Input 23 2 4 2 4" xfId="24639"/>
    <cellStyle name="Input 23 2 4 2 5" xfId="24640"/>
    <cellStyle name="Input 23 2 4 2 6" xfId="24641"/>
    <cellStyle name="Input 23 2 4 3" xfId="24642"/>
    <cellStyle name="Input 23 2 4 3 2" xfId="24643"/>
    <cellStyle name="Input 23 2 4 4" xfId="24644"/>
    <cellStyle name="Input 23 2 4 4 2" xfId="24645"/>
    <cellStyle name="Input 23 2 4 5" xfId="24646"/>
    <cellStyle name="Input 23 2 4 6" xfId="24647"/>
    <cellStyle name="Input 23 2 4 7" xfId="24648"/>
    <cellStyle name="Input 23 2 5" xfId="24649"/>
    <cellStyle name="Input 23 2 5 2" xfId="24650"/>
    <cellStyle name="Input 23 2 5 2 2" xfId="24651"/>
    <cellStyle name="Input 23 2 5 3" xfId="24652"/>
    <cellStyle name="Input 23 2 5 3 2" xfId="24653"/>
    <cellStyle name="Input 23 2 5 4" xfId="24654"/>
    <cellStyle name="Input 23 2 5 5" xfId="24655"/>
    <cellStyle name="Input 23 2 5 6" xfId="24656"/>
    <cellStyle name="Input 23 2 6" xfId="24657"/>
    <cellStyle name="Input 23 2 6 2" xfId="24658"/>
    <cellStyle name="Input 23 2 7" xfId="24659"/>
    <cellStyle name="Input 23 2 7 2" xfId="24660"/>
    <cellStyle name="Input 23 2 8" xfId="24661"/>
    <cellStyle name="Input 23 2 9" xfId="24662"/>
    <cellStyle name="Input 23 3" xfId="24663"/>
    <cellStyle name="Input 23 3 10" xfId="24664"/>
    <cellStyle name="Input 23 3 2" xfId="24665"/>
    <cellStyle name="Input 23 3 2 2" xfId="24666"/>
    <cellStyle name="Input 23 3 2 2 2" xfId="24667"/>
    <cellStyle name="Input 23 3 2 2 2 2" xfId="24668"/>
    <cellStyle name="Input 23 3 2 2 2 2 2" xfId="24669"/>
    <cellStyle name="Input 23 3 2 2 2 3" xfId="24670"/>
    <cellStyle name="Input 23 3 2 2 2 3 2" xfId="24671"/>
    <cellStyle name="Input 23 3 2 2 2 4" xfId="24672"/>
    <cellStyle name="Input 23 3 2 2 2 5" xfId="24673"/>
    <cellStyle name="Input 23 3 2 2 2 6" xfId="24674"/>
    <cellStyle name="Input 23 3 2 2 3" xfId="24675"/>
    <cellStyle name="Input 23 3 2 2 3 2" xfId="24676"/>
    <cellStyle name="Input 23 3 2 2 4" xfId="24677"/>
    <cellStyle name="Input 23 3 2 2 4 2" xfId="24678"/>
    <cellStyle name="Input 23 3 2 2 5" xfId="24679"/>
    <cellStyle name="Input 23 3 2 2 6" xfId="24680"/>
    <cellStyle name="Input 23 3 2 2 7" xfId="24681"/>
    <cellStyle name="Input 23 3 2 3" xfId="24682"/>
    <cellStyle name="Input 23 3 2 3 2" xfId="24683"/>
    <cellStyle name="Input 23 3 2 3 2 2" xfId="24684"/>
    <cellStyle name="Input 23 3 2 3 3" xfId="24685"/>
    <cellStyle name="Input 23 3 2 3 3 2" xfId="24686"/>
    <cellStyle name="Input 23 3 2 3 4" xfId="24687"/>
    <cellStyle name="Input 23 3 2 3 5" xfId="24688"/>
    <cellStyle name="Input 23 3 2 3 6" xfId="24689"/>
    <cellStyle name="Input 23 3 2 4" xfId="24690"/>
    <cellStyle name="Input 23 3 2 4 2" xfId="24691"/>
    <cellStyle name="Input 23 3 2 5" xfId="24692"/>
    <cellStyle name="Input 23 3 2 5 2" xfId="24693"/>
    <cellStyle name="Input 23 3 2 6" xfId="24694"/>
    <cellStyle name="Input 23 3 2 7" xfId="24695"/>
    <cellStyle name="Input 23 3 2 8" xfId="24696"/>
    <cellStyle name="Input 23 3 3" xfId="24697"/>
    <cellStyle name="Input 23 3 3 2" xfId="24698"/>
    <cellStyle name="Input 23 3 3 2 2" xfId="24699"/>
    <cellStyle name="Input 23 3 3 2 2 2" xfId="24700"/>
    <cellStyle name="Input 23 3 3 2 2 2 2" xfId="24701"/>
    <cellStyle name="Input 23 3 3 2 2 3" xfId="24702"/>
    <cellStyle name="Input 23 3 3 2 2 3 2" xfId="24703"/>
    <cellStyle name="Input 23 3 3 2 2 4" xfId="24704"/>
    <cellStyle name="Input 23 3 3 2 2 5" xfId="24705"/>
    <cellStyle name="Input 23 3 3 2 2 6" xfId="24706"/>
    <cellStyle name="Input 23 3 3 2 3" xfId="24707"/>
    <cellStyle name="Input 23 3 3 2 3 2" xfId="24708"/>
    <cellStyle name="Input 23 3 3 2 4" xfId="24709"/>
    <cellStyle name="Input 23 3 3 2 4 2" xfId="24710"/>
    <cellStyle name="Input 23 3 3 2 5" xfId="24711"/>
    <cellStyle name="Input 23 3 3 2 6" xfId="24712"/>
    <cellStyle name="Input 23 3 3 2 7" xfId="24713"/>
    <cellStyle name="Input 23 3 3 3" xfId="24714"/>
    <cellStyle name="Input 23 3 3 3 2" xfId="24715"/>
    <cellStyle name="Input 23 3 3 3 2 2" xfId="24716"/>
    <cellStyle name="Input 23 3 3 3 3" xfId="24717"/>
    <cellStyle name="Input 23 3 3 3 3 2" xfId="24718"/>
    <cellStyle name="Input 23 3 3 3 4" xfId="24719"/>
    <cellStyle name="Input 23 3 3 3 5" xfId="24720"/>
    <cellStyle name="Input 23 3 3 3 6" xfId="24721"/>
    <cellStyle name="Input 23 3 3 4" xfId="24722"/>
    <cellStyle name="Input 23 3 3 4 2" xfId="24723"/>
    <cellStyle name="Input 23 3 3 5" xfId="24724"/>
    <cellStyle name="Input 23 3 3 5 2" xfId="24725"/>
    <cellStyle name="Input 23 3 3 6" xfId="24726"/>
    <cellStyle name="Input 23 3 3 7" xfId="24727"/>
    <cellStyle name="Input 23 3 3 8" xfId="24728"/>
    <cellStyle name="Input 23 3 4" xfId="24729"/>
    <cellStyle name="Input 23 3 4 2" xfId="24730"/>
    <cellStyle name="Input 23 3 4 2 2" xfId="24731"/>
    <cellStyle name="Input 23 3 4 2 2 2" xfId="24732"/>
    <cellStyle name="Input 23 3 4 2 3" xfId="24733"/>
    <cellStyle name="Input 23 3 4 2 3 2" xfId="24734"/>
    <cellStyle name="Input 23 3 4 2 4" xfId="24735"/>
    <cellStyle name="Input 23 3 4 2 5" xfId="24736"/>
    <cellStyle name="Input 23 3 4 2 6" xfId="24737"/>
    <cellStyle name="Input 23 3 4 3" xfId="24738"/>
    <cellStyle name="Input 23 3 4 3 2" xfId="24739"/>
    <cellStyle name="Input 23 3 4 4" xfId="24740"/>
    <cellStyle name="Input 23 3 4 4 2" xfId="24741"/>
    <cellStyle name="Input 23 3 4 5" xfId="24742"/>
    <cellStyle name="Input 23 3 4 6" xfId="24743"/>
    <cellStyle name="Input 23 3 4 7" xfId="24744"/>
    <cellStyle name="Input 23 3 5" xfId="24745"/>
    <cellStyle name="Input 23 3 5 2" xfId="24746"/>
    <cellStyle name="Input 23 3 5 2 2" xfId="24747"/>
    <cellStyle name="Input 23 3 5 3" xfId="24748"/>
    <cellStyle name="Input 23 3 5 3 2" xfId="24749"/>
    <cellStyle name="Input 23 3 5 4" xfId="24750"/>
    <cellStyle name="Input 23 3 5 5" xfId="24751"/>
    <cellStyle name="Input 23 3 5 6" xfId="24752"/>
    <cellStyle name="Input 23 3 6" xfId="24753"/>
    <cellStyle name="Input 23 3 6 2" xfId="24754"/>
    <cellStyle name="Input 23 3 7" xfId="24755"/>
    <cellStyle name="Input 23 3 7 2" xfId="24756"/>
    <cellStyle name="Input 23 3 8" xfId="24757"/>
    <cellStyle name="Input 23 3 9" xfId="24758"/>
    <cellStyle name="Input 23 4" xfId="24759"/>
    <cellStyle name="Input 23 4 2" xfId="24760"/>
    <cellStyle name="Input 23 4 2 2" xfId="24761"/>
    <cellStyle name="Input 23 4 2 2 2" xfId="24762"/>
    <cellStyle name="Input 23 4 2 2 2 2" xfId="24763"/>
    <cellStyle name="Input 23 4 2 2 3" xfId="24764"/>
    <cellStyle name="Input 23 4 2 2 3 2" xfId="24765"/>
    <cellStyle name="Input 23 4 2 2 4" xfId="24766"/>
    <cellStyle name="Input 23 4 2 2 5" xfId="24767"/>
    <cellStyle name="Input 23 4 2 2 6" xfId="24768"/>
    <cellStyle name="Input 23 4 2 3" xfId="24769"/>
    <cellStyle name="Input 23 4 2 3 2" xfId="24770"/>
    <cellStyle name="Input 23 4 2 4" xfId="24771"/>
    <cellStyle name="Input 23 4 2 4 2" xfId="24772"/>
    <cellStyle name="Input 23 4 2 5" xfId="24773"/>
    <cellStyle name="Input 23 4 2 6" xfId="24774"/>
    <cellStyle name="Input 23 4 2 7" xfId="24775"/>
    <cellStyle name="Input 23 4 3" xfId="24776"/>
    <cellStyle name="Input 23 4 3 2" xfId="24777"/>
    <cellStyle name="Input 23 4 3 2 2" xfId="24778"/>
    <cellStyle name="Input 23 4 3 3" xfId="24779"/>
    <cellStyle name="Input 23 4 3 3 2" xfId="24780"/>
    <cellStyle name="Input 23 4 3 4" xfId="24781"/>
    <cellStyle name="Input 23 4 3 5" xfId="24782"/>
    <cellStyle name="Input 23 4 3 6" xfId="24783"/>
    <cellStyle name="Input 23 4 4" xfId="24784"/>
    <cellStyle name="Input 23 4 4 2" xfId="24785"/>
    <cellStyle name="Input 23 4 5" xfId="24786"/>
    <cellStyle name="Input 23 4 5 2" xfId="24787"/>
    <cellStyle name="Input 23 4 6" xfId="24788"/>
    <cellStyle name="Input 23 4 7" xfId="24789"/>
    <cellStyle name="Input 23 4 8" xfId="24790"/>
    <cellStyle name="Input 23 5" xfId="24791"/>
    <cellStyle name="Input 23 5 2" xfId="24792"/>
    <cellStyle name="Input 23 5 2 2" xfId="24793"/>
    <cellStyle name="Input 23 5 2 2 2" xfId="24794"/>
    <cellStyle name="Input 23 5 2 3" xfId="24795"/>
    <cellStyle name="Input 23 5 2 3 2" xfId="24796"/>
    <cellStyle name="Input 23 5 2 4" xfId="24797"/>
    <cellStyle name="Input 23 5 2 5" xfId="24798"/>
    <cellStyle name="Input 23 5 2 6" xfId="24799"/>
    <cellStyle name="Input 23 5 3" xfId="24800"/>
    <cellStyle name="Input 23 5 3 2" xfId="24801"/>
    <cellStyle name="Input 23 5 4" xfId="24802"/>
    <cellStyle name="Input 23 5 4 2" xfId="24803"/>
    <cellStyle name="Input 23 5 5" xfId="24804"/>
    <cellStyle name="Input 23 5 6" xfId="24805"/>
    <cellStyle name="Input 23 5 7" xfId="24806"/>
    <cellStyle name="Input 23 6" xfId="24807"/>
    <cellStyle name="Input 23 6 2" xfId="24808"/>
    <cellStyle name="Input 23 6 2 2" xfId="24809"/>
    <cellStyle name="Input 23 6 3" xfId="24810"/>
    <cellStyle name="Input 23 6 3 2" xfId="24811"/>
    <cellStyle name="Input 23 6 4" xfId="24812"/>
    <cellStyle name="Input 23 6 5" xfId="24813"/>
    <cellStyle name="Input 23 6 6" xfId="24814"/>
    <cellStyle name="Input 23 7" xfId="24815"/>
    <cellStyle name="Input 23 7 2" xfId="24816"/>
    <cellStyle name="Input 23 8" xfId="24817"/>
    <cellStyle name="Input 23 8 2" xfId="24818"/>
    <cellStyle name="Input 23 9" xfId="24819"/>
    <cellStyle name="Input 24" xfId="24820"/>
    <cellStyle name="Input 24 10" xfId="24821"/>
    <cellStyle name="Input 24 11" xfId="24822"/>
    <cellStyle name="Input 24 2" xfId="24823"/>
    <cellStyle name="Input 24 2 10" xfId="24824"/>
    <cellStyle name="Input 24 2 2" xfId="24825"/>
    <cellStyle name="Input 24 2 2 10" xfId="24826"/>
    <cellStyle name="Input 24 2 2 2" xfId="24827"/>
    <cellStyle name="Input 24 2 2 2 2" xfId="24828"/>
    <cellStyle name="Input 24 2 2 2 2 2" xfId="24829"/>
    <cellStyle name="Input 24 2 2 2 2 2 2" xfId="24830"/>
    <cellStyle name="Input 24 2 2 2 2 2 2 2" xfId="24831"/>
    <cellStyle name="Input 24 2 2 2 2 2 3" xfId="24832"/>
    <cellStyle name="Input 24 2 2 2 2 2 3 2" xfId="24833"/>
    <cellStyle name="Input 24 2 2 2 2 2 4" xfId="24834"/>
    <cellStyle name="Input 24 2 2 2 2 2 5" xfId="24835"/>
    <cellStyle name="Input 24 2 2 2 2 2 6" xfId="24836"/>
    <cellStyle name="Input 24 2 2 2 2 3" xfId="24837"/>
    <cellStyle name="Input 24 2 2 2 2 3 2" xfId="24838"/>
    <cellStyle name="Input 24 2 2 2 2 4" xfId="24839"/>
    <cellStyle name="Input 24 2 2 2 2 4 2" xfId="24840"/>
    <cellStyle name="Input 24 2 2 2 2 5" xfId="24841"/>
    <cellStyle name="Input 24 2 2 2 2 6" xfId="24842"/>
    <cellStyle name="Input 24 2 2 2 2 7" xfId="24843"/>
    <cellStyle name="Input 24 2 2 2 3" xfId="24844"/>
    <cellStyle name="Input 24 2 2 2 3 2" xfId="24845"/>
    <cellStyle name="Input 24 2 2 2 3 2 2" xfId="24846"/>
    <cellStyle name="Input 24 2 2 2 3 3" xfId="24847"/>
    <cellStyle name="Input 24 2 2 2 3 3 2" xfId="24848"/>
    <cellStyle name="Input 24 2 2 2 3 4" xfId="24849"/>
    <cellStyle name="Input 24 2 2 2 3 5" xfId="24850"/>
    <cellStyle name="Input 24 2 2 2 3 6" xfId="24851"/>
    <cellStyle name="Input 24 2 2 2 4" xfId="24852"/>
    <cellStyle name="Input 24 2 2 2 4 2" xfId="24853"/>
    <cellStyle name="Input 24 2 2 2 5" xfId="24854"/>
    <cellStyle name="Input 24 2 2 2 5 2" xfId="24855"/>
    <cellStyle name="Input 24 2 2 2 6" xfId="24856"/>
    <cellStyle name="Input 24 2 2 2 7" xfId="24857"/>
    <cellStyle name="Input 24 2 2 2 8" xfId="24858"/>
    <cellStyle name="Input 24 2 2 3" xfId="24859"/>
    <cellStyle name="Input 24 2 2 3 2" xfId="24860"/>
    <cellStyle name="Input 24 2 2 3 2 2" xfId="24861"/>
    <cellStyle name="Input 24 2 2 3 2 2 2" xfId="24862"/>
    <cellStyle name="Input 24 2 2 3 2 2 2 2" xfId="24863"/>
    <cellStyle name="Input 24 2 2 3 2 2 3" xfId="24864"/>
    <cellStyle name="Input 24 2 2 3 2 2 3 2" xfId="24865"/>
    <cellStyle name="Input 24 2 2 3 2 2 4" xfId="24866"/>
    <cellStyle name="Input 24 2 2 3 2 2 5" xfId="24867"/>
    <cellStyle name="Input 24 2 2 3 2 2 6" xfId="24868"/>
    <cellStyle name="Input 24 2 2 3 2 3" xfId="24869"/>
    <cellStyle name="Input 24 2 2 3 2 3 2" xfId="24870"/>
    <cellStyle name="Input 24 2 2 3 2 4" xfId="24871"/>
    <cellStyle name="Input 24 2 2 3 2 4 2" xfId="24872"/>
    <cellStyle name="Input 24 2 2 3 2 5" xfId="24873"/>
    <cellStyle name="Input 24 2 2 3 2 6" xfId="24874"/>
    <cellStyle name="Input 24 2 2 3 2 7" xfId="24875"/>
    <cellStyle name="Input 24 2 2 3 3" xfId="24876"/>
    <cellStyle name="Input 24 2 2 3 3 2" xfId="24877"/>
    <cellStyle name="Input 24 2 2 3 3 2 2" xfId="24878"/>
    <cellStyle name="Input 24 2 2 3 3 3" xfId="24879"/>
    <cellStyle name="Input 24 2 2 3 3 3 2" xfId="24880"/>
    <cellStyle name="Input 24 2 2 3 3 4" xfId="24881"/>
    <cellStyle name="Input 24 2 2 3 3 5" xfId="24882"/>
    <cellStyle name="Input 24 2 2 3 3 6" xfId="24883"/>
    <cellStyle name="Input 24 2 2 3 4" xfId="24884"/>
    <cellStyle name="Input 24 2 2 3 4 2" xfId="24885"/>
    <cellStyle name="Input 24 2 2 3 5" xfId="24886"/>
    <cellStyle name="Input 24 2 2 3 5 2" xfId="24887"/>
    <cellStyle name="Input 24 2 2 3 6" xfId="24888"/>
    <cellStyle name="Input 24 2 2 3 7" xfId="24889"/>
    <cellStyle name="Input 24 2 2 3 8" xfId="24890"/>
    <cellStyle name="Input 24 2 2 4" xfId="24891"/>
    <cellStyle name="Input 24 2 2 4 2" xfId="24892"/>
    <cellStyle name="Input 24 2 2 4 2 2" xfId="24893"/>
    <cellStyle name="Input 24 2 2 4 2 2 2" xfId="24894"/>
    <cellStyle name="Input 24 2 2 4 2 3" xfId="24895"/>
    <cellStyle name="Input 24 2 2 4 2 3 2" xfId="24896"/>
    <cellStyle name="Input 24 2 2 4 2 4" xfId="24897"/>
    <cellStyle name="Input 24 2 2 4 2 5" xfId="24898"/>
    <cellStyle name="Input 24 2 2 4 2 6" xfId="24899"/>
    <cellStyle name="Input 24 2 2 4 3" xfId="24900"/>
    <cellStyle name="Input 24 2 2 4 3 2" xfId="24901"/>
    <cellStyle name="Input 24 2 2 4 4" xfId="24902"/>
    <cellStyle name="Input 24 2 2 4 4 2" xfId="24903"/>
    <cellStyle name="Input 24 2 2 4 5" xfId="24904"/>
    <cellStyle name="Input 24 2 2 4 6" xfId="24905"/>
    <cellStyle name="Input 24 2 2 4 7" xfId="24906"/>
    <cellStyle name="Input 24 2 2 5" xfId="24907"/>
    <cellStyle name="Input 24 2 2 5 2" xfId="24908"/>
    <cellStyle name="Input 24 2 2 5 2 2" xfId="24909"/>
    <cellStyle name="Input 24 2 2 5 3" xfId="24910"/>
    <cellStyle name="Input 24 2 2 5 3 2" xfId="24911"/>
    <cellStyle name="Input 24 2 2 5 4" xfId="24912"/>
    <cellStyle name="Input 24 2 2 5 5" xfId="24913"/>
    <cellStyle name="Input 24 2 2 5 6" xfId="24914"/>
    <cellStyle name="Input 24 2 2 6" xfId="24915"/>
    <cellStyle name="Input 24 2 2 6 2" xfId="24916"/>
    <cellStyle name="Input 24 2 2 7" xfId="24917"/>
    <cellStyle name="Input 24 2 2 7 2" xfId="24918"/>
    <cellStyle name="Input 24 2 2 8" xfId="24919"/>
    <cellStyle name="Input 24 2 2 9" xfId="24920"/>
    <cellStyle name="Input 24 2 3" xfId="24921"/>
    <cellStyle name="Input 24 2 3 2" xfId="24922"/>
    <cellStyle name="Input 24 2 3 2 2" xfId="24923"/>
    <cellStyle name="Input 24 2 3 2 2 2" xfId="24924"/>
    <cellStyle name="Input 24 2 3 2 2 2 2" xfId="24925"/>
    <cellStyle name="Input 24 2 3 2 2 3" xfId="24926"/>
    <cellStyle name="Input 24 2 3 2 2 3 2" xfId="24927"/>
    <cellStyle name="Input 24 2 3 2 2 4" xfId="24928"/>
    <cellStyle name="Input 24 2 3 2 2 5" xfId="24929"/>
    <cellStyle name="Input 24 2 3 2 2 6" xfId="24930"/>
    <cellStyle name="Input 24 2 3 2 3" xfId="24931"/>
    <cellStyle name="Input 24 2 3 2 3 2" xfId="24932"/>
    <cellStyle name="Input 24 2 3 2 4" xfId="24933"/>
    <cellStyle name="Input 24 2 3 2 4 2" xfId="24934"/>
    <cellStyle name="Input 24 2 3 2 5" xfId="24935"/>
    <cellStyle name="Input 24 2 3 2 6" xfId="24936"/>
    <cellStyle name="Input 24 2 3 2 7" xfId="24937"/>
    <cellStyle name="Input 24 2 3 3" xfId="24938"/>
    <cellStyle name="Input 24 2 3 3 2" xfId="24939"/>
    <cellStyle name="Input 24 2 3 3 2 2" xfId="24940"/>
    <cellStyle name="Input 24 2 3 3 3" xfId="24941"/>
    <cellStyle name="Input 24 2 3 3 3 2" xfId="24942"/>
    <cellStyle name="Input 24 2 3 3 4" xfId="24943"/>
    <cellStyle name="Input 24 2 3 3 5" xfId="24944"/>
    <cellStyle name="Input 24 2 3 3 6" xfId="24945"/>
    <cellStyle name="Input 24 2 3 4" xfId="24946"/>
    <cellStyle name="Input 24 2 3 4 2" xfId="24947"/>
    <cellStyle name="Input 24 2 3 5" xfId="24948"/>
    <cellStyle name="Input 24 2 3 5 2" xfId="24949"/>
    <cellStyle name="Input 24 2 3 6" xfId="24950"/>
    <cellStyle name="Input 24 2 3 7" xfId="24951"/>
    <cellStyle name="Input 24 2 3 8" xfId="24952"/>
    <cellStyle name="Input 24 2 4" xfId="24953"/>
    <cellStyle name="Input 24 2 4 2" xfId="24954"/>
    <cellStyle name="Input 24 2 4 2 2" xfId="24955"/>
    <cellStyle name="Input 24 2 4 2 2 2" xfId="24956"/>
    <cellStyle name="Input 24 2 4 2 3" xfId="24957"/>
    <cellStyle name="Input 24 2 4 2 3 2" xfId="24958"/>
    <cellStyle name="Input 24 2 4 2 4" xfId="24959"/>
    <cellStyle name="Input 24 2 4 2 5" xfId="24960"/>
    <cellStyle name="Input 24 2 4 2 6" xfId="24961"/>
    <cellStyle name="Input 24 2 4 3" xfId="24962"/>
    <cellStyle name="Input 24 2 4 3 2" xfId="24963"/>
    <cellStyle name="Input 24 2 4 4" xfId="24964"/>
    <cellStyle name="Input 24 2 4 4 2" xfId="24965"/>
    <cellStyle name="Input 24 2 4 5" xfId="24966"/>
    <cellStyle name="Input 24 2 4 6" xfId="24967"/>
    <cellStyle name="Input 24 2 4 7" xfId="24968"/>
    <cellStyle name="Input 24 2 5" xfId="24969"/>
    <cellStyle name="Input 24 2 5 2" xfId="24970"/>
    <cellStyle name="Input 24 2 5 2 2" xfId="24971"/>
    <cellStyle name="Input 24 2 5 3" xfId="24972"/>
    <cellStyle name="Input 24 2 5 3 2" xfId="24973"/>
    <cellStyle name="Input 24 2 5 4" xfId="24974"/>
    <cellStyle name="Input 24 2 5 5" xfId="24975"/>
    <cellStyle name="Input 24 2 5 6" xfId="24976"/>
    <cellStyle name="Input 24 2 6" xfId="24977"/>
    <cellStyle name="Input 24 2 6 2" xfId="24978"/>
    <cellStyle name="Input 24 2 7" xfId="24979"/>
    <cellStyle name="Input 24 2 7 2" xfId="24980"/>
    <cellStyle name="Input 24 2 8" xfId="24981"/>
    <cellStyle name="Input 24 2 9" xfId="24982"/>
    <cellStyle name="Input 24 3" xfId="24983"/>
    <cellStyle name="Input 24 3 10" xfId="24984"/>
    <cellStyle name="Input 24 3 2" xfId="24985"/>
    <cellStyle name="Input 24 3 2 2" xfId="24986"/>
    <cellStyle name="Input 24 3 2 2 2" xfId="24987"/>
    <cellStyle name="Input 24 3 2 2 2 2" xfId="24988"/>
    <cellStyle name="Input 24 3 2 2 2 2 2" xfId="24989"/>
    <cellStyle name="Input 24 3 2 2 2 3" xfId="24990"/>
    <cellStyle name="Input 24 3 2 2 2 3 2" xfId="24991"/>
    <cellStyle name="Input 24 3 2 2 2 4" xfId="24992"/>
    <cellStyle name="Input 24 3 2 2 2 5" xfId="24993"/>
    <cellStyle name="Input 24 3 2 2 2 6" xfId="24994"/>
    <cellStyle name="Input 24 3 2 2 3" xfId="24995"/>
    <cellStyle name="Input 24 3 2 2 3 2" xfId="24996"/>
    <cellStyle name="Input 24 3 2 2 4" xfId="24997"/>
    <cellStyle name="Input 24 3 2 2 4 2" xfId="24998"/>
    <cellStyle name="Input 24 3 2 2 5" xfId="24999"/>
    <cellStyle name="Input 24 3 2 2 6" xfId="25000"/>
    <cellStyle name="Input 24 3 2 2 7" xfId="25001"/>
    <cellStyle name="Input 24 3 2 3" xfId="25002"/>
    <cellStyle name="Input 24 3 2 3 2" xfId="25003"/>
    <cellStyle name="Input 24 3 2 3 2 2" xfId="25004"/>
    <cellStyle name="Input 24 3 2 3 3" xfId="25005"/>
    <cellStyle name="Input 24 3 2 3 3 2" xfId="25006"/>
    <cellStyle name="Input 24 3 2 3 4" xfId="25007"/>
    <cellStyle name="Input 24 3 2 3 5" xfId="25008"/>
    <cellStyle name="Input 24 3 2 3 6" xfId="25009"/>
    <cellStyle name="Input 24 3 2 4" xfId="25010"/>
    <cellStyle name="Input 24 3 2 4 2" xfId="25011"/>
    <cellStyle name="Input 24 3 2 5" xfId="25012"/>
    <cellStyle name="Input 24 3 2 5 2" xfId="25013"/>
    <cellStyle name="Input 24 3 2 6" xfId="25014"/>
    <cellStyle name="Input 24 3 2 7" xfId="25015"/>
    <cellStyle name="Input 24 3 2 8" xfId="25016"/>
    <cellStyle name="Input 24 3 3" xfId="25017"/>
    <cellStyle name="Input 24 3 3 2" xfId="25018"/>
    <cellStyle name="Input 24 3 3 2 2" xfId="25019"/>
    <cellStyle name="Input 24 3 3 2 2 2" xfId="25020"/>
    <cellStyle name="Input 24 3 3 2 2 2 2" xfId="25021"/>
    <cellStyle name="Input 24 3 3 2 2 3" xfId="25022"/>
    <cellStyle name="Input 24 3 3 2 2 3 2" xfId="25023"/>
    <cellStyle name="Input 24 3 3 2 2 4" xfId="25024"/>
    <cellStyle name="Input 24 3 3 2 2 5" xfId="25025"/>
    <cellStyle name="Input 24 3 3 2 2 6" xfId="25026"/>
    <cellStyle name="Input 24 3 3 2 3" xfId="25027"/>
    <cellStyle name="Input 24 3 3 2 3 2" xfId="25028"/>
    <cellStyle name="Input 24 3 3 2 4" xfId="25029"/>
    <cellStyle name="Input 24 3 3 2 4 2" xfId="25030"/>
    <cellStyle name="Input 24 3 3 2 5" xfId="25031"/>
    <cellStyle name="Input 24 3 3 2 6" xfId="25032"/>
    <cellStyle name="Input 24 3 3 2 7" xfId="25033"/>
    <cellStyle name="Input 24 3 3 3" xfId="25034"/>
    <cellStyle name="Input 24 3 3 3 2" xfId="25035"/>
    <cellStyle name="Input 24 3 3 3 2 2" xfId="25036"/>
    <cellStyle name="Input 24 3 3 3 3" xfId="25037"/>
    <cellStyle name="Input 24 3 3 3 3 2" xfId="25038"/>
    <cellStyle name="Input 24 3 3 3 4" xfId="25039"/>
    <cellStyle name="Input 24 3 3 3 5" xfId="25040"/>
    <cellStyle name="Input 24 3 3 3 6" xfId="25041"/>
    <cellStyle name="Input 24 3 3 4" xfId="25042"/>
    <cellStyle name="Input 24 3 3 4 2" xfId="25043"/>
    <cellStyle name="Input 24 3 3 5" xfId="25044"/>
    <cellStyle name="Input 24 3 3 5 2" xfId="25045"/>
    <cellStyle name="Input 24 3 3 6" xfId="25046"/>
    <cellStyle name="Input 24 3 3 7" xfId="25047"/>
    <cellStyle name="Input 24 3 3 8" xfId="25048"/>
    <cellStyle name="Input 24 3 4" xfId="25049"/>
    <cellStyle name="Input 24 3 4 2" xfId="25050"/>
    <cellStyle name="Input 24 3 4 2 2" xfId="25051"/>
    <cellStyle name="Input 24 3 4 2 2 2" xfId="25052"/>
    <cellStyle name="Input 24 3 4 2 3" xfId="25053"/>
    <cellStyle name="Input 24 3 4 2 3 2" xfId="25054"/>
    <cellStyle name="Input 24 3 4 2 4" xfId="25055"/>
    <cellStyle name="Input 24 3 4 2 5" xfId="25056"/>
    <cellStyle name="Input 24 3 4 2 6" xfId="25057"/>
    <cellStyle name="Input 24 3 4 3" xfId="25058"/>
    <cellStyle name="Input 24 3 4 3 2" xfId="25059"/>
    <cellStyle name="Input 24 3 4 4" xfId="25060"/>
    <cellStyle name="Input 24 3 4 4 2" xfId="25061"/>
    <cellStyle name="Input 24 3 4 5" xfId="25062"/>
    <cellStyle name="Input 24 3 4 6" xfId="25063"/>
    <cellStyle name="Input 24 3 4 7" xfId="25064"/>
    <cellStyle name="Input 24 3 5" xfId="25065"/>
    <cellStyle name="Input 24 3 5 2" xfId="25066"/>
    <cellStyle name="Input 24 3 5 2 2" xfId="25067"/>
    <cellStyle name="Input 24 3 5 3" xfId="25068"/>
    <cellStyle name="Input 24 3 5 3 2" xfId="25069"/>
    <cellStyle name="Input 24 3 5 4" xfId="25070"/>
    <cellStyle name="Input 24 3 5 5" xfId="25071"/>
    <cellStyle name="Input 24 3 5 6" xfId="25072"/>
    <cellStyle name="Input 24 3 6" xfId="25073"/>
    <cellStyle name="Input 24 3 6 2" xfId="25074"/>
    <cellStyle name="Input 24 3 7" xfId="25075"/>
    <cellStyle name="Input 24 3 7 2" xfId="25076"/>
    <cellStyle name="Input 24 3 8" xfId="25077"/>
    <cellStyle name="Input 24 3 9" xfId="25078"/>
    <cellStyle name="Input 24 4" xfId="25079"/>
    <cellStyle name="Input 24 4 2" xfId="25080"/>
    <cellStyle name="Input 24 4 2 2" xfId="25081"/>
    <cellStyle name="Input 24 4 2 2 2" xfId="25082"/>
    <cellStyle name="Input 24 4 2 2 2 2" xfId="25083"/>
    <cellStyle name="Input 24 4 2 2 3" xfId="25084"/>
    <cellStyle name="Input 24 4 2 2 3 2" xfId="25085"/>
    <cellStyle name="Input 24 4 2 2 4" xfId="25086"/>
    <cellStyle name="Input 24 4 2 2 5" xfId="25087"/>
    <cellStyle name="Input 24 4 2 2 6" xfId="25088"/>
    <cellStyle name="Input 24 4 2 3" xfId="25089"/>
    <cellStyle name="Input 24 4 2 3 2" xfId="25090"/>
    <cellStyle name="Input 24 4 2 4" xfId="25091"/>
    <cellStyle name="Input 24 4 2 4 2" xfId="25092"/>
    <cellStyle name="Input 24 4 2 5" xfId="25093"/>
    <cellStyle name="Input 24 4 2 6" xfId="25094"/>
    <cellStyle name="Input 24 4 2 7" xfId="25095"/>
    <cellStyle name="Input 24 4 3" xfId="25096"/>
    <cellStyle name="Input 24 4 3 2" xfId="25097"/>
    <cellStyle name="Input 24 4 3 2 2" xfId="25098"/>
    <cellStyle name="Input 24 4 3 3" xfId="25099"/>
    <cellStyle name="Input 24 4 3 3 2" xfId="25100"/>
    <cellStyle name="Input 24 4 3 4" xfId="25101"/>
    <cellStyle name="Input 24 4 3 5" xfId="25102"/>
    <cellStyle name="Input 24 4 3 6" xfId="25103"/>
    <cellStyle name="Input 24 4 4" xfId="25104"/>
    <cellStyle name="Input 24 4 4 2" xfId="25105"/>
    <cellStyle name="Input 24 4 5" xfId="25106"/>
    <cellStyle name="Input 24 4 5 2" xfId="25107"/>
    <cellStyle name="Input 24 4 6" xfId="25108"/>
    <cellStyle name="Input 24 4 7" xfId="25109"/>
    <cellStyle name="Input 24 4 8" xfId="25110"/>
    <cellStyle name="Input 24 5" xfId="25111"/>
    <cellStyle name="Input 24 5 2" xfId="25112"/>
    <cellStyle name="Input 24 5 2 2" xfId="25113"/>
    <cellStyle name="Input 24 5 2 2 2" xfId="25114"/>
    <cellStyle name="Input 24 5 2 3" xfId="25115"/>
    <cellStyle name="Input 24 5 2 3 2" xfId="25116"/>
    <cellStyle name="Input 24 5 2 4" xfId="25117"/>
    <cellStyle name="Input 24 5 2 5" xfId="25118"/>
    <cellStyle name="Input 24 5 2 6" xfId="25119"/>
    <cellStyle name="Input 24 5 3" xfId="25120"/>
    <cellStyle name="Input 24 5 3 2" xfId="25121"/>
    <cellStyle name="Input 24 5 4" xfId="25122"/>
    <cellStyle name="Input 24 5 4 2" xfId="25123"/>
    <cellStyle name="Input 24 5 5" xfId="25124"/>
    <cellStyle name="Input 24 5 6" xfId="25125"/>
    <cellStyle name="Input 24 5 7" xfId="25126"/>
    <cellStyle name="Input 24 6" xfId="25127"/>
    <cellStyle name="Input 24 6 2" xfId="25128"/>
    <cellStyle name="Input 24 6 2 2" xfId="25129"/>
    <cellStyle name="Input 24 6 3" xfId="25130"/>
    <cellStyle name="Input 24 6 3 2" xfId="25131"/>
    <cellStyle name="Input 24 6 4" xfId="25132"/>
    <cellStyle name="Input 24 6 5" xfId="25133"/>
    <cellStyle name="Input 24 6 6" xfId="25134"/>
    <cellStyle name="Input 24 7" xfId="25135"/>
    <cellStyle name="Input 24 7 2" xfId="25136"/>
    <cellStyle name="Input 24 8" xfId="25137"/>
    <cellStyle name="Input 24 8 2" xfId="25138"/>
    <cellStyle name="Input 24 9" xfId="25139"/>
    <cellStyle name="Input 25" xfId="25140"/>
    <cellStyle name="Input 25 10" xfId="25141"/>
    <cellStyle name="Input 25 11" xfId="25142"/>
    <cellStyle name="Input 25 2" xfId="25143"/>
    <cellStyle name="Input 25 2 10" xfId="25144"/>
    <cellStyle name="Input 25 2 2" xfId="25145"/>
    <cellStyle name="Input 25 2 2 10" xfId="25146"/>
    <cellStyle name="Input 25 2 2 2" xfId="25147"/>
    <cellStyle name="Input 25 2 2 2 2" xfId="25148"/>
    <cellStyle name="Input 25 2 2 2 2 2" xfId="25149"/>
    <cellStyle name="Input 25 2 2 2 2 2 2" xfId="25150"/>
    <cellStyle name="Input 25 2 2 2 2 2 2 2" xfId="25151"/>
    <cellStyle name="Input 25 2 2 2 2 2 3" xfId="25152"/>
    <cellStyle name="Input 25 2 2 2 2 2 3 2" xfId="25153"/>
    <cellStyle name="Input 25 2 2 2 2 2 4" xfId="25154"/>
    <cellStyle name="Input 25 2 2 2 2 2 5" xfId="25155"/>
    <cellStyle name="Input 25 2 2 2 2 2 6" xfId="25156"/>
    <cellStyle name="Input 25 2 2 2 2 3" xfId="25157"/>
    <cellStyle name="Input 25 2 2 2 2 3 2" xfId="25158"/>
    <cellStyle name="Input 25 2 2 2 2 4" xfId="25159"/>
    <cellStyle name="Input 25 2 2 2 2 4 2" xfId="25160"/>
    <cellStyle name="Input 25 2 2 2 2 5" xfId="25161"/>
    <cellStyle name="Input 25 2 2 2 2 6" xfId="25162"/>
    <cellStyle name="Input 25 2 2 2 2 7" xfId="25163"/>
    <cellStyle name="Input 25 2 2 2 3" xfId="25164"/>
    <cellStyle name="Input 25 2 2 2 3 2" xfId="25165"/>
    <cellStyle name="Input 25 2 2 2 3 2 2" xfId="25166"/>
    <cellStyle name="Input 25 2 2 2 3 3" xfId="25167"/>
    <cellStyle name="Input 25 2 2 2 3 3 2" xfId="25168"/>
    <cellStyle name="Input 25 2 2 2 3 4" xfId="25169"/>
    <cellStyle name="Input 25 2 2 2 3 5" xfId="25170"/>
    <cellStyle name="Input 25 2 2 2 3 6" xfId="25171"/>
    <cellStyle name="Input 25 2 2 2 4" xfId="25172"/>
    <cellStyle name="Input 25 2 2 2 4 2" xfId="25173"/>
    <cellStyle name="Input 25 2 2 2 5" xfId="25174"/>
    <cellStyle name="Input 25 2 2 2 5 2" xfId="25175"/>
    <cellStyle name="Input 25 2 2 2 6" xfId="25176"/>
    <cellStyle name="Input 25 2 2 2 7" xfId="25177"/>
    <cellStyle name="Input 25 2 2 2 8" xfId="25178"/>
    <cellStyle name="Input 25 2 2 3" xfId="25179"/>
    <cellStyle name="Input 25 2 2 3 2" xfId="25180"/>
    <cellStyle name="Input 25 2 2 3 2 2" xfId="25181"/>
    <cellStyle name="Input 25 2 2 3 2 2 2" xfId="25182"/>
    <cellStyle name="Input 25 2 2 3 2 2 2 2" xfId="25183"/>
    <cellStyle name="Input 25 2 2 3 2 2 3" xfId="25184"/>
    <cellStyle name="Input 25 2 2 3 2 2 3 2" xfId="25185"/>
    <cellStyle name="Input 25 2 2 3 2 2 4" xfId="25186"/>
    <cellStyle name="Input 25 2 2 3 2 2 5" xfId="25187"/>
    <cellStyle name="Input 25 2 2 3 2 2 6" xfId="25188"/>
    <cellStyle name="Input 25 2 2 3 2 3" xfId="25189"/>
    <cellStyle name="Input 25 2 2 3 2 3 2" xfId="25190"/>
    <cellStyle name="Input 25 2 2 3 2 4" xfId="25191"/>
    <cellStyle name="Input 25 2 2 3 2 4 2" xfId="25192"/>
    <cellStyle name="Input 25 2 2 3 2 5" xfId="25193"/>
    <cellStyle name="Input 25 2 2 3 2 6" xfId="25194"/>
    <cellStyle name="Input 25 2 2 3 2 7" xfId="25195"/>
    <cellStyle name="Input 25 2 2 3 3" xfId="25196"/>
    <cellStyle name="Input 25 2 2 3 3 2" xfId="25197"/>
    <cellStyle name="Input 25 2 2 3 3 2 2" xfId="25198"/>
    <cellStyle name="Input 25 2 2 3 3 3" xfId="25199"/>
    <cellStyle name="Input 25 2 2 3 3 3 2" xfId="25200"/>
    <cellStyle name="Input 25 2 2 3 3 4" xfId="25201"/>
    <cellStyle name="Input 25 2 2 3 3 5" xfId="25202"/>
    <cellStyle name="Input 25 2 2 3 3 6" xfId="25203"/>
    <cellStyle name="Input 25 2 2 3 4" xfId="25204"/>
    <cellStyle name="Input 25 2 2 3 4 2" xfId="25205"/>
    <cellStyle name="Input 25 2 2 3 5" xfId="25206"/>
    <cellStyle name="Input 25 2 2 3 5 2" xfId="25207"/>
    <cellStyle name="Input 25 2 2 3 6" xfId="25208"/>
    <cellStyle name="Input 25 2 2 3 7" xfId="25209"/>
    <cellStyle name="Input 25 2 2 3 8" xfId="25210"/>
    <cellStyle name="Input 25 2 2 4" xfId="25211"/>
    <cellStyle name="Input 25 2 2 4 2" xfId="25212"/>
    <cellStyle name="Input 25 2 2 4 2 2" xfId="25213"/>
    <cellStyle name="Input 25 2 2 4 2 2 2" xfId="25214"/>
    <cellStyle name="Input 25 2 2 4 2 3" xfId="25215"/>
    <cellStyle name="Input 25 2 2 4 2 3 2" xfId="25216"/>
    <cellStyle name="Input 25 2 2 4 2 4" xfId="25217"/>
    <cellStyle name="Input 25 2 2 4 2 5" xfId="25218"/>
    <cellStyle name="Input 25 2 2 4 2 6" xfId="25219"/>
    <cellStyle name="Input 25 2 2 4 3" xfId="25220"/>
    <cellStyle name="Input 25 2 2 4 3 2" xfId="25221"/>
    <cellStyle name="Input 25 2 2 4 4" xfId="25222"/>
    <cellStyle name="Input 25 2 2 4 4 2" xfId="25223"/>
    <cellStyle name="Input 25 2 2 4 5" xfId="25224"/>
    <cellStyle name="Input 25 2 2 4 6" xfId="25225"/>
    <cellStyle name="Input 25 2 2 4 7" xfId="25226"/>
    <cellStyle name="Input 25 2 2 5" xfId="25227"/>
    <cellStyle name="Input 25 2 2 5 2" xfId="25228"/>
    <cellStyle name="Input 25 2 2 5 2 2" xfId="25229"/>
    <cellStyle name="Input 25 2 2 5 3" xfId="25230"/>
    <cellStyle name="Input 25 2 2 5 3 2" xfId="25231"/>
    <cellStyle name="Input 25 2 2 5 4" xfId="25232"/>
    <cellStyle name="Input 25 2 2 5 5" xfId="25233"/>
    <cellStyle name="Input 25 2 2 5 6" xfId="25234"/>
    <cellStyle name="Input 25 2 2 6" xfId="25235"/>
    <cellStyle name="Input 25 2 2 6 2" xfId="25236"/>
    <cellStyle name="Input 25 2 2 7" xfId="25237"/>
    <cellStyle name="Input 25 2 2 7 2" xfId="25238"/>
    <cellStyle name="Input 25 2 2 8" xfId="25239"/>
    <cellStyle name="Input 25 2 2 9" xfId="25240"/>
    <cellStyle name="Input 25 2 3" xfId="25241"/>
    <cellStyle name="Input 25 2 3 2" xfId="25242"/>
    <cellStyle name="Input 25 2 3 2 2" xfId="25243"/>
    <cellStyle name="Input 25 2 3 2 2 2" xfId="25244"/>
    <cellStyle name="Input 25 2 3 2 2 2 2" xfId="25245"/>
    <cellStyle name="Input 25 2 3 2 2 3" xfId="25246"/>
    <cellStyle name="Input 25 2 3 2 2 3 2" xfId="25247"/>
    <cellStyle name="Input 25 2 3 2 2 4" xfId="25248"/>
    <cellStyle name="Input 25 2 3 2 2 5" xfId="25249"/>
    <cellStyle name="Input 25 2 3 2 2 6" xfId="25250"/>
    <cellStyle name="Input 25 2 3 2 3" xfId="25251"/>
    <cellStyle name="Input 25 2 3 2 3 2" xfId="25252"/>
    <cellStyle name="Input 25 2 3 2 4" xfId="25253"/>
    <cellStyle name="Input 25 2 3 2 4 2" xfId="25254"/>
    <cellStyle name="Input 25 2 3 2 5" xfId="25255"/>
    <cellStyle name="Input 25 2 3 2 6" xfId="25256"/>
    <cellStyle name="Input 25 2 3 2 7" xfId="25257"/>
    <cellStyle name="Input 25 2 3 3" xfId="25258"/>
    <cellStyle name="Input 25 2 3 3 2" xfId="25259"/>
    <cellStyle name="Input 25 2 3 3 2 2" xfId="25260"/>
    <cellStyle name="Input 25 2 3 3 3" xfId="25261"/>
    <cellStyle name="Input 25 2 3 3 3 2" xfId="25262"/>
    <cellStyle name="Input 25 2 3 3 4" xfId="25263"/>
    <cellStyle name="Input 25 2 3 3 5" xfId="25264"/>
    <cellStyle name="Input 25 2 3 3 6" xfId="25265"/>
    <cellStyle name="Input 25 2 3 4" xfId="25266"/>
    <cellStyle name="Input 25 2 3 4 2" xfId="25267"/>
    <cellStyle name="Input 25 2 3 5" xfId="25268"/>
    <cellStyle name="Input 25 2 3 5 2" xfId="25269"/>
    <cellStyle name="Input 25 2 3 6" xfId="25270"/>
    <cellStyle name="Input 25 2 3 7" xfId="25271"/>
    <cellStyle name="Input 25 2 3 8" xfId="25272"/>
    <cellStyle name="Input 25 2 4" xfId="25273"/>
    <cellStyle name="Input 25 2 4 2" xfId="25274"/>
    <cellStyle name="Input 25 2 4 2 2" xfId="25275"/>
    <cellStyle name="Input 25 2 4 2 2 2" xfId="25276"/>
    <cellStyle name="Input 25 2 4 2 3" xfId="25277"/>
    <cellStyle name="Input 25 2 4 2 3 2" xfId="25278"/>
    <cellStyle name="Input 25 2 4 2 4" xfId="25279"/>
    <cellStyle name="Input 25 2 4 2 5" xfId="25280"/>
    <cellStyle name="Input 25 2 4 2 6" xfId="25281"/>
    <cellStyle name="Input 25 2 4 3" xfId="25282"/>
    <cellStyle name="Input 25 2 4 3 2" xfId="25283"/>
    <cellStyle name="Input 25 2 4 4" xfId="25284"/>
    <cellStyle name="Input 25 2 4 4 2" xfId="25285"/>
    <cellStyle name="Input 25 2 4 5" xfId="25286"/>
    <cellStyle name="Input 25 2 4 6" xfId="25287"/>
    <cellStyle name="Input 25 2 4 7" xfId="25288"/>
    <cellStyle name="Input 25 2 5" xfId="25289"/>
    <cellStyle name="Input 25 2 5 2" xfId="25290"/>
    <cellStyle name="Input 25 2 5 2 2" xfId="25291"/>
    <cellStyle name="Input 25 2 5 3" xfId="25292"/>
    <cellStyle name="Input 25 2 5 3 2" xfId="25293"/>
    <cellStyle name="Input 25 2 5 4" xfId="25294"/>
    <cellStyle name="Input 25 2 5 5" xfId="25295"/>
    <cellStyle name="Input 25 2 5 6" xfId="25296"/>
    <cellStyle name="Input 25 2 6" xfId="25297"/>
    <cellStyle name="Input 25 2 6 2" xfId="25298"/>
    <cellStyle name="Input 25 2 7" xfId="25299"/>
    <cellStyle name="Input 25 2 7 2" xfId="25300"/>
    <cellStyle name="Input 25 2 8" xfId="25301"/>
    <cellStyle name="Input 25 2 9" xfId="25302"/>
    <cellStyle name="Input 25 3" xfId="25303"/>
    <cellStyle name="Input 25 3 10" xfId="25304"/>
    <cellStyle name="Input 25 3 2" xfId="25305"/>
    <cellStyle name="Input 25 3 2 2" xfId="25306"/>
    <cellStyle name="Input 25 3 2 2 2" xfId="25307"/>
    <cellStyle name="Input 25 3 2 2 2 2" xfId="25308"/>
    <cellStyle name="Input 25 3 2 2 2 2 2" xfId="25309"/>
    <cellStyle name="Input 25 3 2 2 2 3" xfId="25310"/>
    <cellStyle name="Input 25 3 2 2 2 3 2" xfId="25311"/>
    <cellStyle name="Input 25 3 2 2 2 4" xfId="25312"/>
    <cellStyle name="Input 25 3 2 2 2 5" xfId="25313"/>
    <cellStyle name="Input 25 3 2 2 2 6" xfId="25314"/>
    <cellStyle name="Input 25 3 2 2 3" xfId="25315"/>
    <cellStyle name="Input 25 3 2 2 3 2" xfId="25316"/>
    <cellStyle name="Input 25 3 2 2 4" xfId="25317"/>
    <cellStyle name="Input 25 3 2 2 4 2" xfId="25318"/>
    <cellStyle name="Input 25 3 2 2 5" xfId="25319"/>
    <cellStyle name="Input 25 3 2 2 6" xfId="25320"/>
    <cellStyle name="Input 25 3 2 2 7" xfId="25321"/>
    <cellStyle name="Input 25 3 2 3" xfId="25322"/>
    <cellStyle name="Input 25 3 2 3 2" xfId="25323"/>
    <cellStyle name="Input 25 3 2 3 2 2" xfId="25324"/>
    <cellStyle name="Input 25 3 2 3 3" xfId="25325"/>
    <cellStyle name="Input 25 3 2 3 3 2" xfId="25326"/>
    <cellStyle name="Input 25 3 2 3 4" xfId="25327"/>
    <cellStyle name="Input 25 3 2 3 5" xfId="25328"/>
    <cellStyle name="Input 25 3 2 3 6" xfId="25329"/>
    <cellStyle name="Input 25 3 2 4" xfId="25330"/>
    <cellStyle name="Input 25 3 2 4 2" xfId="25331"/>
    <cellStyle name="Input 25 3 2 5" xfId="25332"/>
    <cellStyle name="Input 25 3 2 5 2" xfId="25333"/>
    <cellStyle name="Input 25 3 2 6" xfId="25334"/>
    <cellStyle name="Input 25 3 2 7" xfId="25335"/>
    <cellStyle name="Input 25 3 2 8" xfId="25336"/>
    <cellStyle name="Input 25 3 3" xfId="25337"/>
    <cellStyle name="Input 25 3 3 2" xfId="25338"/>
    <cellStyle name="Input 25 3 3 2 2" xfId="25339"/>
    <cellStyle name="Input 25 3 3 2 2 2" xfId="25340"/>
    <cellStyle name="Input 25 3 3 2 2 2 2" xfId="25341"/>
    <cellStyle name="Input 25 3 3 2 2 3" xfId="25342"/>
    <cellStyle name="Input 25 3 3 2 2 3 2" xfId="25343"/>
    <cellStyle name="Input 25 3 3 2 2 4" xfId="25344"/>
    <cellStyle name="Input 25 3 3 2 2 5" xfId="25345"/>
    <cellStyle name="Input 25 3 3 2 2 6" xfId="25346"/>
    <cellStyle name="Input 25 3 3 2 3" xfId="25347"/>
    <cellStyle name="Input 25 3 3 2 3 2" xfId="25348"/>
    <cellStyle name="Input 25 3 3 2 4" xfId="25349"/>
    <cellStyle name="Input 25 3 3 2 4 2" xfId="25350"/>
    <cellStyle name="Input 25 3 3 2 5" xfId="25351"/>
    <cellStyle name="Input 25 3 3 2 6" xfId="25352"/>
    <cellStyle name="Input 25 3 3 2 7" xfId="25353"/>
    <cellStyle name="Input 25 3 3 3" xfId="25354"/>
    <cellStyle name="Input 25 3 3 3 2" xfId="25355"/>
    <cellStyle name="Input 25 3 3 3 2 2" xfId="25356"/>
    <cellStyle name="Input 25 3 3 3 3" xfId="25357"/>
    <cellStyle name="Input 25 3 3 3 3 2" xfId="25358"/>
    <cellStyle name="Input 25 3 3 3 4" xfId="25359"/>
    <cellStyle name="Input 25 3 3 3 5" xfId="25360"/>
    <cellStyle name="Input 25 3 3 3 6" xfId="25361"/>
    <cellStyle name="Input 25 3 3 4" xfId="25362"/>
    <cellStyle name="Input 25 3 3 4 2" xfId="25363"/>
    <cellStyle name="Input 25 3 3 5" xfId="25364"/>
    <cellStyle name="Input 25 3 3 5 2" xfId="25365"/>
    <cellStyle name="Input 25 3 3 6" xfId="25366"/>
    <cellStyle name="Input 25 3 3 7" xfId="25367"/>
    <cellStyle name="Input 25 3 3 8" xfId="25368"/>
    <cellStyle name="Input 25 3 4" xfId="25369"/>
    <cellStyle name="Input 25 3 4 2" xfId="25370"/>
    <cellStyle name="Input 25 3 4 2 2" xfId="25371"/>
    <cellStyle name="Input 25 3 4 2 2 2" xfId="25372"/>
    <cellStyle name="Input 25 3 4 2 3" xfId="25373"/>
    <cellStyle name="Input 25 3 4 2 3 2" xfId="25374"/>
    <cellStyle name="Input 25 3 4 2 4" xfId="25375"/>
    <cellStyle name="Input 25 3 4 2 5" xfId="25376"/>
    <cellStyle name="Input 25 3 4 2 6" xfId="25377"/>
    <cellStyle name="Input 25 3 4 3" xfId="25378"/>
    <cellStyle name="Input 25 3 4 3 2" xfId="25379"/>
    <cellStyle name="Input 25 3 4 4" xfId="25380"/>
    <cellStyle name="Input 25 3 4 4 2" xfId="25381"/>
    <cellStyle name="Input 25 3 4 5" xfId="25382"/>
    <cellStyle name="Input 25 3 4 6" xfId="25383"/>
    <cellStyle name="Input 25 3 4 7" xfId="25384"/>
    <cellStyle name="Input 25 3 5" xfId="25385"/>
    <cellStyle name="Input 25 3 5 2" xfId="25386"/>
    <cellStyle name="Input 25 3 5 2 2" xfId="25387"/>
    <cellStyle name="Input 25 3 5 3" xfId="25388"/>
    <cellStyle name="Input 25 3 5 3 2" xfId="25389"/>
    <cellStyle name="Input 25 3 5 4" xfId="25390"/>
    <cellStyle name="Input 25 3 5 5" xfId="25391"/>
    <cellStyle name="Input 25 3 5 6" xfId="25392"/>
    <cellStyle name="Input 25 3 6" xfId="25393"/>
    <cellStyle name="Input 25 3 6 2" xfId="25394"/>
    <cellStyle name="Input 25 3 7" xfId="25395"/>
    <cellStyle name="Input 25 3 7 2" xfId="25396"/>
    <cellStyle name="Input 25 3 8" xfId="25397"/>
    <cellStyle name="Input 25 3 9" xfId="25398"/>
    <cellStyle name="Input 25 4" xfId="25399"/>
    <cellStyle name="Input 25 4 2" xfId="25400"/>
    <cellStyle name="Input 25 4 2 2" xfId="25401"/>
    <cellStyle name="Input 25 4 2 2 2" xfId="25402"/>
    <cellStyle name="Input 25 4 2 2 2 2" xfId="25403"/>
    <cellStyle name="Input 25 4 2 2 3" xfId="25404"/>
    <cellStyle name="Input 25 4 2 2 3 2" xfId="25405"/>
    <cellStyle name="Input 25 4 2 2 4" xfId="25406"/>
    <cellStyle name="Input 25 4 2 2 5" xfId="25407"/>
    <cellStyle name="Input 25 4 2 2 6" xfId="25408"/>
    <cellStyle name="Input 25 4 2 3" xfId="25409"/>
    <cellStyle name="Input 25 4 2 3 2" xfId="25410"/>
    <cellStyle name="Input 25 4 2 4" xfId="25411"/>
    <cellStyle name="Input 25 4 2 4 2" xfId="25412"/>
    <cellStyle name="Input 25 4 2 5" xfId="25413"/>
    <cellStyle name="Input 25 4 2 6" xfId="25414"/>
    <cellStyle name="Input 25 4 2 7" xfId="25415"/>
    <cellStyle name="Input 25 4 3" xfId="25416"/>
    <cellStyle name="Input 25 4 3 2" xfId="25417"/>
    <cellStyle name="Input 25 4 3 2 2" xfId="25418"/>
    <cellStyle name="Input 25 4 3 3" xfId="25419"/>
    <cellStyle name="Input 25 4 3 3 2" xfId="25420"/>
    <cellStyle name="Input 25 4 3 4" xfId="25421"/>
    <cellStyle name="Input 25 4 3 5" xfId="25422"/>
    <cellStyle name="Input 25 4 3 6" xfId="25423"/>
    <cellStyle name="Input 25 4 4" xfId="25424"/>
    <cellStyle name="Input 25 4 4 2" xfId="25425"/>
    <cellStyle name="Input 25 4 5" xfId="25426"/>
    <cellStyle name="Input 25 4 5 2" xfId="25427"/>
    <cellStyle name="Input 25 4 6" xfId="25428"/>
    <cellStyle name="Input 25 4 7" xfId="25429"/>
    <cellStyle name="Input 25 4 8" xfId="25430"/>
    <cellStyle name="Input 25 5" xfId="25431"/>
    <cellStyle name="Input 25 5 2" xfId="25432"/>
    <cellStyle name="Input 25 5 2 2" xfId="25433"/>
    <cellStyle name="Input 25 5 2 2 2" xfId="25434"/>
    <cellStyle name="Input 25 5 2 3" xfId="25435"/>
    <cellStyle name="Input 25 5 2 3 2" xfId="25436"/>
    <cellStyle name="Input 25 5 2 4" xfId="25437"/>
    <cellStyle name="Input 25 5 2 5" xfId="25438"/>
    <cellStyle name="Input 25 5 2 6" xfId="25439"/>
    <cellStyle name="Input 25 5 3" xfId="25440"/>
    <cellStyle name="Input 25 5 3 2" xfId="25441"/>
    <cellStyle name="Input 25 5 4" xfId="25442"/>
    <cellStyle name="Input 25 5 4 2" xfId="25443"/>
    <cellStyle name="Input 25 5 5" xfId="25444"/>
    <cellStyle name="Input 25 5 6" xfId="25445"/>
    <cellStyle name="Input 25 5 7" xfId="25446"/>
    <cellStyle name="Input 25 6" xfId="25447"/>
    <cellStyle name="Input 25 6 2" xfId="25448"/>
    <cellStyle name="Input 25 6 2 2" xfId="25449"/>
    <cellStyle name="Input 25 6 3" xfId="25450"/>
    <cellStyle name="Input 25 6 3 2" xfId="25451"/>
    <cellStyle name="Input 25 6 4" xfId="25452"/>
    <cellStyle name="Input 25 6 5" xfId="25453"/>
    <cellStyle name="Input 25 6 6" xfId="25454"/>
    <cellStyle name="Input 25 7" xfId="25455"/>
    <cellStyle name="Input 25 7 2" xfId="25456"/>
    <cellStyle name="Input 25 8" xfId="25457"/>
    <cellStyle name="Input 25 8 2" xfId="25458"/>
    <cellStyle name="Input 25 9" xfId="25459"/>
    <cellStyle name="Input 26" xfId="25460"/>
    <cellStyle name="Input 26 10" xfId="25461"/>
    <cellStyle name="Input 26 11" xfId="25462"/>
    <cellStyle name="Input 26 2" xfId="25463"/>
    <cellStyle name="Input 26 2 10" xfId="25464"/>
    <cellStyle name="Input 26 2 2" xfId="25465"/>
    <cellStyle name="Input 26 2 2 10" xfId="25466"/>
    <cellStyle name="Input 26 2 2 2" xfId="25467"/>
    <cellStyle name="Input 26 2 2 2 2" xfId="25468"/>
    <cellStyle name="Input 26 2 2 2 2 2" xfId="25469"/>
    <cellStyle name="Input 26 2 2 2 2 2 2" xfId="25470"/>
    <cellStyle name="Input 26 2 2 2 2 2 2 2" xfId="25471"/>
    <cellStyle name="Input 26 2 2 2 2 2 3" xfId="25472"/>
    <cellStyle name="Input 26 2 2 2 2 2 3 2" xfId="25473"/>
    <cellStyle name="Input 26 2 2 2 2 2 4" xfId="25474"/>
    <cellStyle name="Input 26 2 2 2 2 2 5" xfId="25475"/>
    <cellStyle name="Input 26 2 2 2 2 2 6" xfId="25476"/>
    <cellStyle name="Input 26 2 2 2 2 3" xfId="25477"/>
    <cellStyle name="Input 26 2 2 2 2 3 2" xfId="25478"/>
    <cellStyle name="Input 26 2 2 2 2 4" xfId="25479"/>
    <cellStyle name="Input 26 2 2 2 2 4 2" xfId="25480"/>
    <cellStyle name="Input 26 2 2 2 2 5" xfId="25481"/>
    <cellStyle name="Input 26 2 2 2 2 6" xfId="25482"/>
    <cellStyle name="Input 26 2 2 2 2 7" xfId="25483"/>
    <cellStyle name="Input 26 2 2 2 3" xfId="25484"/>
    <cellStyle name="Input 26 2 2 2 3 2" xfId="25485"/>
    <cellStyle name="Input 26 2 2 2 3 2 2" xfId="25486"/>
    <cellStyle name="Input 26 2 2 2 3 3" xfId="25487"/>
    <cellStyle name="Input 26 2 2 2 3 3 2" xfId="25488"/>
    <cellStyle name="Input 26 2 2 2 3 4" xfId="25489"/>
    <cellStyle name="Input 26 2 2 2 3 5" xfId="25490"/>
    <cellStyle name="Input 26 2 2 2 3 6" xfId="25491"/>
    <cellStyle name="Input 26 2 2 2 4" xfId="25492"/>
    <cellStyle name="Input 26 2 2 2 4 2" xfId="25493"/>
    <cellStyle name="Input 26 2 2 2 5" xfId="25494"/>
    <cellStyle name="Input 26 2 2 2 5 2" xfId="25495"/>
    <cellStyle name="Input 26 2 2 2 6" xfId="25496"/>
    <cellStyle name="Input 26 2 2 2 7" xfId="25497"/>
    <cellStyle name="Input 26 2 2 2 8" xfId="25498"/>
    <cellStyle name="Input 26 2 2 3" xfId="25499"/>
    <cellStyle name="Input 26 2 2 3 2" xfId="25500"/>
    <cellStyle name="Input 26 2 2 3 2 2" xfId="25501"/>
    <cellStyle name="Input 26 2 2 3 2 2 2" xfId="25502"/>
    <cellStyle name="Input 26 2 2 3 2 2 2 2" xfId="25503"/>
    <cellStyle name="Input 26 2 2 3 2 2 3" xfId="25504"/>
    <cellStyle name="Input 26 2 2 3 2 2 3 2" xfId="25505"/>
    <cellStyle name="Input 26 2 2 3 2 2 4" xfId="25506"/>
    <cellStyle name="Input 26 2 2 3 2 2 5" xfId="25507"/>
    <cellStyle name="Input 26 2 2 3 2 2 6" xfId="25508"/>
    <cellStyle name="Input 26 2 2 3 2 3" xfId="25509"/>
    <cellStyle name="Input 26 2 2 3 2 3 2" xfId="25510"/>
    <cellStyle name="Input 26 2 2 3 2 4" xfId="25511"/>
    <cellStyle name="Input 26 2 2 3 2 4 2" xfId="25512"/>
    <cellStyle name="Input 26 2 2 3 2 5" xfId="25513"/>
    <cellStyle name="Input 26 2 2 3 2 6" xfId="25514"/>
    <cellStyle name="Input 26 2 2 3 2 7" xfId="25515"/>
    <cellStyle name="Input 26 2 2 3 3" xfId="25516"/>
    <cellStyle name="Input 26 2 2 3 3 2" xfId="25517"/>
    <cellStyle name="Input 26 2 2 3 3 2 2" xfId="25518"/>
    <cellStyle name="Input 26 2 2 3 3 3" xfId="25519"/>
    <cellStyle name="Input 26 2 2 3 3 3 2" xfId="25520"/>
    <cellStyle name="Input 26 2 2 3 3 4" xfId="25521"/>
    <cellStyle name="Input 26 2 2 3 3 5" xfId="25522"/>
    <cellStyle name="Input 26 2 2 3 3 6" xfId="25523"/>
    <cellStyle name="Input 26 2 2 3 4" xfId="25524"/>
    <cellStyle name="Input 26 2 2 3 4 2" xfId="25525"/>
    <cellStyle name="Input 26 2 2 3 5" xfId="25526"/>
    <cellStyle name="Input 26 2 2 3 5 2" xfId="25527"/>
    <cellStyle name="Input 26 2 2 3 6" xfId="25528"/>
    <cellStyle name="Input 26 2 2 3 7" xfId="25529"/>
    <cellStyle name="Input 26 2 2 3 8" xfId="25530"/>
    <cellStyle name="Input 26 2 2 4" xfId="25531"/>
    <cellStyle name="Input 26 2 2 4 2" xfId="25532"/>
    <cellStyle name="Input 26 2 2 4 2 2" xfId="25533"/>
    <cellStyle name="Input 26 2 2 4 2 2 2" xfId="25534"/>
    <cellStyle name="Input 26 2 2 4 2 3" xfId="25535"/>
    <cellStyle name="Input 26 2 2 4 2 3 2" xfId="25536"/>
    <cellStyle name="Input 26 2 2 4 2 4" xfId="25537"/>
    <cellStyle name="Input 26 2 2 4 2 5" xfId="25538"/>
    <cellStyle name="Input 26 2 2 4 2 6" xfId="25539"/>
    <cellStyle name="Input 26 2 2 4 3" xfId="25540"/>
    <cellStyle name="Input 26 2 2 4 3 2" xfId="25541"/>
    <cellStyle name="Input 26 2 2 4 4" xfId="25542"/>
    <cellStyle name="Input 26 2 2 4 4 2" xfId="25543"/>
    <cellStyle name="Input 26 2 2 4 5" xfId="25544"/>
    <cellStyle name="Input 26 2 2 4 6" xfId="25545"/>
    <cellStyle name="Input 26 2 2 4 7" xfId="25546"/>
    <cellStyle name="Input 26 2 2 5" xfId="25547"/>
    <cellStyle name="Input 26 2 2 5 2" xfId="25548"/>
    <cellStyle name="Input 26 2 2 5 2 2" xfId="25549"/>
    <cellStyle name="Input 26 2 2 5 3" xfId="25550"/>
    <cellStyle name="Input 26 2 2 5 3 2" xfId="25551"/>
    <cellStyle name="Input 26 2 2 5 4" xfId="25552"/>
    <cellStyle name="Input 26 2 2 5 5" xfId="25553"/>
    <cellStyle name="Input 26 2 2 5 6" xfId="25554"/>
    <cellStyle name="Input 26 2 2 6" xfId="25555"/>
    <cellStyle name="Input 26 2 2 6 2" xfId="25556"/>
    <cellStyle name="Input 26 2 2 7" xfId="25557"/>
    <cellStyle name="Input 26 2 2 7 2" xfId="25558"/>
    <cellStyle name="Input 26 2 2 8" xfId="25559"/>
    <cellStyle name="Input 26 2 2 9" xfId="25560"/>
    <cellStyle name="Input 26 2 3" xfId="25561"/>
    <cellStyle name="Input 26 2 3 2" xfId="25562"/>
    <cellStyle name="Input 26 2 3 2 2" xfId="25563"/>
    <cellStyle name="Input 26 2 3 2 2 2" xfId="25564"/>
    <cellStyle name="Input 26 2 3 2 2 2 2" xfId="25565"/>
    <cellStyle name="Input 26 2 3 2 2 3" xfId="25566"/>
    <cellStyle name="Input 26 2 3 2 2 3 2" xfId="25567"/>
    <cellStyle name="Input 26 2 3 2 2 4" xfId="25568"/>
    <cellStyle name="Input 26 2 3 2 2 5" xfId="25569"/>
    <cellStyle name="Input 26 2 3 2 2 6" xfId="25570"/>
    <cellStyle name="Input 26 2 3 2 3" xfId="25571"/>
    <cellStyle name="Input 26 2 3 2 3 2" xfId="25572"/>
    <cellStyle name="Input 26 2 3 2 4" xfId="25573"/>
    <cellStyle name="Input 26 2 3 2 4 2" xfId="25574"/>
    <cellStyle name="Input 26 2 3 2 5" xfId="25575"/>
    <cellStyle name="Input 26 2 3 2 6" xfId="25576"/>
    <cellStyle name="Input 26 2 3 2 7" xfId="25577"/>
    <cellStyle name="Input 26 2 3 3" xfId="25578"/>
    <cellStyle name="Input 26 2 3 3 2" xfId="25579"/>
    <cellStyle name="Input 26 2 3 3 2 2" xfId="25580"/>
    <cellStyle name="Input 26 2 3 3 3" xfId="25581"/>
    <cellStyle name="Input 26 2 3 3 3 2" xfId="25582"/>
    <cellStyle name="Input 26 2 3 3 4" xfId="25583"/>
    <cellStyle name="Input 26 2 3 3 5" xfId="25584"/>
    <cellStyle name="Input 26 2 3 3 6" xfId="25585"/>
    <cellStyle name="Input 26 2 3 4" xfId="25586"/>
    <cellStyle name="Input 26 2 3 4 2" xfId="25587"/>
    <cellStyle name="Input 26 2 3 5" xfId="25588"/>
    <cellStyle name="Input 26 2 3 5 2" xfId="25589"/>
    <cellStyle name="Input 26 2 3 6" xfId="25590"/>
    <cellStyle name="Input 26 2 3 7" xfId="25591"/>
    <cellStyle name="Input 26 2 3 8" xfId="25592"/>
    <cellStyle name="Input 26 2 4" xfId="25593"/>
    <cellStyle name="Input 26 2 4 2" xfId="25594"/>
    <cellStyle name="Input 26 2 4 2 2" xfId="25595"/>
    <cellStyle name="Input 26 2 4 2 2 2" xfId="25596"/>
    <cellStyle name="Input 26 2 4 2 3" xfId="25597"/>
    <cellStyle name="Input 26 2 4 2 3 2" xfId="25598"/>
    <cellStyle name="Input 26 2 4 2 4" xfId="25599"/>
    <cellStyle name="Input 26 2 4 2 5" xfId="25600"/>
    <cellStyle name="Input 26 2 4 2 6" xfId="25601"/>
    <cellStyle name="Input 26 2 4 3" xfId="25602"/>
    <cellStyle name="Input 26 2 4 3 2" xfId="25603"/>
    <cellStyle name="Input 26 2 4 4" xfId="25604"/>
    <cellStyle name="Input 26 2 4 4 2" xfId="25605"/>
    <cellStyle name="Input 26 2 4 5" xfId="25606"/>
    <cellStyle name="Input 26 2 4 6" xfId="25607"/>
    <cellStyle name="Input 26 2 4 7" xfId="25608"/>
    <cellStyle name="Input 26 2 5" xfId="25609"/>
    <cellStyle name="Input 26 2 5 2" xfId="25610"/>
    <cellStyle name="Input 26 2 5 2 2" xfId="25611"/>
    <cellStyle name="Input 26 2 5 3" xfId="25612"/>
    <cellStyle name="Input 26 2 5 3 2" xfId="25613"/>
    <cellStyle name="Input 26 2 5 4" xfId="25614"/>
    <cellStyle name="Input 26 2 5 5" xfId="25615"/>
    <cellStyle name="Input 26 2 5 6" xfId="25616"/>
    <cellStyle name="Input 26 2 6" xfId="25617"/>
    <cellStyle name="Input 26 2 6 2" xfId="25618"/>
    <cellStyle name="Input 26 2 7" xfId="25619"/>
    <cellStyle name="Input 26 2 7 2" xfId="25620"/>
    <cellStyle name="Input 26 2 8" xfId="25621"/>
    <cellStyle name="Input 26 2 9" xfId="25622"/>
    <cellStyle name="Input 26 3" xfId="25623"/>
    <cellStyle name="Input 26 3 10" xfId="25624"/>
    <cellStyle name="Input 26 3 2" xfId="25625"/>
    <cellStyle name="Input 26 3 2 2" xfId="25626"/>
    <cellStyle name="Input 26 3 2 2 2" xfId="25627"/>
    <cellStyle name="Input 26 3 2 2 2 2" xfId="25628"/>
    <cellStyle name="Input 26 3 2 2 2 2 2" xfId="25629"/>
    <cellStyle name="Input 26 3 2 2 2 3" xfId="25630"/>
    <cellStyle name="Input 26 3 2 2 2 3 2" xfId="25631"/>
    <cellStyle name="Input 26 3 2 2 2 4" xfId="25632"/>
    <cellStyle name="Input 26 3 2 2 2 5" xfId="25633"/>
    <cellStyle name="Input 26 3 2 2 2 6" xfId="25634"/>
    <cellStyle name="Input 26 3 2 2 3" xfId="25635"/>
    <cellStyle name="Input 26 3 2 2 3 2" xfId="25636"/>
    <cellStyle name="Input 26 3 2 2 4" xfId="25637"/>
    <cellStyle name="Input 26 3 2 2 4 2" xfId="25638"/>
    <cellStyle name="Input 26 3 2 2 5" xfId="25639"/>
    <cellStyle name="Input 26 3 2 2 6" xfId="25640"/>
    <cellStyle name="Input 26 3 2 2 7" xfId="25641"/>
    <cellStyle name="Input 26 3 2 3" xfId="25642"/>
    <cellStyle name="Input 26 3 2 3 2" xfId="25643"/>
    <cellStyle name="Input 26 3 2 3 2 2" xfId="25644"/>
    <cellStyle name="Input 26 3 2 3 3" xfId="25645"/>
    <cellStyle name="Input 26 3 2 3 3 2" xfId="25646"/>
    <cellStyle name="Input 26 3 2 3 4" xfId="25647"/>
    <cellStyle name="Input 26 3 2 3 5" xfId="25648"/>
    <cellStyle name="Input 26 3 2 3 6" xfId="25649"/>
    <cellStyle name="Input 26 3 2 4" xfId="25650"/>
    <cellStyle name="Input 26 3 2 4 2" xfId="25651"/>
    <cellStyle name="Input 26 3 2 5" xfId="25652"/>
    <cellStyle name="Input 26 3 2 5 2" xfId="25653"/>
    <cellStyle name="Input 26 3 2 6" xfId="25654"/>
    <cellStyle name="Input 26 3 2 7" xfId="25655"/>
    <cellStyle name="Input 26 3 2 8" xfId="25656"/>
    <cellStyle name="Input 26 3 3" xfId="25657"/>
    <cellStyle name="Input 26 3 3 2" xfId="25658"/>
    <cellStyle name="Input 26 3 3 2 2" xfId="25659"/>
    <cellStyle name="Input 26 3 3 2 2 2" xfId="25660"/>
    <cellStyle name="Input 26 3 3 2 2 2 2" xfId="25661"/>
    <cellStyle name="Input 26 3 3 2 2 3" xfId="25662"/>
    <cellStyle name="Input 26 3 3 2 2 3 2" xfId="25663"/>
    <cellStyle name="Input 26 3 3 2 2 4" xfId="25664"/>
    <cellStyle name="Input 26 3 3 2 2 5" xfId="25665"/>
    <cellStyle name="Input 26 3 3 2 2 6" xfId="25666"/>
    <cellStyle name="Input 26 3 3 2 3" xfId="25667"/>
    <cellStyle name="Input 26 3 3 2 3 2" xfId="25668"/>
    <cellStyle name="Input 26 3 3 2 4" xfId="25669"/>
    <cellStyle name="Input 26 3 3 2 4 2" xfId="25670"/>
    <cellStyle name="Input 26 3 3 2 5" xfId="25671"/>
    <cellStyle name="Input 26 3 3 2 6" xfId="25672"/>
    <cellStyle name="Input 26 3 3 2 7" xfId="25673"/>
    <cellStyle name="Input 26 3 3 3" xfId="25674"/>
    <cellStyle name="Input 26 3 3 3 2" xfId="25675"/>
    <cellStyle name="Input 26 3 3 3 2 2" xfId="25676"/>
    <cellStyle name="Input 26 3 3 3 3" xfId="25677"/>
    <cellStyle name="Input 26 3 3 3 3 2" xfId="25678"/>
    <cellStyle name="Input 26 3 3 3 4" xfId="25679"/>
    <cellStyle name="Input 26 3 3 3 5" xfId="25680"/>
    <cellStyle name="Input 26 3 3 3 6" xfId="25681"/>
    <cellStyle name="Input 26 3 3 4" xfId="25682"/>
    <cellStyle name="Input 26 3 3 4 2" xfId="25683"/>
    <cellStyle name="Input 26 3 3 5" xfId="25684"/>
    <cellStyle name="Input 26 3 3 5 2" xfId="25685"/>
    <cellStyle name="Input 26 3 3 6" xfId="25686"/>
    <cellStyle name="Input 26 3 3 7" xfId="25687"/>
    <cellStyle name="Input 26 3 3 8" xfId="25688"/>
    <cellStyle name="Input 26 3 4" xfId="25689"/>
    <cellStyle name="Input 26 3 4 2" xfId="25690"/>
    <cellStyle name="Input 26 3 4 2 2" xfId="25691"/>
    <cellStyle name="Input 26 3 4 2 2 2" xfId="25692"/>
    <cellStyle name="Input 26 3 4 2 3" xfId="25693"/>
    <cellStyle name="Input 26 3 4 2 3 2" xfId="25694"/>
    <cellStyle name="Input 26 3 4 2 4" xfId="25695"/>
    <cellStyle name="Input 26 3 4 2 5" xfId="25696"/>
    <cellStyle name="Input 26 3 4 2 6" xfId="25697"/>
    <cellStyle name="Input 26 3 4 3" xfId="25698"/>
    <cellStyle name="Input 26 3 4 3 2" xfId="25699"/>
    <cellStyle name="Input 26 3 4 4" xfId="25700"/>
    <cellStyle name="Input 26 3 4 4 2" xfId="25701"/>
    <cellStyle name="Input 26 3 4 5" xfId="25702"/>
    <cellStyle name="Input 26 3 4 6" xfId="25703"/>
    <cellStyle name="Input 26 3 4 7" xfId="25704"/>
    <cellStyle name="Input 26 3 5" xfId="25705"/>
    <cellStyle name="Input 26 3 5 2" xfId="25706"/>
    <cellStyle name="Input 26 3 5 2 2" xfId="25707"/>
    <cellStyle name="Input 26 3 5 3" xfId="25708"/>
    <cellStyle name="Input 26 3 5 3 2" xfId="25709"/>
    <cellStyle name="Input 26 3 5 4" xfId="25710"/>
    <cellStyle name="Input 26 3 5 5" xfId="25711"/>
    <cellStyle name="Input 26 3 5 6" xfId="25712"/>
    <cellStyle name="Input 26 3 6" xfId="25713"/>
    <cellStyle name="Input 26 3 6 2" xfId="25714"/>
    <cellStyle name="Input 26 3 7" xfId="25715"/>
    <cellStyle name="Input 26 3 7 2" xfId="25716"/>
    <cellStyle name="Input 26 3 8" xfId="25717"/>
    <cellStyle name="Input 26 3 9" xfId="25718"/>
    <cellStyle name="Input 26 4" xfId="25719"/>
    <cellStyle name="Input 26 4 2" xfId="25720"/>
    <cellStyle name="Input 26 4 2 2" xfId="25721"/>
    <cellStyle name="Input 26 4 2 2 2" xfId="25722"/>
    <cellStyle name="Input 26 4 2 2 2 2" xfId="25723"/>
    <cellStyle name="Input 26 4 2 2 3" xfId="25724"/>
    <cellStyle name="Input 26 4 2 2 3 2" xfId="25725"/>
    <cellStyle name="Input 26 4 2 2 4" xfId="25726"/>
    <cellStyle name="Input 26 4 2 2 5" xfId="25727"/>
    <cellStyle name="Input 26 4 2 2 6" xfId="25728"/>
    <cellStyle name="Input 26 4 2 3" xfId="25729"/>
    <cellStyle name="Input 26 4 2 3 2" xfId="25730"/>
    <cellStyle name="Input 26 4 2 4" xfId="25731"/>
    <cellStyle name="Input 26 4 2 4 2" xfId="25732"/>
    <cellStyle name="Input 26 4 2 5" xfId="25733"/>
    <cellStyle name="Input 26 4 2 6" xfId="25734"/>
    <cellStyle name="Input 26 4 2 7" xfId="25735"/>
    <cellStyle name="Input 26 4 3" xfId="25736"/>
    <cellStyle name="Input 26 4 3 2" xfId="25737"/>
    <cellStyle name="Input 26 4 3 2 2" xfId="25738"/>
    <cellStyle name="Input 26 4 3 3" xfId="25739"/>
    <cellStyle name="Input 26 4 3 3 2" xfId="25740"/>
    <cellStyle name="Input 26 4 3 4" xfId="25741"/>
    <cellStyle name="Input 26 4 3 5" xfId="25742"/>
    <cellStyle name="Input 26 4 3 6" xfId="25743"/>
    <cellStyle name="Input 26 4 4" xfId="25744"/>
    <cellStyle name="Input 26 4 4 2" xfId="25745"/>
    <cellStyle name="Input 26 4 5" xfId="25746"/>
    <cellStyle name="Input 26 4 5 2" xfId="25747"/>
    <cellStyle name="Input 26 4 6" xfId="25748"/>
    <cellStyle name="Input 26 4 7" xfId="25749"/>
    <cellStyle name="Input 26 4 8" xfId="25750"/>
    <cellStyle name="Input 26 5" xfId="25751"/>
    <cellStyle name="Input 26 5 2" xfId="25752"/>
    <cellStyle name="Input 26 5 2 2" xfId="25753"/>
    <cellStyle name="Input 26 5 2 2 2" xfId="25754"/>
    <cellStyle name="Input 26 5 2 3" xfId="25755"/>
    <cellStyle name="Input 26 5 2 3 2" xfId="25756"/>
    <cellStyle name="Input 26 5 2 4" xfId="25757"/>
    <cellStyle name="Input 26 5 2 5" xfId="25758"/>
    <cellStyle name="Input 26 5 2 6" xfId="25759"/>
    <cellStyle name="Input 26 5 3" xfId="25760"/>
    <cellStyle name="Input 26 5 3 2" xfId="25761"/>
    <cellStyle name="Input 26 5 4" xfId="25762"/>
    <cellStyle name="Input 26 5 4 2" xfId="25763"/>
    <cellStyle name="Input 26 5 5" xfId="25764"/>
    <cellStyle name="Input 26 5 6" xfId="25765"/>
    <cellStyle name="Input 26 5 7" xfId="25766"/>
    <cellStyle name="Input 26 6" xfId="25767"/>
    <cellStyle name="Input 26 6 2" xfId="25768"/>
    <cellStyle name="Input 26 6 2 2" xfId="25769"/>
    <cellStyle name="Input 26 6 3" xfId="25770"/>
    <cellStyle name="Input 26 6 3 2" xfId="25771"/>
    <cellStyle name="Input 26 6 4" xfId="25772"/>
    <cellStyle name="Input 26 6 5" xfId="25773"/>
    <cellStyle name="Input 26 6 6" xfId="25774"/>
    <cellStyle name="Input 26 7" xfId="25775"/>
    <cellStyle name="Input 26 7 2" xfId="25776"/>
    <cellStyle name="Input 26 8" xfId="25777"/>
    <cellStyle name="Input 26 8 2" xfId="25778"/>
    <cellStyle name="Input 26 9" xfId="25779"/>
    <cellStyle name="Input 27" xfId="25780"/>
    <cellStyle name="Input 27 10" xfId="25781"/>
    <cellStyle name="Input 27 11" xfId="25782"/>
    <cellStyle name="Input 27 2" xfId="25783"/>
    <cellStyle name="Input 27 2 10" xfId="25784"/>
    <cellStyle name="Input 27 2 2" xfId="25785"/>
    <cellStyle name="Input 27 2 2 10" xfId="25786"/>
    <cellStyle name="Input 27 2 2 2" xfId="25787"/>
    <cellStyle name="Input 27 2 2 2 2" xfId="25788"/>
    <cellStyle name="Input 27 2 2 2 2 2" xfId="25789"/>
    <cellStyle name="Input 27 2 2 2 2 2 2" xfId="25790"/>
    <cellStyle name="Input 27 2 2 2 2 2 2 2" xfId="25791"/>
    <cellStyle name="Input 27 2 2 2 2 2 3" xfId="25792"/>
    <cellStyle name="Input 27 2 2 2 2 2 3 2" xfId="25793"/>
    <cellStyle name="Input 27 2 2 2 2 2 4" xfId="25794"/>
    <cellStyle name="Input 27 2 2 2 2 2 5" xfId="25795"/>
    <cellStyle name="Input 27 2 2 2 2 2 6" xfId="25796"/>
    <cellStyle name="Input 27 2 2 2 2 3" xfId="25797"/>
    <cellStyle name="Input 27 2 2 2 2 3 2" xfId="25798"/>
    <cellStyle name="Input 27 2 2 2 2 4" xfId="25799"/>
    <cellStyle name="Input 27 2 2 2 2 4 2" xfId="25800"/>
    <cellStyle name="Input 27 2 2 2 2 5" xfId="25801"/>
    <cellStyle name="Input 27 2 2 2 2 6" xfId="25802"/>
    <cellStyle name="Input 27 2 2 2 2 7" xfId="25803"/>
    <cellStyle name="Input 27 2 2 2 3" xfId="25804"/>
    <cellStyle name="Input 27 2 2 2 3 2" xfId="25805"/>
    <cellStyle name="Input 27 2 2 2 3 2 2" xfId="25806"/>
    <cellStyle name="Input 27 2 2 2 3 3" xfId="25807"/>
    <cellStyle name="Input 27 2 2 2 3 3 2" xfId="25808"/>
    <cellStyle name="Input 27 2 2 2 3 4" xfId="25809"/>
    <cellStyle name="Input 27 2 2 2 3 5" xfId="25810"/>
    <cellStyle name="Input 27 2 2 2 3 6" xfId="25811"/>
    <cellStyle name="Input 27 2 2 2 4" xfId="25812"/>
    <cellStyle name="Input 27 2 2 2 4 2" xfId="25813"/>
    <cellStyle name="Input 27 2 2 2 5" xfId="25814"/>
    <cellStyle name="Input 27 2 2 2 5 2" xfId="25815"/>
    <cellStyle name="Input 27 2 2 2 6" xfId="25816"/>
    <cellStyle name="Input 27 2 2 2 7" xfId="25817"/>
    <cellStyle name="Input 27 2 2 2 8" xfId="25818"/>
    <cellStyle name="Input 27 2 2 3" xfId="25819"/>
    <cellStyle name="Input 27 2 2 3 2" xfId="25820"/>
    <cellStyle name="Input 27 2 2 3 2 2" xfId="25821"/>
    <cellStyle name="Input 27 2 2 3 2 2 2" xfId="25822"/>
    <cellStyle name="Input 27 2 2 3 2 2 2 2" xfId="25823"/>
    <cellStyle name="Input 27 2 2 3 2 2 3" xfId="25824"/>
    <cellStyle name="Input 27 2 2 3 2 2 3 2" xfId="25825"/>
    <cellStyle name="Input 27 2 2 3 2 2 4" xfId="25826"/>
    <cellStyle name="Input 27 2 2 3 2 2 5" xfId="25827"/>
    <cellStyle name="Input 27 2 2 3 2 2 6" xfId="25828"/>
    <cellStyle name="Input 27 2 2 3 2 3" xfId="25829"/>
    <cellStyle name="Input 27 2 2 3 2 3 2" xfId="25830"/>
    <cellStyle name="Input 27 2 2 3 2 4" xfId="25831"/>
    <cellStyle name="Input 27 2 2 3 2 4 2" xfId="25832"/>
    <cellStyle name="Input 27 2 2 3 2 5" xfId="25833"/>
    <cellStyle name="Input 27 2 2 3 2 6" xfId="25834"/>
    <cellStyle name="Input 27 2 2 3 2 7" xfId="25835"/>
    <cellStyle name="Input 27 2 2 3 3" xfId="25836"/>
    <cellStyle name="Input 27 2 2 3 3 2" xfId="25837"/>
    <cellStyle name="Input 27 2 2 3 3 2 2" xfId="25838"/>
    <cellStyle name="Input 27 2 2 3 3 3" xfId="25839"/>
    <cellStyle name="Input 27 2 2 3 3 3 2" xfId="25840"/>
    <cellStyle name="Input 27 2 2 3 3 4" xfId="25841"/>
    <cellStyle name="Input 27 2 2 3 3 5" xfId="25842"/>
    <cellStyle name="Input 27 2 2 3 3 6" xfId="25843"/>
    <cellStyle name="Input 27 2 2 3 4" xfId="25844"/>
    <cellStyle name="Input 27 2 2 3 4 2" xfId="25845"/>
    <cellStyle name="Input 27 2 2 3 5" xfId="25846"/>
    <cellStyle name="Input 27 2 2 3 5 2" xfId="25847"/>
    <cellStyle name="Input 27 2 2 3 6" xfId="25848"/>
    <cellStyle name="Input 27 2 2 3 7" xfId="25849"/>
    <cellStyle name="Input 27 2 2 3 8" xfId="25850"/>
    <cellStyle name="Input 27 2 2 4" xfId="25851"/>
    <cellStyle name="Input 27 2 2 4 2" xfId="25852"/>
    <cellStyle name="Input 27 2 2 4 2 2" xfId="25853"/>
    <cellStyle name="Input 27 2 2 4 2 2 2" xfId="25854"/>
    <cellStyle name="Input 27 2 2 4 2 3" xfId="25855"/>
    <cellStyle name="Input 27 2 2 4 2 3 2" xfId="25856"/>
    <cellStyle name="Input 27 2 2 4 2 4" xfId="25857"/>
    <cellStyle name="Input 27 2 2 4 2 5" xfId="25858"/>
    <cellStyle name="Input 27 2 2 4 2 6" xfId="25859"/>
    <cellStyle name="Input 27 2 2 4 3" xfId="25860"/>
    <cellStyle name="Input 27 2 2 4 3 2" xfId="25861"/>
    <cellStyle name="Input 27 2 2 4 4" xfId="25862"/>
    <cellStyle name="Input 27 2 2 4 4 2" xfId="25863"/>
    <cellStyle name="Input 27 2 2 4 5" xfId="25864"/>
    <cellStyle name="Input 27 2 2 4 6" xfId="25865"/>
    <cellStyle name="Input 27 2 2 4 7" xfId="25866"/>
    <cellStyle name="Input 27 2 2 5" xfId="25867"/>
    <cellStyle name="Input 27 2 2 5 2" xfId="25868"/>
    <cellStyle name="Input 27 2 2 5 2 2" xfId="25869"/>
    <cellStyle name="Input 27 2 2 5 3" xfId="25870"/>
    <cellStyle name="Input 27 2 2 5 3 2" xfId="25871"/>
    <cellStyle name="Input 27 2 2 5 4" xfId="25872"/>
    <cellStyle name="Input 27 2 2 5 5" xfId="25873"/>
    <cellStyle name="Input 27 2 2 5 6" xfId="25874"/>
    <cellStyle name="Input 27 2 2 6" xfId="25875"/>
    <cellStyle name="Input 27 2 2 6 2" xfId="25876"/>
    <cellStyle name="Input 27 2 2 7" xfId="25877"/>
    <cellStyle name="Input 27 2 2 7 2" xfId="25878"/>
    <cellStyle name="Input 27 2 2 8" xfId="25879"/>
    <cellStyle name="Input 27 2 2 9" xfId="25880"/>
    <cellStyle name="Input 27 2 3" xfId="25881"/>
    <cellStyle name="Input 27 2 3 2" xfId="25882"/>
    <cellStyle name="Input 27 2 3 2 2" xfId="25883"/>
    <cellStyle name="Input 27 2 3 2 2 2" xfId="25884"/>
    <cellStyle name="Input 27 2 3 2 2 2 2" xfId="25885"/>
    <cellStyle name="Input 27 2 3 2 2 3" xfId="25886"/>
    <cellStyle name="Input 27 2 3 2 2 3 2" xfId="25887"/>
    <cellStyle name="Input 27 2 3 2 2 4" xfId="25888"/>
    <cellStyle name="Input 27 2 3 2 2 5" xfId="25889"/>
    <cellStyle name="Input 27 2 3 2 2 6" xfId="25890"/>
    <cellStyle name="Input 27 2 3 2 3" xfId="25891"/>
    <cellStyle name="Input 27 2 3 2 3 2" xfId="25892"/>
    <cellStyle name="Input 27 2 3 2 4" xfId="25893"/>
    <cellStyle name="Input 27 2 3 2 4 2" xfId="25894"/>
    <cellStyle name="Input 27 2 3 2 5" xfId="25895"/>
    <cellStyle name="Input 27 2 3 2 6" xfId="25896"/>
    <cellStyle name="Input 27 2 3 2 7" xfId="25897"/>
    <cellStyle name="Input 27 2 3 3" xfId="25898"/>
    <cellStyle name="Input 27 2 3 3 2" xfId="25899"/>
    <cellStyle name="Input 27 2 3 3 2 2" xfId="25900"/>
    <cellStyle name="Input 27 2 3 3 3" xfId="25901"/>
    <cellStyle name="Input 27 2 3 3 3 2" xfId="25902"/>
    <cellStyle name="Input 27 2 3 3 4" xfId="25903"/>
    <cellStyle name="Input 27 2 3 3 5" xfId="25904"/>
    <cellStyle name="Input 27 2 3 3 6" xfId="25905"/>
    <cellStyle name="Input 27 2 3 4" xfId="25906"/>
    <cellStyle name="Input 27 2 3 4 2" xfId="25907"/>
    <cellStyle name="Input 27 2 3 5" xfId="25908"/>
    <cellStyle name="Input 27 2 3 5 2" xfId="25909"/>
    <cellStyle name="Input 27 2 3 6" xfId="25910"/>
    <cellStyle name="Input 27 2 3 7" xfId="25911"/>
    <cellStyle name="Input 27 2 3 8" xfId="25912"/>
    <cellStyle name="Input 27 2 4" xfId="25913"/>
    <cellStyle name="Input 27 2 4 2" xfId="25914"/>
    <cellStyle name="Input 27 2 4 2 2" xfId="25915"/>
    <cellStyle name="Input 27 2 4 2 2 2" xfId="25916"/>
    <cellStyle name="Input 27 2 4 2 3" xfId="25917"/>
    <cellStyle name="Input 27 2 4 2 3 2" xfId="25918"/>
    <cellStyle name="Input 27 2 4 2 4" xfId="25919"/>
    <cellStyle name="Input 27 2 4 2 5" xfId="25920"/>
    <cellStyle name="Input 27 2 4 2 6" xfId="25921"/>
    <cellStyle name="Input 27 2 4 3" xfId="25922"/>
    <cellStyle name="Input 27 2 4 3 2" xfId="25923"/>
    <cellStyle name="Input 27 2 4 4" xfId="25924"/>
    <cellStyle name="Input 27 2 4 4 2" xfId="25925"/>
    <cellStyle name="Input 27 2 4 5" xfId="25926"/>
    <cellStyle name="Input 27 2 4 6" xfId="25927"/>
    <cellStyle name="Input 27 2 4 7" xfId="25928"/>
    <cellStyle name="Input 27 2 5" xfId="25929"/>
    <cellStyle name="Input 27 2 5 2" xfId="25930"/>
    <cellStyle name="Input 27 2 5 2 2" xfId="25931"/>
    <cellStyle name="Input 27 2 5 3" xfId="25932"/>
    <cellStyle name="Input 27 2 5 3 2" xfId="25933"/>
    <cellStyle name="Input 27 2 5 4" xfId="25934"/>
    <cellStyle name="Input 27 2 5 5" xfId="25935"/>
    <cellStyle name="Input 27 2 5 6" xfId="25936"/>
    <cellStyle name="Input 27 2 6" xfId="25937"/>
    <cellStyle name="Input 27 2 6 2" xfId="25938"/>
    <cellStyle name="Input 27 2 7" xfId="25939"/>
    <cellStyle name="Input 27 2 7 2" xfId="25940"/>
    <cellStyle name="Input 27 2 8" xfId="25941"/>
    <cellStyle name="Input 27 2 9" xfId="25942"/>
    <cellStyle name="Input 27 3" xfId="25943"/>
    <cellStyle name="Input 27 3 10" xfId="25944"/>
    <cellStyle name="Input 27 3 2" xfId="25945"/>
    <cellStyle name="Input 27 3 2 2" xfId="25946"/>
    <cellStyle name="Input 27 3 2 2 2" xfId="25947"/>
    <cellStyle name="Input 27 3 2 2 2 2" xfId="25948"/>
    <cellStyle name="Input 27 3 2 2 2 2 2" xfId="25949"/>
    <cellStyle name="Input 27 3 2 2 2 3" xfId="25950"/>
    <cellStyle name="Input 27 3 2 2 2 3 2" xfId="25951"/>
    <cellStyle name="Input 27 3 2 2 2 4" xfId="25952"/>
    <cellStyle name="Input 27 3 2 2 2 5" xfId="25953"/>
    <cellStyle name="Input 27 3 2 2 2 6" xfId="25954"/>
    <cellStyle name="Input 27 3 2 2 3" xfId="25955"/>
    <cellStyle name="Input 27 3 2 2 3 2" xfId="25956"/>
    <cellStyle name="Input 27 3 2 2 4" xfId="25957"/>
    <cellStyle name="Input 27 3 2 2 4 2" xfId="25958"/>
    <cellStyle name="Input 27 3 2 2 5" xfId="25959"/>
    <cellStyle name="Input 27 3 2 2 6" xfId="25960"/>
    <cellStyle name="Input 27 3 2 2 7" xfId="25961"/>
    <cellStyle name="Input 27 3 2 3" xfId="25962"/>
    <cellStyle name="Input 27 3 2 3 2" xfId="25963"/>
    <cellStyle name="Input 27 3 2 3 2 2" xfId="25964"/>
    <cellStyle name="Input 27 3 2 3 3" xfId="25965"/>
    <cellStyle name="Input 27 3 2 3 3 2" xfId="25966"/>
    <cellStyle name="Input 27 3 2 3 4" xfId="25967"/>
    <cellStyle name="Input 27 3 2 3 5" xfId="25968"/>
    <cellStyle name="Input 27 3 2 3 6" xfId="25969"/>
    <cellStyle name="Input 27 3 2 4" xfId="25970"/>
    <cellStyle name="Input 27 3 2 4 2" xfId="25971"/>
    <cellStyle name="Input 27 3 2 5" xfId="25972"/>
    <cellStyle name="Input 27 3 2 5 2" xfId="25973"/>
    <cellStyle name="Input 27 3 2 6" xfId="25974"/>
    <cellStyle name="Input 27 3 2 7" xfId="25975"/>
    <cellStyle name="Input 27 3 2 8" xfId="25976"/>
    <cellStyle name="Input 27 3 3" xfId="25977"/>
    <cellStyle name="Input 27 3 3 2" xfId="25978"/>
    <cellStyle name="Input 27 3 3 2 2" xfId="25979"/>
    <cellStyle name="Input 27 3 3 2 2 2" xfId="25980"/>
    <cellStyle name="Input 27 3 3 2 2 2 2" xfId="25981"/>
    <cellStyle name="Input 27 3 3 2 2 3" xfId="25982"/>
    <cellStyle name="Input 27 3 3 2 2 3 2" xfId="25983"/>
    <cellStyle name="Input 27 3 3 2 2 4" xfId="25984"/>
    <cellStyle name="Input 27 3 3 2 2 5" xfId="25985"/>
    <cellStyle name="Input 27 3 3 2 2 6" xfId="25986"/>
    <cellStyle name="Input 27 3 3 2 3" xfId="25987"/>
    <cellStyle name="Input 27 3 3 2 3 2" xfId="25988"/>
    <cellStyle name="Input 27 3 3 2 4" xfId="25989"/>
    <cellStyle name="Input 27 3 3 2 4 2" xfId="25990"/>
    <cellStyle name="Input 27 3 3 2 5" xfId="25991"/>
    <cellStyle name="Input 27 3 3 2 6" xfId="25992"/>
    <cellStyle name="Input 27 3 3 2 7" xfId="25993"/>
    <cellStyle name="Input 27 3 3 3" xfId="25994"/>
    <cellStyle name="Input 27 3 3 3 2" xfId="25995"/>
    <cellStyle name="Input 27 3 3 3 2 2" xfId="25996"/>
    <cellStyle name="Input 27 3 3 3 3" xfId="25997"/>
    <cellStyle name="Input 27 3 3 3 3 2" xfId="25998"/>
    <cellStyle name="Input 27 3 3 3 4" xfId="25999"/>
    <cellStyle name="Input 27 3 3 3 5" xfId="26000"/>
    <cellStyle name="Input 27 3 3 3 6" xfId="26001"/>
    <cellStyle name="Input 27 3 3 4" xfId="26002"/>
    <cellStyle name="Input 27 3 3 4 2" xfId="26003"/>
    <cellStyle name="Input 27 3 3 5" xfId="26004"/>
    <cellStyle name="Input 27 3 3 5 2" xfId="26005"/>
    <cellStyle name="Input 27 3 3 6" xfId="26006"/>
    <cellStyle name="Input 27 3 3 7" xfId="26007"/>
    <cellStyle name="Input 27 3 3 8" xfId="26008"/>
    <cellStyle name="Input 27 3 4" xfId="26009"/>
    <cellStyle name="Input 27 3 4 2" xfId="26010"/>
    <cellStyle name="Input 27 3 4 2 2" xfId="26011"/>
    <cellStyle name="Input 27 3 4 2 2 2" xfId="26012"/>
    <cellStyle name="Input 27 3 4 2 3" xfId="26013"/>
    <cellStyle name="Input 27 3 4 2 3 2" xfId="26014"/>
    <cellStyle name="Input 27 3 4 2 4" xfId="26015"/>
    <cellStyle name="Input 27 3 4 2 5" xfId="26016"/>
    <cellStyle name="Input 27 3 4 2 6" xfId="26017"/>
    <cellStyle name="Input 27 3 4 3" xfId="26018"/>
    <cellStyle name="Input 27 3 4 3 2" xfId="26019"/>
    <cellStyle name="Input 27 3 4 4" xfId="26020"/>
    <cellStyle name="Input 27 3 4 4 2" xfId="26021"/>
    <cellStyle name="Input 27 3 4 5" xfId="26022"/>
    <cellStyle name="Input 27 3 4 6" xfId="26023"/>
    <cellStyle name="Input 27 3 4 7" xfId="26024"/>
    <cellStyle name="Input 27 3 5" xfId="26025"/>
    <cellStyle name="Input 27 3 5 2" xfId="26026"/>
    <cellStyle name="Input 27 3 5 2 2" xfId="26027"/>
    <cellStyle name="Input 27 3 5 3" xfId="26028"/>
    <cellStyle name="Input 27 3 5 3 2" xfId="26029"/>
    <cellStyle name="Input 27 3 5 4" xfId="26030"/>
    <cellStyle name="Input 27 3 5 5" xfId="26031"/>
    <cellStyle name="Input 27 3 5 6" xfId="26032"/>
    <cellStyle name="Input 27 3 6" xfId="26033"/>
    <cellStyle name="Input 27 3 6 2" xfId="26034"/>
    <cellStyle name="Input 27 3 7" xfId="26035"/>
    <cellStyle name="Input 27 3 7 2" xfId="26036"/>
    <cellStyle name="Input 27 3 8" xfId="26037"/>
    <cellStyle name="Input 27 3 9" xfId="26038"/>
    <cellStyle name="Input 27 4" xfId="26039"/>
    <cellStyle name="Input 27 4 2" xfId="26040"/>
    <cellStyle name="Input 27 4 2 2" xfId="26041"/>
    <cellStyle name="Input 27 4 2 2 2" xfId="26042"/>
    <cellStyle name="Input 27 4 2 2 2 2" xfId="26043"/>
    <cellStyle name="Input 27 4 2 2 3" xfId="26044"/>
    <cellStyle name="Input 27 4 2 2 3 2" xfId="26045"/>
    <cellStyle name="Input 27 4 2 2 4" xfId="26046"/>
    <cellStyle name="Input 27 4 2 2 5" xfId="26047"/>
    <cellStyle name="Input 27 4 2 2 6" xfId="26048"/>
    <cellStyle name="Input 27 4 2 3" xfId="26049"/>
    <cellStyle name="Input 27 4 2 3 2" xfId="26050"/>
    <cellStyle name="Input 27 4 2 4" xfId="26051"/>
    <cellStyle name="Input 27 4 2 4 2" xfId="26052"/>
    <cellStyle name="Input 27 4 2 5" xfId="26053"/>
    <cellStyle name="Input 27 4 2 6" xfId="26054"/>
    <cellStyle name="Input 27 4 2 7" xfId="26055"/>
    <cellStyle name="Input 27 4 3" xfId="26056"/>
    <cellStyle name="Input 27 4 3 2" xfId="26057"/>
    <cellStyle name="Input 27 4 3 2 2" xfId="26058"/>
    <cellStyle name="Input 27 4 3 3" xfId="26059"/>
    <cellStyle name="Input 27 4 3 3 2" xfId="26060"/>
    <cellStyle name="Input 27 4 3 4" xfId="26061"/>
    <cellStyle name="Input 27 4 3 5" xfId="26062"/>
    <cellStyle name="Input 27 4 3 6" xfId="26063"/>
    <cellStyle name="Input 27 4 4" xfId="26064"/>
    <cellStyle name="Input 27 4 4 2" xfId="26065"/>
    <cellStyle name="Input 27 4 5" xfId="26066"/>
    <cellStyle name="Input 27 4 5 2" xfId="26067"/>
    <cellStyle name="Input 27 4 6" xfId="26068"/>
    <cellStyle name="Input 27 4 7" xfId="26069"/>
    <cellStyle name="Input 27 4 8" xfId="26070"/>
    <cellStyle name="Input 27 5" xfId="26071"/>
    <cellStyle name="Input 27 5 2" xfId="26072"/>
    <cellStyle name="Input 27 5 2 2" xfId="26073"/>
    <cellStyle name="Input 27 5 2 2 2" xfId="26074"/>
    <cellStyle name="Input 27 5 2 3" xfId="26075"/>
    <cellStyle name="Input 27 5 2 3 2" xfId="26076"/>
    <cellStyle name="Input 27 5 2 4" xfId="26077"/>
    <cellStyle name="Input 27 5 2 5" xfId="26078"/>
    <cellStyle name="Input 27 5 2 6" xfId="26079"/>
    <cellStyle name="Input 27 5 3" xfId="26080"/>
    <cellStyle name="Input 27 5 3 2" xfId="26081"/>
    <cellStyle name="Input 27 5 4" xfId="26082"/>
    <cellStyle name="Input 27 5 4 2" xfId="26083"/>
    <cellStyle name="Input 27 5 5" xfId="26084"/>
    <cellStyle name="Input 27 5 6" xfId="26085"/>
    <cellStyle name="Input 27 5 7" xfId="26086"/>
    <cellStyle name="Input 27 6" xfId="26087"/>
    <cellStyle name="Input 27 6 2" xfId="26088"/>
    <cellStyle name="Input 27 6 2 2" xfId="26089"/>
    <cellStyle name="Input 27 6 3" xfId="26090"/>
    <cellStyle name="Input 27 6 3 2" xfId="26091"/>
    <cellStyle name="Input 27 6 4" xfId="26092"/>
    <cellStyle name="Input 27 6 5" xfId="26093"/>
    <cellStyle name="Input 27 6 6" xfId="26094"/>
    <cellStyle name="Input 27 7" xfId="26095"/>
    <cellStyle name="Input 27 7 2" xfId="26096"/>
    <cellStyle name="Input 27 8" xfId="26097"/>
    <cellStyle name="Input 27 8 2" xfId="26098"/>
    <cellStyle name="Input 27 9" xfId="26099"/>
    <cellStyle name="Input 28" xfId="26100"/>
    <cellStyle name="Input 28 10" xfId="26101"/>
    <cellStyle name="Input 28 11" xfId="26102"/>
    <cellStyle name="Input 28 2" xfId="26103"/>
    <cellStyle name="Input 28 2 10" xfId="26104"/>
    <cellStyle name="Input 28 2 2" xfId="26105"/>
    <cellStyle name="Input 28 2 2 2" xfId="26106"/>
    <cellStyle name="Input 28 2 2 2 2" xfId="26107"/>
    <cellStyle name="Input 28 2 2 2 2 2" xfId="26108"/>
    <cellStyle name="Input 28 2 2 2 2 2 2" xfId="26109"/>
    <cellStyle name="Input 28 2 2 2 2 3" xfId="26110"/>
    <cellStyle name="Input 28 2 2 2 2 3 2" xfId="26111"/>
    <cellStyle name="Input 28 2 2 2 2 4" xfId="26112"/>
    <cellStyle name="Input 28 2 2 2 2 5" xfId="26113"/>
    <cellStyle name="Input 28 2 2 2 2 6" xfId="26114"/>
    <cellStyle name="Input 28 2 2 2 3" xfId="26115"/>
    <cellStyle name="Input 28 2 2 2 3 2" xfId="26116"/>
    <cellStyle name="Input 28 2 2 2 4" xfId="26117"/>
    <cellStyle name="Input 28 2 2 2 4 2" xfId="26118"/>
    <cellStyle name="Input 28 2 2 2 5" xfId="26119"/>
    <cellStyle name="Input 28 2 2 2 6" xfId="26120"/>
    <cellStyle name="Input 28 2 2 2 7" xfId="26121"/>
    <cellStyle name="Input 28 2 2 3" xfId="26122"/>
    <cellStyle name="Input 28 2 2 3 2" xfId="26123"/>
    <cellStyle name="Input 28 2 2 3 2 2" xfId="26124"/>
    <cellStyle name="Input 28 2 2 3 3" xfId="26125"/>
    <cellStyle name="Input 28 2 2 3 3 2" xfId="26126"/>
    <cellStyle name="Input 28 2 2 3 4" xfId="26127"/>
    <cellStyle name="Input 28 2 2 3 5" xfId="26128"/>
    <cellStyle name="Input 28 2 2 3 6" xfId="26129"/>
    <cellStyle name="Input 28 2 2 4" xfId="26130"/>
    <cellStyle name="Input 28 2 2 4 2" xfId="26131"/>
    <cellStyle name="Input 28 2 2 5" xfId="26132"/>
    <cellStyle name="Input 28 2 2 5 2" xfId="26133"/>
    <cellStyle name="Input 28 2 2 6" xfId="26134"/>
    <cellStyle name="Input 28 2 2 7" xfId="26135"/>
    <cellStyle name="Input 28 2 2 8" xfId="26136"/>
    <cellStyle name="Input 28 2 3" xfId="26137"/>
    <cellStyle name="Input 28 2 3 2" xfId="26138"/>
    <cellStyle name="Input 28 2 3 2 2" xfId="26139"/>
    <cellStyle name="Input 28 2 3 2 2 2" xfId="26140"/>
    <cellStyle name="Input 28 2 3 2 2 2 2" xfId="26141"/>
    <cellStyle name="Input 28 2 3 2 2 3" xfId="26142"/>
    <cellStyle name="Input 28 2 3 2 2 3 2" xfId="26143"/>
    <cellStyle name="Input 28 2 3 2 2 4" xfId="26144"/>
    <cellStyle name="Input 28 2 3 2 2 5" xfId="26145"/>
    <cellStyle name="Input 28 2 3 2 2 6" xfId="26146"/>
    <cellStyle name="Input 28 2 3 2 3" xfId="26147"/>
    <cellStyle name="Input 28 2 3 2 3 2" xfId="26148"/>
    <cellStyle name="Input 28 2 3 2 4" xfId="26149"/>
    <cellStyle name="Input 28 2 3 2 4 2" xfId="26150"/>
    <cellStyle name="Input 28 2 3 2 5" xfId="26151"/>
    <cellStyle name="Input 28 2 3 2 6" xfId="26152"/>
    <cellStyle name="Input 28 2 3 2 7" xfId="26153"/>
    <cellStyle name="Input 28 2 3 3" xfId="26154"/>
    <cellStyle name="Input 28 2 3 3 2" xfId="26155"/>
    <cellStyle name="Input 28 2 3 3 2 2" xfId="26156"/>
    <cellStyle name="Input 28 2 3 3 3" xfId="26157"/>
    <cellStyle name="Input 28 2 3 3 3 2" xfId="26158"/>
    <cellStyle name="Input 28 2 3 3 4" xfId="26159"/>
    <cellStyle name="Input 28 2 3 3 5" xfId="26160"/>
    <cellStyle name="Input 28 2 3 3 6" xfId="26161"/>
    <cellStyle name="Input 28 2 3 4" xfId="26162"/>
    <cellStyle name="Input 28 2 3 4 2" xfId="26163"/>
    <cellStyle name="Input 28 2 3 5" xfId="26164"/>
    <cellStyle name="Input 28 2 3 5 2" xfId="26165"/>
    <cellStyle name="Input 28 2 3 6" xfId="26166"/>
    <cellStyle name="Input 28 2 3 7" xfId="26167"/>
    <cellStyle name="Input 28 2 3 8" xfId="26168"/>
    <cellStyle name="Input 28 2 4" xfId="26169"/>
    <cellStyle name="Input 28 2 4 2" xfId="26170"/>
    <cellStyle name="Input 28 2 4 2 2" xfId="26171"/>
    <cellStyle name="Input 28 2 4 2 2 2" xfId="26172"/>
    <cellStyle name="Input 28 2 4 2 3" xfId="26173"/>
    <cellStyle name="Input 28 2 4 2 3 2" xfId="26174"/>
    <cellStyle name="Input 28 2 4 2 4" xfId="26175"/>
    <cellStyle name="Input 28 2 4 2 5" xfId="26176"/>
    <cellStyle name="Input 28 2 4 2 6" xfId="26177"/>
    <cellStyle name="Input 28 2 4 3" xfId="26178"/>
    <cellStyle name="Input 28 2 4 3 2" xfId="26179"/>
    <cellStyle name="Input 28 2 4 4" xfId="26180"/>
    <cellStyle name="Input 28 2 4 4 2" xfId="26181"/>
    <cellStyle name="Input 28 2 4 5" xfId="26182"/>
    <cellStyle name="Input 28 2 4 6" xfId="26183"/>
    <cellStyle name="Input 28 2 4 7" xfId="26184"/>
    <cellStyle name="Input 28 2 5" xfId="26185"/>
    <cellStyle name="Input 28 2 5 2" xfId="26186"/>
    <cellStyle name="Input 28 2 5 2 2" xfId="26187"/>
    <cellStyle name="Input 28 2 5 3" xfId="26188"/>
    <cellStyle name="Input 28 2 5 3 2" xfId="26189"/>
    <cellStyle name="Input 28 2 5 4" xfId="26190"/>
    <cellStyle name="Input 28 2 5 5" xfId="26191"/>
    <cellStyle name="Input 28 2 5 6" xfId="26192"/>
    <cellStyle name="Input 28 2 6" xfId="26193"/>
    <cellStyle name="Input 28 2 6 2" xfId="26194"/>
    <cellStyle name="Input 28 2 7" xfId="26195"/>
    <cellStyle name="Input 28 2 7 2" xfId="26196"/>
    <cellStyle name="Input 28 2 8" xfId="26197"/>
    <cellStyle name="Input 28 2 9" xfId="26198"/>
    <cellStyle name="Input 28 3" xfId="26199"/>
    <cellStyle name="Input 28 3 2" xfId="26200"/>
    <cellStyle name="Input 28 3 2 2" xfId="26201"/>
    <cellStyle name="Input 28 3 2 2 2" xfId="26202"/>
    <cellStyle name="Input 28 3 2 2 2 2" xfId="26203"/>
    <cellStyle name="Input 28 3 2 2 3" xfId="26204"/>
    <cellStyle name="Input 28 3 2 2 3 2" xfId="26205"/>
    <cellStyle name="Input 28 3 2 2 4" xfId="26206"/>
    <cellStyle name="Input 28 3 2 2 5" xfId="26207"/>
    <cellStyle name="Input 28 3 2 2 6" xfId="26208"/>
    <cellStyle name="Input 28 3 2 3" xfId="26209"/>
    <cellStyle name="Input 28 3 2 3 2" xfId="26210"/>
    <cellStyle name="Input 28 3 2 4" xfId="26211"/>
    <cellStyle name="Input 28 3 2 4 2" xfId="26212"/>
    <cellStyle name="Input 28 3 2 5" xfId="26213"/>
    <cellStyle name="Input 28 3 2 6" xfId="26214"/>
    <cellStyle name="Input 28 3 2 7" xfId="26215"/>
    <cellStyle name="Input 28 3 3" xfId="26216"/>
    <cellStyle name="Input 28 3 3 2" xfId="26217"/>
    <cellStyle name="Input 28 3 3 2 2" xfId="26218"/>
    <cellStyle name="Input 28 3 3 3" xfId="26219"/>
    <cellStyle name="Input 28 3 3 3 2" xfId="26220"/>
    <cellStyle name="Input 28 3 3 4" xfId="26221"/>
    <cellStyle name="Input 28 3 3 5" xfId="26222"/>
    <cellStyle name="Input 28 3 3 6" xfId="26223"/>
    <cellStyle name="Input 28 3 4" xfId="26224"/>
    <cellStyle name="Input 28 3 4 2" xfId="26225"/>
    <cellStyle name="Input 28 3 5" xfId="26226"/>
    <cellStyle name="Input 28 3 5 2" xfId="26227"/>
    <cellStyle name="Input 28 3 6" xfId="26228"/>
    <cellStyle name="Input 28 3 7" xfId="26229"/>
    <cellStyle name="Input 28 3 8" xfId="26230"/>
    <cellStyle name="Input 28 4" xfId="26231"/>
    <cellStyle name="Input 28 4 2" xfId="26232"/>
    <cellStyle name="Input 28 4 2 2" xfId="26233"/>
    <cellStyle name="Input 28 4 2 2 2" xfId="26234"/>
    <cellStyle name="Input 28 4 2 2 2 2" xfId="26235"/>
    <cellStyle name="Input 28 4 2 2 3" xfId="26236"/>
    <cellStyle name="Input 28 4 2 2 3 2" xfId="26237"/>
    <cellStyle name="Input 28 4 2 2 4" xfId="26238"/>
    <cellStyle name="Input 28 4 2 2 5" xfId="26239"/>
    <cellStyle name="Input 28 4 2 2 6" xfId="26240"/>
    <cellStyle name="Input 28 4 2 3" xfId="26241"/>
    <cellStyle name="Input 28 4 2 3 2" xfId="26242"/>
    <cellStyle name="Input 28 4 2 4" xfId="26243"/>
    <cellStyle name="Input 28 4 2 4 2" xfId="26244"/>
    <cellStyle name="Input 28 4 2 5" xfId="26245"/>
    <cellStyle name="Input 28 4 2 6" xfId="26246"/>
    <cellStyle name="Input 28 4 2 7" xfId="26247"/>
    <cellStyle name="Input 28 4 3" xfId="26248"/>
    <cellStyle name="Input 28 4 3 2" xfId="26249"/>
    <cellStyle name="Input 28 4 3 2 2" xfId="26250"/>
    <cellStyle name="Input 28 4 3 3" xfId="26251"/>
    <cellStyle name="Input 28 4 3 3 2" xfId="26252"/>
    <cellStyle name="Input 28 4 3 4" xfId="26253"/>
    <cellStyle name="Input 28 4 3 5" xfId="26254"/>
    <cellStyle name="Input 28 4 3 6" xfId="26255"/>
    <cellStyle name="Input 28 4 4" xfId="26256"/>
    <cellStyle name="Input 28 4 4 2" xfId="26257"/>
    <cellStyle name="Input 28 4 5" xfId="26258"/>
    <cellStyle name="Input 28 4 5 2" xfId="26259"/>
    <cellStyle name="Input 28 4 6" xfId="26260"/>
    <cellStyle name="Input 28 4 7" xfId="26261"/>
    <cellStyle name="Input 28 4 8" xfId="26262"/>
    <cellStyle name="Input 28 5" xfId="26263"/>
    <cellStyle name="Input 28 5 2" xfId="26264"/>
    <cellStyle name="Input 28 5 2 2" xfId="26265"/>
    <cellStyle name="Input 28 5 2 2 2" xfId="26266"/>
    <cellStyle name="Input 28 5 2 3" xfId="26267"/>
    <cellStyle name="Input 28 5 2 3 2" xfId="26268"/>
    <cellStyle name="Input 28 5 2 4" xfId="26269"/>
    <cellStyle name="Input 28 5 2 5" xfId="26270"/>
    <cellStyle name="Input 28 5 2 6" xfId="26271"/>
    <cellStyle name="Input 28 5 3" xfId="26272"/>
    <cellStyle name="Input 28 5 3 2" xfId="26273"/>
    <cellStyle name="Input 28 5 4" xfId="26274"/>
    <cellStyle name="Input 28 5 4 2" xfId="26275"/>
    <cellStyle name="Input 28 5 5" xfId="26276"/>
    <cellStyle name="Input 28 5 6" xfId="26277"/>
    <cellStyle name="Input 28 5 7" xfId="26278"/>
    <cellStyle name="Input 28 6" xfId="26279"/>
    <cellStyle name="Input 28 6 2" xfId="26280"/>
    <cellStyle name="Input 28 6 2 2" xfId="26281"/>
    <cellStyle name="Input 28 6 3" xfId="26282"/>
    <cellStyle name="Input 28 6 3 2" xfId="26283"/>
    <cellStyle name="Input 28 6 4" xfId="26284"/>
    <cellStyle name="Input 28 6 5" xfId="26285"/>
    <cellStyle name="Input 28 6 6" xfId="26286"/>
    <cellStyle name="Input 28 7" xfId="26287"/>
    <cellStyle name="Input 28 7 2" xfId="26288"/>
    <cellStyle name="Input 28 8" xfId="26289"/>
    <cellStyle name="Input 28 8 2" xfId="26290"/>
    <cellStyle name="Input 28 9" xfId="26291"/>
    <cellStyle name="Input 29" xfId="26292"/>
    <cellStyle name="Input 29 10" xfId="26293"/>
    <cellStyle name="Input 29 11" xfId="26294"/>
    <cellStyle name="Input 29 2" xfId="26295"/>
    <cellStyle name="Input 29 2 10" xfId="26296"/>
    <cellStyle name="Input 29 2 2" xfId="26297"/>
    <cellStyle name="Input 29 2 2 2" xfId="26298"/>
    <cellStyle name="Input 29 2 2 2 2" xfId="26299"/>
    <cellStyle name="Input 29 2 2 2 2 2" xfId="26300"/>
    <cellStyle name="Input 29 2 2 2 2 2 2" xfId="26301"/>
    <cellStyle name="Input 29 2 2 2 2 3" xfId="26302"/>
    <cellStyle name="Input 29 2 2 2 2 3 2" xfId="26303"/>
    <cellStyle name="Input 29 2 2 2 2 4" xfId="26304"/>
    <cellStyle name="Input 29 2 2 2 2 5" xfId="26305"/>
    <cellStyle name="Input 29 2 2 2 2 6" xfId="26306"/>
    <cellStyle name="Input 29 2 2 2 3" xfId="26307"/>
    <cellStyle name="Input 29 2 2 2 3 2" xfId="26308"/>
    <cellStyle name="Input 29 2 2 2 4" xfId="26309"/>
    <cellStyle name="Input 29 2 2 2 4 2" xfId="26310"/>
    <cellStyle name="Input 29 2 2 2 5" xfId="26311"/>
    <cellStyle name="Input 29 2 2 2 6" xfId="26312"/>
    <cellStyle name="Input 29 2 2 2 7" xfId="26313"/>
    <cellStyle name="Input 29 2 2 3" xfId="26314"/>
    <cellStyle name="Input 29 2 2 3 2" xfId="26315"/>
    <cellStyle name="Input 29 2 2 3 2 2" xfId="26316"/>
    <cellStyle name="Input 29 2 2 3 3" xfId="26317"/>
    <cellStyle name="Input 29 2 2 3 3 2" xfId="26318"/>
    <cellStyle name="Input 29 2 2 3 4" xfId="26319"/>
    <cellStyle name="Input 29 2 2 3 5" xfId="26320"/>
    <cellStyle name="Input 29 2 2 3 6" xfId="26321"/>
    <cellStyle name="Input 29 2 2 4" xfId="26322"/>
    <cellStyle name="Input 29 2 2 4 2" xfId="26323"/>
    <cellStyle name="Input 29 2 2 5" xfId="26324"/>
    <cellStyle name="Input 29 2 2 5 2" xfId="26325"/>
    <cellStyle name="Input 29 2 2 6" xfId="26326"/>
    <cellStyle name="Input 29 2 2 7" xfId="26327"/>
    <cellStyle name="Input 29 2 2 8" xfId="26328"/>
    <cellStyle name="Input 29 2 3" xfId="26329"/>
    <cellStyle name="Input 29 2 3 2" xfId="26330"/>
    <cellStyle name="Input 29 2 3 2 2" xfId="26331"/>
    <cellStyle name="Input 29 2 3 2 2 2" xfId="26332"/>
    <cellStyle name="Input 29 2 3 2 2 2 2" xfId="26333"/>
    <cellStyle name="Input 29 2 3 2 2 3" xfId="26334"/>
    <cellStyle name="Input 29 2 3 2 2 3 2" xfId="26335"/>
    <cellStyle name="Input 29 2 3 2 2 4" xfId="26336"/>
    <cellStyle name="Input 29 2 3 2 2 5" xfId="26337"/>
    <cellStyle name="Input 29 2 3 2 2 6" xfId="26338"/>
    <cellStyle name="Input 29 2 3 2 3" xfId="26339"/>
    <cellStyle name="Input 29 2 3 2 3 2" xfId="26340"/>
    <cellStyle name="Input 29 2 3 2 4" xfId="26341"/>
    <cellStyle name="Input 29 2 3 2 4 2" xfId="26342"/>
    <cellStyle name="Input 29 2 3 2 5" xfId="26343"/>
    <cellStyle name="Input 29 2 3 2 6" xfId="26344"/>
    <cellStyle name="Input 29 2 3 2 7" xfId="26345"/>
    <cellStyle name="Input 29 2 3 3" xfId="26346"/>
    <cellStyle name="Input 29 2 3 3 2" xfId="26347"/>
    <cellStyle name="Input 29 2 3 3 2 2" xfId="26348"/>
    <cellStyle name="Input 29 2 3 3 3" xfId="26349"/>
    <cellStyle name="Input 29 2 3 3 3 2" xfId="26350"/>
    <cellStyle name="Input 29 2 3 3 4" xfId="26351"/>
    <cellStyle name="Input 29 2 3 3 5" xfId="26352"/>
    <cellStyle name="Input 29 2 3 3 6" xfId="26353"/>
    <cellStyle name="Input 29 2 3 4" xfId="26354"/>
    <cellStyle name="Input 29 2 3 4 2" xfId="26355"/>
    <cellStyle name="Input 29 2 3 5" xfId="26356"/>
    <cellStyle name="Input 29 2 3 5 2" xfId="26357"/>
    <cellStyle name="Input 29 2 3 6" xfId="26358"/>
    <cellStyle name="Input 29 2 3 7" xfId="26359"/>
    <cellStyle name="Input 29 2 3 8" xfId="26360"/>
    <cellStyle name="Input 29 2 4" xfId="26361"/>
    <cellStyle name="Input 29 2 4 2" xfId="26362"/>
    <cellStyle name="Input 29 2 4 2 2" xfId="26363"/>
    <cellStyle name="Input 29 2 4 2 2 2" xfId="26364"/>
    <cellStyle name="Input 29 2 4 2 3" xfId="26365"/>
    <cellStyle name="Input 29 2 4 2 3 2" xfId="26366"/>
    <cellStyle name="Input 29 2 4 2 4" xfId="26367"/>
    <cellStyle name="Input 29 2 4 2 5" xfId="26368"/>
    <cellStyle name="Input 29 2 4 2 6" xfId="26369"/>
    <cellStyle name="Input 29 2 4 3" xfId="26370"/>
    <cellStyle name="Input 29 2 4 3 2" xfId="26371"/>
    <cellStyle name="Input 29 2 4 4" xfId="26372"/>
    <cellStyle name="Input 29 2 4 4 2" xfId="26373"/>
    <cellStyle name="Input 29 2 4 5" xfId="26374"/>
    <cellStyle name="Input 29 2 4 6" xfId="26375"/>
    <cellStyle name="Input 29 2 4 7" xfId="26376"/>
    <cellStyle name="Input 29 2 5" xfId="26377"/>
    <cellStyle name="Input 29 2 5 2" xfId="26378"/>
    <cellStyle name="Input 29 2 5 2 2" xfId="26379"/>
    <cellStyle name="Input 29 2 5 3" xfId="26380"/>
    <cellStyle name="Input 29 2 5 3 2" xfId="26381"/>
    <cellStyle name="Input 29 2 5 4" xfId="26382"/>
    <cellStyle name="Input 29 2 5 5" xfId="26383"/>
    <cellStyle name="Input 29 2 5 6" xfId="26384"/>
    <cellStyle name="Input 29 2 6" xfId="26385"/>
    <cellStyle name="Input 29 2 6 2" xfId="26386"/>
    <cellStyle name="Input 29 2 7" xfId="26387"/>
    <cellStyle name="Input 29 2 7 2" xfId="26388"/>
    <cellStyle name="Input 29 2 8" xfId="26389"/>
    <cellStyle name="Input 29 2 9" xfId="26390"/>
    <cellStyle name="Input 29 3" xfId="26391"/>
    <cellStyle name="Input 29 3 2" xfId="26392"/>
    <cellStyle name="Input 29 3 2 2" xfId="26393"/>
    <cellStyle name="Input 29 3 2 2 2" xfId="26394"/>
    <cellStyle name="Input 29 3 2 2 2 2" xfId="26395"/>
    <cellStyle name="Input 29 3 2 2 3" xfId="26396"/>
    <cellStyle name="Input 29 3 2 2 3 2" xfId="26397"/>
    <cellStyle name="Input 29 3 2 2 4" xfId="26398"/>
    <cellStyle name="Input 29 3 2 2 5" xfId="26399"/>
    <cellStyle name="Input 29 3 2 2 6" xfId="26400"/>
    <cellStyle name="Input 29 3 2 3" xfId="26401"/>
    <cellStyle name="Input 29 3 2 3 2" xfId="26402"/>
    <cellStyle name="Input 29 3 2 4" xfId="26403"/>
    <cellStyle name="Input 29 3 2 4 2" xfId="26404"/>
    <cellStyle name="Input 29 3 2 5" xfId="26405"/>
    <cellStyle name="Input 29 3 2 6" xfId="26406"/>
    <cellStyle name="Input 29 3 2 7" xfId="26407"/>
    <cellStyle name="Input 29 3 3" xfId="26408"/>
    <cellStyle name="Input 29 3 3 2" xfId="26409"/>
    <cellStyle name="Input 29 3 3 2 2" xfId="26410"/>
    <cellStyle name="Input 29 3 3 3" xfId="26411"/>
    <cellStyle name="Input 29 3 3 3 2" xfId="26412"/>
    <cellStyle name="Input 29 3 3 4" xfId="26413"/>
    <cellStyle name="Input 29 3 3 5" xfId="26414"/>
    <cellStyle name="Input 29 3 3 6" xfId="26415"/>
    <cellStyle name="Input 29 3 4" xfId="26416"/>
    <cellStyle name="Input 29 3 4 2" xfId="26417"/>
    <cellStyle name="Input 29 3 5" xfId="26418"/>
    <cellStyle name="Input 29 3 5 2" xfId="26419"/>
    <cellStyle name="Input 29 3 6" xfId="26420"/>
    <cellStyle name="Input 29 3 7" xfId="26421"/>
    <cellStyle name="Input 29 3 8" xfId="26422"/>
    <cellStyle name="Input 29 4" xfId="26423"/>
    <cellStyle name="Input 29 4 2" xfId="26424"/>
    <cellStyle name="Input 29 4 2 2" xfId="26425"/>
    <cellStyle name="Input 29 4 2 2 2" xfId="26426"/>
    <cellStyle name="Input 29 4 2 2 2 2" xfId="26427"/>
    <cellStyle name="Input 29 4 2 2 3" xfId="26428"/>
    <cellStyle name="Input 29 4 2 2 3 2" xfId="26429"/>
    <cellStyle name="Input 29 4 2 2 4" xfId="26430"/>
    <cellStyle name="Input 29 4 2 2 5" xfId="26431"/>
    <cellStyle name="Input 29 4 2 2 6" xfId="26432"/>
    <cellStyle name="Input 29 4 2 3" xfId="26433"/>
    <cellStyle name="Input 29 4 2 3 2" xfId="26434"/>
    <cellStyle name="Input 29 4 2 4" xfId="26435"/>
    <cellStyle name="Input 29 4 2 4 2" xfId="26436"/>
    <cellStyle name="Input 29 4 2 5" xfId="26437"/>
    <cellStyle name="Input 29 4 2 6" xfId="26438"/>
    <cellStyle name="Input 29 4 2 7" xfId="26439"/>
    <cellStyle name="Input 29 4 3" xfId="26440"/>
    <cellStyle name="Input 29 4 3 2" xfId="26441"/>
    <cellStyle name="Input 29 4 3 2 2" xfId="26442"/>
    <cellStyle name="Input 29 4 3 3" xfId="26443"/>
    <cellStyle name="Input 29 4 3 3 2" xfId="26444"/>
    <cellStyle name="Input 29 4 3 4" xfId="26445"/>
    <cellStyle name="Input 29 4 3 5" xfId="26446"/>
    <cellStyle name="Input 29 4 3 6" xfId="26447"/>
    <cellStyle name="Input 29 4 4" xfId="26448"/>
    <cellStyle name="Input 29 4 4 2" xfId="26449"/>
    <cellStyle name="Input 29 4 5" xfId="26450"/>
    <cellStyle name="Input 29 4 5 2" xfId="26451"/>
    <cellStyle name="Input 29 4 6" xfId="26452"/>
    <cellStyle name="Input 29 4 7" xfId="26453"/>
    <cellStyle name="Input 29 4 8" xfId="26454"/>
    <cellStyle name="Input 29 5" xfId="26455"/>
    <cellStyle name="Input 29 5 2" xfId="26456"/>
    <cellStyle name="Input 29 5 2 2" xfId="26457"/>
    <cellStyle name="Input 29 5 2 2 2" xfId="26458"/>
    <cellStyle name="Input 29 5 2 3" xfId="26459"/>
    <cellStyle name="Input 29 5 2 3 2" xfId="26460"/>
    <cellStyle name="Input 29 5 2 4" xfId="26461"/>
    <cellStyle name="Input 29 5 2 5" xfId="26462"/>
    <cellStyle name="Input 29 5 2 6" xfId="26463"/>
    <cellStyle name="Input 29 5 3" xfId="26464"/>
    <cellStyle name="Input 29 5 3 2" xfId="26465"/>
    <cellStyle name="Input 29 5 4" xfId="26466"/>
    <cellStyle name="Input 29 5 4 2" xfId="26467"/>
    <cellStyle name="Input 29 5 5" xfId="26468"/>
    <cellStyle name="Input 29 5 6" xfId="26469"/>
    <cellStyle name="Input 29 5 7" xfId="26470"/>
    <cellStyle name="Input 29 6" xfId="26471"/>
    <cellStyle name="Input 29 6 2" xfId="26472"/>
    <cellStyle name="Input 29 6 2 2" xfId="26473"/>
    <cellStyle name="Input 29 6 3" xfId="26474"/>
    <cellStyle name="Input 29 6 3 2" xfId="26475"/>
    <cellStyle name="Input 29 6 4" xfId="26476"/>
    <cellStyle name="Input 29 6 5" xfId="26477"/>
    <cellStyle name="Input 29 6 6" xfId="26478"/>
    <cellStyle name="Input 29 7" xfId="26479"/>
    <cellStyle name="Input 29 7 2" xfId="26480"/>
    <cellStyle name="Input 29 8" xfId="26481"/>
    <cellStyle name="Input 29 8 2" xfId="26482"/>
    <cellStyle name="Input 29 9" xfId="26483"/>
    <cellStyle name="Input 3" xfId="26484"/>
    <cellStyle name="Input 3 10" xfId="26485"/>
    <cellStyle name="Input 3 11" xfId="26486"/>
    <cellStyle name="Input 3 2" xfId="26487"/>
    <cellStyle name="Input 3 2 10" xfId="26488"/>
    <cellStyle name="Input 3 2 11" xfId="26489"/>
    <cellStyle name="Input 3 2 12" xfId="26490"/>
    <cellStyle name="Input 3 2 2" xfId="26491"/>
    <cellStyle name="Input 3 2 2 10" xfId="26492"/>
    <cellStyle name="Input 3 2 2 11" xfId="26493"/>
    <cellStyle name="Input 3 2 2 12" xfId="26494"/>
    <cellStyle name="Input 3 2 2 2" xfId="26495"/>
    <cellStyle name="Input 3 2 2 2 10" xfId="26496"/>
    <cellStyle name="Input 3 2 2 2 11" xfId="26497"/>
    <cellStyle name="Input 3 2 2 2 2" xfId="26498"/>
    <cellStyle name="Input 3 2 2 2 2 10" xfId="26499"/>
    <cellStyle name="Input 3 2 2 2 2 2" xfId="26500"/>
    <cellStyle name="Input 3 2 2 2 2 2 2" xfId="26501"/>
    <cellStyle name="Input 3 2 2 2 2 2 2 2" xfId="26502"/>
    <cellStyle name="Input 3 2 2 2 2 2 2 2 2" xfId="26503"/>
    <cellStyle name="Input 3 2 2 2 2 2 2 2 2 2" xfId="26504"/>
    <cellStyle name="Input 3 2 2 2 2 2 2 2 3" xfId="26505"/>
    <cellStyle name="Input 3 2 2 2 2 2 2 2 3 2" xfId="26506"/>
    <cellStyle name="Input 3 2 2 2 2 2 2 2 4" xfId="26507"/>
    <cellStyle name="Input 3 2 2 2 2 2 2 2 5" xfId="26508"/>
    <cellStyle name="Input 3 2 2 2 2 2 2 2 6" xfId="26509"/>
    <cellStyle name="Input 3 2 2 2 2 2 2 3" xfId="26510"/>
    <cellStyle name="Input 3 2 2 2 2 2 2 3 2" xfId="26511"/>
    <cellStyle name="Input 3 2 2 2 2 2 2 4" xfId="26512"/>
    <cellStyle name="Input 3 2 2 2 2 2 2 4 2" xfId="26513"/>
    <cellStyle name="Input 3 2 2 2 2 2 2 5" xfId="26514"/>
    <cellStyle name="Input 3 2 2 2 2 2 2 6" xfId="26515"/>
    <cellStyle name="Input 3 2 2 2 2 2 2 7" xfId="26516"/>
    <cellStyle name="Input 3 2 2 2 2 2 3" xfId="26517"/>
    <cellStyle name="Input 3 2 2 2 2 2 3 2" xfId="26518"/>
    <cellStyle name="Input 3 2 2 2 2 2 3 2 2" xfId="26519"/>
    <cellStyle name="Input 3 2 2 2 2 2 3 3" xfId="26520"/>
    <cellStyle name="Input 3 2 2 2 2 2 3 3 2" xfId="26521"/>
    <cellStyle name="Input 3 2 2 2 2 2 3 4" xfId="26522"/>
    <cellStyle name="Input 3 2 2 2 2 2 3 5" xfId="26523"/>
    <cellStyle name="Input 3 2 2 2 2 2 3 6" xfId="26524"/>
    <cellStyle name="Input 3 2 2 2 2 2 4" xfId="26525"/>
    <cellStyle name="Input 3 2 2 2 2 2 4 2" xfId="26526"/>
    <cellStyle name="Input 3 2 2 2 2 2 5" xfId="26527"/>
    <cellStyle name="Input 3 2 2 2 2 2 5 2" xfId="26528"/>
    <cellStyle name="Input 3 2 2 2 2 2 6" xfId="26529"/>
    <cellStyle name="Input 3 2 2 2 2 2 7" xfId="26530"/>
    <cellStyle name="Input 3 2 2 2 2 2 8" xfId="26531"/>
    <cellStyle name="Input 3 2 2 2 2 3" xfId="26532"/>
    <cellStyle name="Input 3 2 2 2 2 3 2" xfId="26533"/>
    <cellStyle name="Input 3 2 2 2 2 3 2 2" xfId="26534"/>
    <cellStyle name="Input 3 2 2 2 2 3 2 2 2" xfId="26535"/>
    <cellStyle name="Input 3 2 2 2 2 3 2 2 2 2" xfId="26536"/>
    <cellStyle name="Input 3 2 2 2 2 3 2 2 3" xfId="26537"/>
    <cellStyle name="Input 3 2 2 2 2 3 2 2 3 2" xfId="26538"/>
    <cellStyle name="Input 3 2 2 2 2 3 2 2 4" xfId="26539"/>
    <cellStyle name="Input 3 2 2 2 2 3 2 2 5" xfId="26540"/>
    <cellStyle name="Input 3 2 2 2 2 3 2 2 6" xfId="26541"/>
    <cellStyle name="Input 3 2 2 2 2 3 2 3" xfId="26542"/>
    <cellStyle name="Input 3 2 2 2 2 3 2 3 2" xfId="26543"/>
    <cellStyle name="Input 3 2 2 2 2 3 2 4" xfId="26544"/>
    <cellStyle name="Input 3 2 2 2 2 3 2 4 2" xfId="26545"/>
    <cellStyle name="Input 3 2 2 2 2 3 2 5" xfId="26546"/>
    <cellStyle name="Input 3 2 2 2 2 3 2 6" xfId="26547"/>
    <cellStyle name="Input 3 2 2 2 2 3 2 7" xfId="26548"/>
    <cellStyle name="Input 3 2 2 2 2 3 3" xfId="26549"/>
    <cellStyle name="Input 3 2 2 2 2 3 3 2" xfId="26550"/>
    <cellStyle name="Input 3 2 2 2 2 3 3 2 2" xfId="26551"/>
    <cellStyle name="Input 3 2 2 2 2 3 3 3" xfId="26552"/>
    <cellStyle name="Input 3 2 2 2 2 3 3 3 2" xfId="26553"/>
    <cellStyle name="Input 3 2 2 2 2 3 3 4" xfId="26554"/>
    <cellStyle name="Input 3 2 2 2 2 3 3 5" xfId="26555"/>
    <cellStyle name="Input 3 2 2 2 2 3 3 6" xfId="26556"/>
    <cellStyle name="Input 3 2 2 2 2 3 4" xfId="26557"/>
    <cellStyle name="Input 3 2 2 2 2 3 4 2" xfId="26558"/>
    <cellStyle name="Input 3 2 2 2 2 3 5" xfId="26559"/>
    <cellStyle name="Input 3 2 2 2 2 3 5 2" xfId="26560"/>
    <cellStyle name="Input 3 2 2 2 2 3 6" xfId="26561"/>
    <cellStyle name="Input 3 2 2 2 2 3 7" xfId="26562"/>
    <cellStyle name="Input 3 2 2 2 2 3 8" xfId="26563"/>
    <cellStyle name="Input 3 2 2 2 2 4" xfId="26564"/>
    <cellStyle name="Input 3 2 2 2 2 4 2" xfId="26565"/>
    <cellStyle name="Input 3 2 2 2 2 4 2 2" xfId="26566"/>
    <cellStyle name="Input 3 2 2 2 2 4 2 2 2" xfId="26567"/>
    <cellStyle name="Input 3 2 2 2 2 4 2 3" xfId="26568"/>
    <cellStyle name="Input 3 2 2 2 2 4 2 3 2" xfId="26569"/>
    <cellStyle name="Input 3 2 2 2 2 4 2 4" xfId="26570"/>
    <cellStyle name="Input 3 2 2 2 2 4 2 5" xfId="26571"/>
    <cellStyle name="Input 3 2 2 2 2 4 2 6" xfId="26572"/>
    <cellStyle name="Input 3 2 2 2 2 4 3" xfId="26573"/>
    <cellStyle name="Input 3 2 2 2 2 4 3 2" xfId="26574"/>
    <cellStyle name="Input 3 2 2 2 2 4 4" xfId="26575"/>
    <cellStyle name="Input 3 2 2 2 2 4 4 2" xfId="26576"/>
    <cellStyle name="Input 3 2 2 2 2 4 5" xfId="26577"/>
    <cellStyle name="Input 3 2 2 2 2 4 6" xfId="26578"/>
    <cellStyle name="Input 3 2 2 2 2 4 7" xfId="26579"/>
    <cellStyle name="Input 3 2 2 2 2 5" xfId="26580"/>
    <cellStyle name="Input 3 2 2 2 2 5 2" xfId="26581"/>
    <cellStyle name="Input 3 2 2 2 2 5 2 2" xfId="26582"/>
    <cellStyle name="Input 3 2 2 2 2 5 3" xfId="26583"/>
    <cellStyle name="Input 3 2 2 2 2 5 3 2" xfId="26584"/>
    <cellStyle name="Input 3 2 2 2 2 5 4" xfId="26585"/>
    <cellStyle name="Input 3 2 2 2 2 5 5" xfId="26586"/>
    <cellStyle name="Input 3 2 2 2 2 5 6" xfId="26587"/>
    <cellStyle name="Input 3 2 2 2 2 6" xfId="26588"/>
    <cellStyle name="Input 3 2 2 2 2 6 2" xfId="26589"/>
    <cellStyle name="Input 3 2 2 2 2 7" xfId="26590"/>
    <cellStyle name="Input 3 2 2 2 2 7 2" xfId="26591"/>
    <cellStyle name="Input 3 2 2 2 2 8" xfId="26592"/>
    <cellStyle name="Input 3 2 2 2 2 9" xfId="26593"/>
    <cellStyle name="Input 3 2 2 2 3" xfId="26594"/>
    <cellStyle name="Input 3 2 2 2 3 2" xfId="26595"/>
    <cellStyle name="Input 3 2 2 2 3 2 2" xfId="26596"/>
    <cellStyle name="Input 3 2 2 2 3 2 2 2" xfId="26597"/>
    <cellStyle name="Input 3 2 2 2 3 2 2 2 2" xfId="26598"/>
    <cellStyle name="Input 3 2 2 2 3 2 2 3" xfId="26599"/>
    <cellStyle name="Input 3 2 2 2 3 2 2 3 2" xfId="26600"/>
    <cellStyle name="Input 3 2 2 2 3 2 2 4" xfId="26601"/>
    <cellStyle name="Input 3 2 2 2 3 2 2 5" xfId="26602"/>
    <cellStyle name="Input 3 2 2 2 3 2 2 6" xfId="26603"/>
    <cellStyle name="Input 3 2 2 2 3 2 3" xfId="26604"/>
    <cellStyle name="Input 3 2 2 2 3 2 3 2" xfId="26605"/>
    <cellStyle name="Input 3 2 2 2 3 2 4" xfId="26606"/>
    <cellStyle name="Input 3 2 2 2 3 2 4 2" xfId="26607"/>
    <cellStyle name="Input 3 2 2 2 3 2 5" xfId="26608"/>
    <cellStyle name="Input 3 2 2 2 3 2 6" xfId="26609"/>
    <cellStyle name="Input 3 2 2 2 3 2 7" xfId="26610"/>
    <cellStyle name="Input 3 2 2 2 3 3" xfId="26611"/>
    <cellStyle name="Input 3 2 2 2 3 3 2" xfId="26612"/>
    <cellStyle name="Input 3 2 2 2 3 3 2 2" xfId="26613"/>
    <cellStyle name="Input 3 2 2 2 3 3 3" xfId="26614"/>
    <cellStyle name="Input 3 2 2 2 3 3 3 2" xfId="26615"/>
    <cellStyle name="Input 3 2 2 2 3 3 4" xfId="26616"/>
    <cellStyle name="Input 3 2 2 2 3 3 5" xfId="26617"/>
    <cellStyle name="Input 3 2 2 2 3 3 6" xfId="26618"/>
    <cellStyle name="Input 3 2 2 2 3 4" xfId="26619"/>
    <cellStyle name="Input 3 2 2 2 3 4 2" xfId="26620"/>
    <cellStyle name="Input 3 2 2 2 3 5" xfId="26621"/>
    <cellStyle name="Input 3 2 2 2 3 5 2" xfId="26622"/>
    <cellStyle name="Input 3 2 2 2 3 6" xfId="26623"/>
    <cellStyle name="Input 3 2 2 2 3 7" xfId="26624"/>
    <cellStyle name="Input 3 2 2 2 3 8" xfId="26625"/>
    <cellStyle name="Input 3 2 2 2 4" xfId="26626"/>
    <cellStyle name="Input 3 2 2 2 4 2" xfId="26627"/>
    <cellStyle name="Input 3 2 2 2 4 2 2" xfId="26628"/>
    <cellStyle name="Input 3 2 2 2 4 2 2 2" xfId="26629"/>
    <cellStyle name="Input 3 2 2 2 4 2 2 2 2" xfId="26630"/>
    <cellStyle name="Input 3 2 2 2 4 2 2 3" xfId="26631"/>
    <cellStyle name="Input 3 2 2 2 4 2 2 3 2" xfId="26632"/>
    <cellStyle name="Input 3 2 2 2 4 2 2 4" xfId="26633"/>
    <cellStyle name="Input 3 2 2 2 4 2 2 5" xfId="26634"/>
    <cellStyle name="Input 3 2 2 2 4 2 2 6" xfId="26635"/>
    <cellStyle name="Input 3 2 2 2 4 2 3" xfId="26636"/>
    <cellStyle name="Input 3 2 2 2 4 2 3 2" xfId="26637"/>
    <cellStyle name="Input 3 2 2 2 4 2 4" xfId="26638"/>
    <cellStyle name="Input 3 2 2 2 4 2 4 2" xfId="26639"/>
    <cellStyle name="Input 3 2 2 2 4 2 5" xfId="26640"/>
    <cellStyle name="Input 3 2 2 2 4 2 6" xfId="26641"/>
    <cellStyle name="Input 3 2 2 2 4 2 7" xfId="26642"/>
    <cellStyle name="Input 3 2 2 2 4 3" xfId="26643"/>
    <cellStyle name="Input 3 2 2 2 4 3 2" xfId="26644"/>
    <cellStyle name="Input 3 2 2 2 4 3 2 2" xfId="26645"/>
    <cellStyle name="Input 3 2 2 2 4 3 3" xfId="26646"/>
    <cellStyle name="Input 3 2 2 2 4 3 3 2" xfId="26647"/>
    <cellStyle name="Input 3 2 2 2 4 3 4" xfId="26648"/>
    <cellStyle name="Input 3 2 2 2 4 3 5" xfId="26649"/>
    <cellStyle name="Input 3 2 2 2 4 3 6" xfId="26650"/>
    <cellStyle name="Input 3 2 2 2 4 4" xfId="26651"/>
    <cellStyle name="Input 3 2 2 2 4 4 2" xfId="26652"/>
    <cellStyle name="Input 3 2 2 2 4 5" xfId="26653"/>
    <cellStyle name="Input 3 2 2 2 4 5 2" xfId="26654"/>
    <cellStyle name="Input 3 2 2 2 4 6" xfId="26655"/>
    <cellStyle name="Input 3 2 2 2 4 7" xfId="26656"/>
    <cellStyle name="Input 3 2 2 2 4 8" xfId="26657"/>
    <cellStyle name="Input 3 2 2 2 5" xfId="26658"/>
    <cellStyle name="Input 3 2 2 2 5 2" xfId="26659"/>
    <cellStyle name="Input 3 2 2 2 5 2 2" xfId="26660"/>
    <cellStyle name="Input 3 2 2 2 5 2 2 2" xfId="26661"/>
    <cellStyle name="Input 3 2 2 2 5 2 3" xfId="26662"/>
    <cellStyle name="Input 3 2 2 2 5 2 3 2" xfId="26663"/>
    <cellStyle name="Input 3 2 2 2 5 2 4" xfId="26664"/>
    <cellStyle name="Input 3 2 2 2 5 2 5" xfId="26665"/>
    <cellStyle name="Input 3 2 2 2 5 2 6" xfId="26666"/>
    <cellStyle name="Input 3 2 2 2 5 3" xfId="26667"/>
    <cellStyle name="Input 3 2 2 2 5 3 2" xfId="26668"/>
    <cellStyle name="Input 3 2 2 2 5 4" xfId="26669"/>
    <cellStyle name="Input 3 2 2 2 5 4 2" xfId="26670"/>
    <cellStyle name="Input 3 2 2 2 5 5" xfId="26671"/>
    <cellStyle name="Input 3 2 2 2 5 6" xfId="26672"/>
    <cellStyle name="Input 3 2 2 2 5 7" xfId="26673"/>
    <cellStyle name="Input 3 2 2 2 6" xfId="26674"/>
    <cellStyle name="Input 3 2 2 2 6 2" xfId="26675"/>
    <cellStyle name="Input 3 2 2 2 6 2 2" xfId="26676"/>
    <cellStyle name="Input 3 2 2 2 6 3" xfId="26677"/>
    <cellStyle name="Input 3 2 2 2 6 3 2" xfId="26678"/>
    <cellStyle name="Input 3 2 2 2 6 4" xfId="26679"/>
    <cellStyle name="Input 3 2 2 2 6 5" xfId="26680"/>
    <cellStyle name="Input 3 2 2 2 6 6" xfId="26681"/>
    <cellStyle name="Input 3 2 2 2 7" xfId="26682"/>
    <cellStyle name="Input 3 2 2 2 7 2" xfId="26683"/>
    <cellStyle name="Input 3 2 2 2 8" xfId="26684"/>
    <cellStyle name="Input 3 2 2 2 8 2" xfId="26685"/>
    <cellStyle name="Input 3 2 2 2 9" xfId="26686"/>
    <cellStyle name="Input 3 2 2 3" xfId="26687"/>
    <cellStyle name="Input 3 2 2 3 10" xfId="26688"/>
    <cellStyle name="Input 3 2 2 3 2" xfId="26689"/>
    <cellStyle name="Input 3 2 2 3 2 10" xfId="26690"/>
    <cellStyle name="Input 3 2 2 3 2 2" xfId="26691"/>
    <cellStyle name="Input 3 2 2 3 2 2 2" xfId="26692"/>
    <cellStyle name="Input 3 2 2 3 2 2 2 2" xfId="26693"/>
    <cellStyle name="Input 3 2 2 3 2 2 2 2 2" xfId="26694"/>
    <cellStyle name="Input 3 2 2 3 2 2 2 2 2 2" xfId="26695"/>
    <cellStyle name="Input 3 2 2 3 2 2 2 2 3" xfId="26696"/>
    <cellStyle name="Input 3 2 2 3 2 2 2 2 3 2" xfId="26697"/>
    <cellStyle name="Input 3 2 2 3 2 2 2 2 4" xfId="26698"/>
    <cellStyle name="Input 3 2 2 3 2 2 2 2 5" xfId="26699"/>
    <cellStyle name="Input 3 2 2 3 2 2 2 2 6" xfId="26700"/>
    <cellStyle name="Input 3 2 2 3 2 2 2 3" xfId="26701"/>
    <cellStyle name="Input 3 2 2 3 2 2 2 3 2" xfId="26702"/>
    <cellStyle name="Input 3 2 2 3 2 2 2 4" xfId="26703"/>
    <cellStyle name="Input 3 2 2 3 2 2 2 4 2" xfId="26704"/>
    <cellStyle name="Input 3 2 2 3 2 2 2 5" xfId="26705"/>
    <cellStyle name="Input 3 2 2 3 2 2 2 6" xfId="26706"/>
    <cellStyle name="Input 3 2 2 3 2 2 2 7" xfId="26707"/>
    <cellStyle name="Input 3 2 2 3 2 2 3" xfId="26708"/>
    <cellStyle name="Input 3 2 2 3 2 2 3 2" xfId="26709"/>
    <cellStyle name="Input 3 2 2 3 2 2 3 2 2" xfId="26710"/>
    <cellStyle name="Input 3 2 2 3 2 2 3 3" xfId="26711"/>
    <cellStyle name="Input 3 2 2 3 2 2 3 3 2" xfId="26712"/>
    <cellStyle name="Input 3 2 2 3 2 2 3 4" xfId="26713"/>
    <cellStyle name="Input 3 2 2 3 2 2 3 5" xfId="26714"/>
    <cellStyle name="Input 3 2 2 3 2 2 3 6" xfId="26715"/>
    <cellStyle name="Input 3 2 2 3 2 2 4" xfId="26716"/>
    <cellStyle name="Input 3 2 2 3 2 2 4 2" xfId="26717"/>
    <cellStyle name="Input 3 2 2 3 2 2 5" xfId="26718"/>
    <cellStyle name="Input 3 2 2 3 2 2 5 2" xfId="26719"/>
    <cellStyle name="Input 3 2 2 3 2 2 6" xfId="26720"/>
    <cellStyle name="Input 3 2 2 3 2 2 7" xfId="26721"/>
    <cellStyle name="Input 3 2 2 3 2 2 8" xfId="26722"/>
    <cellStyle name="Input 3 2 2 3 2 3" xfId="26723"/>
    <cellStyle name="Input 3 2 2 3 2 3 2" xfId="26724"/>
    <cellStyle name="Input 3 2 2 3 2 3 2 2" xfId="26725"/>
    <cellStyle name="Input 3 2 2 3 2 3 2 2 2" xfId="26726"/>
    <cellStyle name="Input 3 2 2 3 2 3 2 2 2 2" xfId="26727"/>
    <cellStyle name="Input 3 2 2 3 2 3 2 2 3" xfId="26728"/>
    <cellStyle name="Input 3 2 2 3 2 3 2 2 3 2" xfId="26729"/>
    <cellStyle name="Input 3 2 2 3 2 3 2 2 4" xfId="26730"/>
    <cellStyle name="Input 3 2 2 3 2 3 2 2 5" xfId="26731"/>
    <cellStyle name="Input 3 2 2 3 2 3 2 2 6" xfId="26732"/>
    <cellStyle name="Input 3 2 2 3 2 3 2 3" xfId="26733"/>
    <cellStyle name="Input 3 2 2 3 2 3 2 3 2" xfId="26734"/>
    <cellStyle name="Input 3 2 2 3 2 3 2 4" xfId="26735"/>
    <cellStyle name="Input 3 2 2 3 2 3 2 4 2" xfId="26736"/>
    <cellStyle name="Input 3 2 2 3 2 3 2 5" xfId="26737"/>
    <cellStyle name="Input 3 2 2 3 2 3 2 6" xfId="26738"/>
    <cellStyle name="Input 3 2 2 3 2 3 2 7" xfId="26739"/>
    <cellStyle name="Input 3 2 2 3 2 3 3" xfId="26740"/>
    <cellStyle name="Input 3 2 2 3 2 3 3 2" xfId="26741"/>
    <cellStyle name="Input 3 2 2 3 2 3 3 2 2" xfId="26742"/>
    <cellStyle name="Input 3 2 2 3 2 3 3 3" xfId="26743"/>
    <cellStyle name="Input 3 2 2 3 2 3 3 3 2" xfId="26744"/>
    <cellStyle name="Input 3 2 2 3 2 3 3 4" xfId="26745"/>
    <cellStyle name="Input 3 2 2 3 2 3 3 5" xfId="26746"/>
    <cellStyle name="Input 3 2 2 3 2 3 3 6" xfId="26747"/>
    <cellStyle name="Input 3 2 2 3 2 3 4" xfId="26748"/>
    <cellStyle name="Input 3 2 2 3 2 3 4 2" xfId="26749"/>
    <cellStyle name="Input 3 2 2 3 2 3 5" xfId="26750"/>
    <cellStyle name="Input 3 2 2 3 2 3 5 2" xfId="26751"/>
    <cellStyle name="Input 3 2 2 3 2 3 6" xfId="26752"/>
    <cellStyle name="Input 3 2 2 3 2 3 7" xfId="26753"/>
    <cellStyle name="Input 3 2 2 3 2 3 8" xfId="26754"/>
    <cellStyle name="Input 3 2 2 3 2 4" xfId="26755"/>
    <cellStyle name="Input 3 2 2 3 2 4 2" xfId="26756"/>
    <cellStyle name="Input 3 2 2 3 2 4 2 2" xfId="26757"/>
    <cellStyle name="Input 3 2 2 3 2 4 2 2 2" xfId="26758"/>
    <cellStyle name="Input 3 2 2 3 2 4 2 3" xfId="26759"/>
    <cellStyle name="Input 3 2 2 3 2 4 2 3 2" xfId="26760"/>
    <cellStyle name="Input 3 2 2 3 2 4 2 4" xfId="26761"/>
    <cellStyle name="Input 3 2 2 3 2 4 2 5" xfId="26762"/>
    <cellStyle name="Input 3 2 2 3 2 4 2 6" xfId="26763"/>
    <cellStyle name="Input 3 2 2 3 2 4 3" xfId="26764"/>
    <cellStyle name="Input 3 2 2 3 2 4 3 2" xfId="26765"/>
    <cellStyle name="Input 3 2 2 3 2 4 4" xfId="26766"/>
    <cellStyle name="Input 3 2 2 3 2 4 4 2" xfId="26767"/>
    <cellStyle name="Input 3 2 2 3 2 4 5" xfId="26768"/>
    <cellStyle name="Input 3 2 2 3 2 4 6" xfId="26769"/>
    <cellStyle name="Input 3 2 2 3 2 4 7" xfId="26770"/>
    <cellStyle name="Input 3 2 2 3 2 5" xfId="26771"/>
    <cellStyle name="Input 3 2 2 3 2 5 2" xfId="26772"/>
    <cellStyle name="Input 3 2 2 3 2 5 2 2" xfId="26773"/>
    <cellStyle name="Input 3 2 2 3 2 5 3" xfId="26774"/>
    <cellStyle name="Input 3 2 2 3 2 5 3 2" xfId="26775"/>
    <cellStyle name="Input 3 2 2 3 2 5 4" xfId="26776"/>
    <cellStyle name="Input 3 2 2 3 2 5 5" xfId="26777"/>
    <cellStyle name="Input 3 2 2 3 2 5 6" xfId="26778"/>
    <cellStyle name="Input 3 2 2 3 2 6" xfId="26779"/>
    <cellStyle name="Input 3 2 2 3 2 6 2" xfId="26780"/>
    <cellStyle name="Input 3 2 2 3 2 7" xfId="26781"/>
    <cellStyle name="Input 3 2 2 3 2 7 2" xfId="26782"/>
    <cellStyle name="Input 3 2 2 3 2 8" xfId="26783"/>
    <cellStyle name="Input 3 2 2 3 2 9" xfId="26784"/>
    <cellStyle name="Input 3 2 2 3 3" xfId="26785"/>
    <cellStyle name="Input 3 2 2 3 3 2" xfId="26786"/>
    <cellStyle name="Input 3 2 2 3 3 2 2" xfId="26787"/>
    <cellStyle name="Input 3 2 2 3 3 2 2 2" xfId="26788"/>
    <cellStyle name="Input 3 2 2 3 3 2 2 2 2" xfId="26789"/>
    <cellStyle name="Input 3 2 2 3 3 2 2 3" xfId="26790"/>
    <cellStyle name="Input 3 2 2 3 3 2 2 3 2" xfId="26791"/>
    <cellStyle name="Input 3 2 2 3 3 2 2 4" xfId="26792"/>
    <cellStyle name="Input 3 2 2 3 3 2 2 5" xfId="26793"/>
    <cellStyle name="Input 3 2 2 3 3 2 2 6" xfId="26794"/>
    <cellStyle name="Input 3 2 2 3 3 2 3" xfId="26795"/>
    <cellStyle name="Input 3 2 2 3 3 2 3 2" xfId="26796"/>
    <cellStyle name="Input 3 2 2 3 3 2 4" xfId="26797"/>
    <cellStyle name="Input 3 2 2 3 3 2 4 2" xfId="26798"/>
    <cellStyle name="Input 3 2 2 3 3 2 5" xfId="26799"/>
    <cellStyle name="Input 3 2 2 3 3 2 6" xfId="26800"/>
    <cellStyle name="Input 3 2 2 3 3 2 7" xfId="26801"/>
    <cellStyle name="Input 3 2 2 3 3 3" xfId="26802"/>
    <cellStyle name="Input 3 2 2 3 3 3 2" xfId="26803"/>
    <cellStyle name="Input 3 2 2 3 3 3 2 2" xfId="26804"/>
    <cellStyle name="Input 3 2 2 3 3 3 3" xfId="26805"/>
    <cellStyle name="Input 3 2 2 3 3 3 3 2" xfId="26806"/>
    <cellStyle name="Input 3 2 2 3 3 3 4" xfId="26807"/>
    <cellStyle name="Input 3 2 2 3 3 3 5" xfId="26808"/>
    <cellStyle name="Input 3 2 2 3 3 3 6" xfId="26809"/>
    <cellStyle name="Input 3 2 2 3 3 4" xfId="26810"/>
    <cellStyle name="Input 3 2 2 3 3 4 2" xfId="26811"/>
    <cellStyle name="Input 3 2 2 3 3 5" xfId="26812"/>
    <cellStyle name="Input 3 2 2 3 3 5 2" xfId="26813"/>
    <cellStyle name="Input 3 2 2 3 3 6" xfId="26814"/>
    <cellStyle name="Input 3 2 2 3 3 7" xfId="26815"/>
    <cellStyle name="Input 3 2 2 3 3 8" xfId="26816"/>
    <cellStyle name="Input 3 2 2 3 4" xfId="26817"/>
    <cellStyle name="Input 3 2 2 3 4 2" xfId="26818"/>
    <cellStyle name="Input 3 2 2 3 4 2 2" xfId="26819"/>
    <cellStyle name="Input 3 2 2 3 4 2 2 2" xfId="26820"/>
    <cellStyle name="Input 3 2 2 3 4 2 3" xfId="26821"/>
    <cellStyle name="Input 3 2 2 3 4 2 3 2" xfId="26822"/>
    <cellStyle name="Input 3 2 2 3 4 2 4" xfId="26823"/>
    <cellStyle name="Input 3 2 2 3 4 2 5" xfId="26824"/>
    <cellStyle name="Input 3 2 2 3 4 2 6" xfId="26825"/>
    <cellStyle name="Input 3 2 2 3 4 3" xfId="26826"/>
    <cellStyle name="Input 3 2 2 3 4 3 2" xfId="26827"/>
    <cellStyle name="Input 3 2 2 3 4 4" xfId="26828"/>
    <cellStyle name="Input 3 2 2 3 4 4 2" xfId="26829"/>
    <cellStyle name="Input 3 2 2 3 4 5" xfId="26830"/>
    <cellStyle name="Input 3 2 2 3 4 6" xfId="26831"/>
    <cellStyle name="Input 3 2 2 3 4 7" xfId="26832"/>
    <cellStyle name="Input 3 2 2 3 5" xfId="26833"/>
    <cellStyle name="Input 3 2 2 3 5 2" xfId="26834"/>
    <cellStyle name="Input 3 2 2 3 5 2 2" xfId="26835"/>
    <cellStyle name="Input 3 2 2 3 5 3" xfId="26836"/>
    <cellStyle name="Input 3 2 2 3 5 3 2" xfId="26837"/>
    <cellStyle name="Input 3 2 2 3 5 4" xfId="26838"/>
    <cellStyle name="Input 3 2 2 3 5 5" xfId="26839"/>
    <cellStyle name="Input 3 2 2 3 5 6" xfId="26840"/>
    <cellStyle name="Input 3 2 2 3 6" xfId="26841"/>
    <cellStyle name="Input 3 2 2 3 6 2" xfId="26842"/>
    <cellStyle name="Input 3 2 2 3 7" xfId="26843"/>
    <cellStyle name="Input 3 2 2 3 7 2" xfId="26844"/>
    <cellStyle name="Input 3 2 2 3 8" xfId="26845"/>
    <cellStyle name="Input 3 2 2 3 9" xfId="26846"/>
    <cellStyle name="Input 3 2 2 4" xfId="26847"/>
    <cellStyle name="Input 3 2 2 4 10" xfId="26848"/>
    <cellStyle name="Input 3 2 2 4 2" xfId="26849"/>
    <cellStyle name="Input 3 2 2 4 2 2" xfId="26850"/>
    <cellStyle name="Input 3 2 2 4 2 2 2" xfId="26851"/>
    <cellStyle name="Input 3 2 2 4 2 2 2 2" xfId="26852"/>
    <cellStyle name="Input 3 2 2 4 2 2 2 2 2" xfId="26853"/>
    <cellStyle name="Input 3 2 2 4 2 2 2 3" xfId="26854"/>
    <cellStyle name="Input 3 2 2 4 2 2 2 3 2" xfId="26855"/>
    <cellStyle name="Input 3 2 2 4 2 2 2 4" xfId="26856"/>
    <cellStyle name="Input 3 2 2 4 2 2 2 5" xfId="26857"/>
    <cellStyle name="Input 3 2 2 4 2 2 2 6" xfId="26858"/>
    <cellStyle name="Input 3 2 2 4 2 2 3" xfId="26859"/>
    <cellStyle name="Input 3 2 2 4 2 2 3 2" xfId="26860"/>
    <cellStyle name="Input 3 2 2 4 2 2 4" xfId="26861"/>
    <cellStyle name="Input 3 2 2 4 2 2 4 2" xfId="26862"/>
    <cellStyle name="Input 3 2 2 4 2 2 5" xfId="26863"/>
    <cellStyle name="Input 3 2 2 4 2 2 6" xfId="26864"/>
    <cellStyle name="Input 3 2 2 4 2 2 7" xfId="26865"/>
    <cellStyle name="Input 3 2 2 4 2 3" xfId="26866"/>
    <cellStyle name="Input 3 2 2 4 2 3 2" xfId="26867"/>
    <cellStyle name="Input 3 2 2 4 2 3 2 2" xfId="26868"/>
    <cellStyle name="Input 3 2 2 4 2 3 3" xfId="26869"/>
    <cellStyle name="Input 3 2 2 4 2 3 3 2" xfId="26870"/>
    <cellStyle name="Input 3 2 2 4 2 3 4" xfId="26871"/>
    <cellStyle name="Input 3 2 2 4 2 3 5" xfId="26872"/>
    <cellStyle name="Input 3 2 2 4 2 3 6" xfId="26873"/>
    <cellStyle name="Input 3 2 2 4 2 4" xfId="26874"/>
    <cellStyle name="Input 3 2 2 4 2 4 2" xfId="26875"/>
    <cellStyle name="Input 3 2 2 4 2 5" xfId="26876"/>
    <cellStyle name="Input 3 2 2 4 2 5 2" xfId="26877"/>
    <cellStyle name="Input 3 2 2 4 2 6" xfId="26878"/>
    <cellStyle name="Input 3 2 2 4 2 7" xfId="26879"/>
    <cellStyle name="Input 3 2 2 4 2 8" xfId="26880"/>
    <cellStyle name="Input 3 2 2 4 3" xfId="26881"/>
    <cellStyle name="Input 3 2 2 4 3 2" xfId="26882"/>
    <cellStyle name="Input 3 2 2 4 3 2 2" xfId="26883"/>
    <cellStyle name="Input 3 2 2 4 3 2 2 2" xfId="26884"/>
    <cellStyle name="Input 3 2 2 4 3 2 2 2 2" xfId="26885"/>
    <cellStyle name="Input 3 2 2 4 3 2 2 3" xfId="26886"/>
    <cellStyle name="Input 3 2 2 4 3 2 2 3 2" xfId="26887"/>
    <cellStyle name="Input 3 2 2 4 3 2 2 4" xfId="26888"/>
    <cellStyle name="Input 3 2 2 4 3 2 2 5" xfId="26889"/>
    <cellStyle name="Input 3 2 2 4 3 2 2 6" xfId="26890"/>
    <cellStyle name="Input 3 2 2 4 3 2 3" xfId="26891"/>
    <cellStyle name="Input 3 2 2 4 3 2 3 2" xfId="26892"/>
    <cellStyle name="Input 3 2 2 4 3 2 4" xfId="26893"/>
    <cellStyle name="Input 3 2 2 4 3 2 4 2" xfId="26894"/>
    <cellStyle name="Input 3 2 2 4 3 2 5" xfId="26895"/>
    <cellStyle name="Input 3 2 2 4 3 2 6" xfId="26896"/>
    <cellStyle name="Input 3 2 2 4 3 2 7" xfId="26897"/>
    <cellStyle name="Input 3 2 2 4 3 3" xfId="26898"/>
    <cellStyle name="Input 3 2 2 4 3 3 2" xfId="26899"/>
    <cellStyle name="Input 3 2 2 4 3 3 2 2" xfId="26900"/>
    <cellStyle name="Input 3 2 2 4 3 3 3" xfId="26901"/>
    <cellStyle name="Input 3 2 2 4 3 3 3 2" xfId="26902"/>
    <cellStyle name="Input 3 2 2 4 3 3 4" xfId="26903"/>
    <cellStyle name="Input 3 2 2 4 3 3 5" xfId="26904"/>
    <cellStyle name="Input 3 2 2 4 3 3 6" xfId="26905"/>
    <cellStyle name="Input 3 2 2 4 3 4" xfId="26906"/>
    <cellStyle name="Input 3 2 2 4 3 4 2" xfId="26907"/>
    <cellStyle name="Input 3 2 2 4 3 5" xfId="26908"/>
    <cellStyle name="Input 3 2 2 4 3 5 2" xfId="26909"/>
    <cellStyle name="Input 3 2 2 4 3 6" xfId="26910"/>
    <cellStyle name="Input 3 2 2 4 3 7" xfId="26911"/>
    <cellStyle name="Input 3 2 2 4 3 8" xfId="26912"/>
    <cellStyle name="Input 3 2 2 4 4" xfId="26913"/>
    <cellStyle name="Input 3 2 2 4 4 2" xfId="26914"/>
    <cellStyle name="Input 3 2 2 4 4 2 2" xfId="26915"/>
    <cellStyle name="Input 3 2 2 4 4 2 2 2" xfId="26916"/>
    <cellStyle name="Input 3 2 2 4 4 2 3" xfId="26917"/>
    <cellStyle name="Input 3 2 2 4 4 2 3 2" xfId="26918"/>
    <cellStyle name="Input 3 2 2 4 4 2 4" xfId="26919"/>
    <cellStyle name="Input 3 2 2 4 4 2 5" xfId="26920"/>
    <cellStyle name="Input 3 2 2 4 4 2 6" xfId="26921"/>
    <cellStyle name="Input 3 2 2 4 4 3" xfId="26922"/>
    <cellStyle name="Input 3 2 2 4 4 3 2" xfId="26923"/>
    <cellStyle name="Input 3 2 2 4 4 4" xfId="26924"/>
    <cellStyle name="Input 3 2 2 4 4 4 2" xfId="26925"/>
    <cellStyle name="Input 3 2 2 4 4 5" xfId="26926"/>
    <cellStyle name="Input 3 2 2 4 4 6" xfId="26927"/>
    <cellStyle name="Input 3 2 2 4 4 7" xfId="26928"/>
    <cellStyle name="Input 3 2 2 4 5" xfId="26929"/>
    <cellStyle name="Input 3 2 2 4 5 2" xfId="26930"/>
    <cellStyle name="Input 3 2 2 4 5 2 2" xfId="26931"/>
    <cellStyle name="Input 3 2 2 4 5 3" xfId="26932"/>
    <cellStyle name="Input 3 2 2 4 5 3 2" xfId="26933"/>
    <cellStyle name="Input 3 2 2 4 5 4" xfId="26934"/>
    <cellStyle name="Input 3 2 2 4 5 5" xfId="26935"/>
    <cellStyle name="Input 3 2 2 4 5 6" xfId="26936"/>
    <cellStyle name="Input 3 2 2 4 6" xfId="26937"/>
    <cellStyle name="Input 3 2 2 4 6 2" xfId="26938"/>
    <cellStyle name="Input 3 2 2 4 7" xfId="26939"/>
    <cellStyle name="Input 3 2 2 4 7 2" xfId="26940"/>
    <cellStyle name="Input 3 2 2 4 8" xfId="26941"/>
    <cellStyle name="Input 3 2 2 4 9" xfId="26942"/>
    <cellStyle name="Input 3 2 2 5" xfId="26943"/>
    <cellStyle name="Input 3 2 2 5 2" xfId="26944"/>
    <cellStyle name="Input 3 2 2 5 2 2" xfId="26945"/>
    <cellStyle name="Input 3 2 2 5 2 2 2" xfId="26946"/>
    <cellStyle name="Input 3 2 2 5 2 2 2 2" xfId="26947"/>
    <cellStyle name="Input 3 2 2 5 2 2 3" xfId="26948"/>
    <cellStyle name="Input 3 2 2 5 2 2 3 2" xfId="26949"/>
    <cellStyle name="Input 3 2 2 5 2 2 4" xfId="26950"/>
    <cellStyle name="Input 3 2 2 5 2 2 5" xfId="26951"/>
    <cellStyle name="Input 3 2 2 5 2 2 6" xfId="26952"/>
    <cellStyle name="Input 3 2 2 5 2 3" xfId="26953"/>
    <cellStyle name="Input 3 2 2 5 2 3 2" xfId="26954"/>
    <cellStyle name="Input 3 2 2 5 2 4" xfId="26955"/>
    <cellStyle name="Input 3 2 2 5 2 4 2" xfId="26956"/>
    <cellStyle name="Input 3 2 2 5 2 5" xfId="26957"/>
    <cellStyle name="Input 3 2 2 5 2 6" xfId="26958"/>
    <cellStyle name="Input 3 2 2 5 2 7" xfId="26959"/>
    <cellStyle name="Input 3 2 2 5 3" xfId="26960"/>
    <cellStyle name="Input 3 2 2 5 3 2" xfId="26961"/>
    <cellStyle name="Input 3 2 2 5 3 2 2" xfId="26962"/>
    <cellStyle name="Input 3 2 2 5 3 3" xfId="26963"/>
    <cellStyle name="Input 3 2 2 5 3 3 2" xfId="26964"/>
    <cellStyle name="Input 3 2 2 5 3 4" xfId="26965"/>
    <cellStyle name="Input 3 2 2 5 3 5" xfId="26966"/>
    <cellStyle name="Input 3 2 2 5 3 6" xfId="26967"/>
    <cellStyle name="Input 3 2 2 5 4" xfId="26968"/>
    <cellStyle name="Input 3 2 2 5 4 2" xfId="26969"/>
    <cellStyle name="Input 3 2 2 5 5" xfId="26970"/>
    <cellStyle name="Input 3 2 2 5 5 2" xfId="26971"/>
    <cellStyle name="Input 3 2 2 5 6" xfId="26972"/>
    <cellStyle name="Input 3 2 2 5 7" xfId="26973"/>
    <cellStyle name="Input 3 2 2 5 8" xfId="26974"/>
    <cellStyle name="Input 3 2 2 6" xfId="26975"/>
    <cellStyle name="Input 3 2 2 6 2" xfId="26976"/>
    <cellStyle name="Input 3 2 2 6 2 2" xfId="26977"/>
    <cellStyle name="Input 3 2 2 6 2 2 2" xfId="26978"/>
    <cellStyle name="Input 3 2 2 6 2 3" xfId="26979"/>
    <cellStyle name="Input 3 2 2 6 2 3 2" xfId="26980"/>
    <cellStyle name="Input 3 2 2 6 2 4" xfId="26981"/>
    <cellStyle name="Input 3 2 2 6 2 5" xfId="26982"/>
    <cellStyle name="Input 3 2 2 6 2 6" xfId="26983"/>
    <cellStyle name="Input 3 2 2 6 3" xfId="26984"/>
    <cellStyle name="Input 3 2 2 6 3 2" xfId="26985"/>
    <cellStyle name="Input 3 2 2 6 4" xfId="26986"/>
    <cellStyle name="Input 3 2 2 6 4 2" xfId="26987"/>
    <cellStyle name="Input 3 2 2 6 5" xfId="26988"/>
    <cellStyle name="Input 3 2 2 6 6" xfId="26989"/>
    <cellStyle name="Input 3 2 2 6 7" xfId="26990"/>
    <cellStyle name="Input 3 2 2 7" xfId="26991"/>
    <cellStyle name="Input 3 2 2 7 2" xfId="26992"/>
    <cellStyle name="Input 3 2 2 7 2 2" xfId="26993"/>
    <cellStyle name="Input 3 2 2 7 3" xfId="26994"/>
    <cellStyle name="Input 3 2 2 7 3 2" xfId="26995"/>
    <cellStyle name="Input 3 2 2 7 4" xfId="26996"/>
    <cellStyle name="Input 3 2 2 7 5" xfId="26997"/>
    <cellStyle name="Input 3 2 2 7 6" xfId="26998"/>
    <cellStyle name="Input 3 2 2 8" xfId="26999"/>
    <cellStyle name="Input 3 2 2 8 2" xfId="27000"/>
    <cellStyle name="Input 3 2 2 9" xfId="27001"/>
    <cellStyle name="Input 3 2 2 9 2" xfId="27002"/>
    <cellStyle name="Input 3 2 3" xfId="27003"/>
    <cellStyle name="Input 3 2 3 10" xfId="27004"/>
    <cellStyle name="Input 3 2 3 11" xfId="27005"/>
    <cellStyle name="Input 3 2 3 12" xfId="27006"/>
    <cellStyle name="Input 3 2 3 2" xfId="27007"/>
    <cellStyle name="Input 3 2 3 2 10" xfId="27008"/>
    <cellStyle name="Input 3 2 3 2 11" xfId="27009"/>
    <cellStyle name="Input 3 2 3 2 2" xfId="27010"/>
    <cellStyle name="Input 3 2 3 2 2 10" xfId="27011"/>
    <cellStyle name="Input 3 2 3 2 2 2" xfId="27012"/>
    <cellStyle name="Input 3 2 3 2 2 2 2" xfId="27013"/>
    <cellStyle name="Input 3 2 3 2 2 2 2 2" xfId="27014"/>
    <cellStyle name="Input 3 2 3 2 2 2 2 2 2" xfId="27015"/>
    <cellStyle name="Input 3 2 3 2 2 2 2 2 2 2" xfId="27016"/>
    <cellStyle name="Input 3 2 3 2 2 2 2 2 3" xfId="27017"/>
    <cellStyle name="Input 3 2 3 2 2 2 2 2 3 2" xfId="27018"/>
    <cellStyle name="Input 3 2 3 2 2 2 2 2 4" xfId="27019"/>
    <cellStyle name="Input 3 2 3 2 2 2 2 2 5" xfId="27020"/>
    <cellStyle name="Input 3 2 3 2 2 2 2 2 6" xfId="27021"/>
    <cellStyle name="Input 3 2 3 2 2 2 2 3" xfId="27022"/>
    <cellStyle name="Input 3 2 3 2 2 2 2 3 2" xfId="27023"/>
    <cellStyle name="Input 3 2 3 2 2 2 2 4" xfId="27024"/>
    <cellStyle name="Input 3 2 3 2 2 2 2 4 2" xfId="27025"/>
    <cellStyle name="Input 3 2 3 2 2 2 2 5" xfId="27026"/>
    <cellStyle name="Input 3 2 3 2 2 2 2 6" xfId="27027"/>
    <cellStyle name="Input 3 2 3 2 2 2 2 7" xfId="27028"/>
    <cellStyle name="Input 3 2 3 2 2 2 3" xfId="27029"/>
    <cellStyle name="Input 3 2 3 2 2 2 3 2" xfId="27030"/>
    <cellStyle name="Input 3 2 3 2 2 2 3 2 2" xfId="27031"/>
    <cellStyle name="Input 3 2 3 2 2 2 3 3" xfId="27032"/>
    <cellStyle name="Input 3 2 3 2 2 2 3 3 2" xfId="27033"/>
    <cellStyle name="Input 3 2 3 2 2 2 3 4" xfId="27034"/>
    <cellStyle name="Input 3 2 3 2 2 2 3 5" xfId="27035"/>
    <cellStyle name="Input 3 2 3 2 2 2 3 6" xfId="27036"/>
    <cellStyle name="Input 3 2 3 2 2 2 4" xfId="27037"/>
    <cellStyle name="Input 3 2 3 2 2 2 4 2" xfId="27038"/>
    <cellStyle name="Input 3 2 3 2 2 2 5" xfId="27039"/>
    <cellStyle name="Input 3 2 3 2 2 2 5 2" xfId="27040"/>
    <cellStyle name="Input 3 2 3 2 2 2 6" xfId="27041"/>
    <cellStyle name="Input 3 2 3 2 2 2 7" xfId="27042"/>
    <cellStyle name="Input 3 2 3 2 2 2 8" xfId="27043"/>
    <cellStyle name="Input 3 2 3 2 2 3" xfId="27044"/>
    <cellStyle name="Input 3 2 3 2 2 3 2" xfId="27045"/>
    <cellStyle name="Input 3 2 3 2 2 3 2 2" xfId="27046"/>
    <cellStyle name="Input 3 2 3 2 2 3 2 2 2" xfId="27047"/>
    <cellStyle name="Input 3 2 3 2 2 3 2 2 2 2" xfId="27048"/>
    <cellStyle name="Input 3 2 3 2 2 3 2 2 3" xfId="27049"/>
    <cellStyle name="Input 3 2 3 2 2 3 2 2 3 2" xfId="27050"/>
    <cellStyle name="Input 3 2 3 2 2 3 2 2 4" xfId="27051"/>
    <cellStyle name="Input 3 2 3 2 2 3 2 2 5" xfId="27052"/>
    <cellStyle name="Input 3 2 3 2 2 3 2 2 6" xfId="27053"/>
    <cellStyle name="Input 3 2 3 2 2 3 2 3" xfId="27054"/>
    <cellStyle name="Input 3 2 3 2 2 3 2 3 2" xfId="27055"/>
    <cellStyle name="Input 3 2 3 2 2 3 2 4" xfId="27056"/>
    <cellStyle name="Input 3 2 3 2 2 3 2 4 2" xfId="27057"/>
    <cellStyle name="Input 3 2 3 2 2 3 2 5" xfId="27058"/>
    <cellStyle name="Input 3 2 3 2 2 3 2 6" xfId="27059"/>
    <cellStyle name="Input 3 2 3 2 2 3 2 7" xfId="27060"/>
    <cellStyle name="Input 3 2 3 2 2 3 3" xfId="27061"/>
    <cellStyle name="Input 3 2 3 2 2 3 3 2" xfId="27062"/>
    <cellStyle name="Input 3 2 3 2 2 3 3 2 2" xfId="27063"/>
    <cellStyle name="Input 3 2 3 2 2 3 3 3" xfId="27064"/>
    <cellStyle name="Input 3 2 3 2 2 3 3 3 2" xfId="27065"/>
    <cellStyle name="Input 3 2 3 2 2 3 3 4" xfId="27066"/>
    <cellStyle name="Input 3 2 3 2 2 3 3 5" xfId="27067"/>
    <cellStyle name="Input 3 2 3 2 2 3 3 6" xfId="27068"/>
    <cellStyle name="Input 3 2 3 2 2 3 4" xfId="27069"/>
    <cellStyle name="Input 3 2 3 2 2 3 4 2" xfId="27070"/>
    <cellStyle name="Input 3 2 3 2 2 3 5" xfId="27071"/>
    <cellStyle name="Input 3 2 3 2 2 3 5 2" xfId="27072"/>
    <cellStyle name="Input 3 2 3 2 2 3 6" xfId="27073"/>
    <cellStyle name="Input 3 2 3 2 2 3 7" xfId="27074"/>
    <cellStyle name="Input 3 2 3 2 2 3 8" xfId="27075"/>
    <cellStyle name="Input 3 2 3 2 2 4" xfId="27076"/>
    <cellStyle name="Input 3 2 3 2 2 4 2" xfId="27077"/>
    <cellStyle name="Input 3 2 3 2 2 4 2 2" xfId="27078"/>
    <cellStyle name="Input 3 2 3 2 2 4 2 2 2" xfId="27079"/>
    <cellStyle name="Input 3 2 3 2 2 4 2 3" xfId="27080"/>
    <cellStyle name="Input 3 2 3 2 2 4 2 3 2" xfId="27081"/>
    <cellStyle name="Input 3 2 3 2 2 4 2 4" xfId="27082"/>
    <cellStyle name="Input 3 2 3 2 2 4 2 5" xfId="27083"/>
    <cellStyle name="Input 3 2 3 2 2 4 2 6" xfId="27084"/>
    <cellStyle name="Input 3 2 3 2 2 4 3" xfId="27085"/>
    <cellStyle name="Input 3 2 3 2 2 4 3 2" xfId="27086"/>
    <cellStyle name="Input 3 2 3 2 2 4 4" xfId="27087"/>
    <cellStyle name="Input 3 2 3 2 2 4 4 2" xfId="27088"/>
    <cellStyle name="Input 3 2 3 2 2 4 5" xfId="27089"/>
    <cellStyle name="Input 3 2 3 2 2 4 6" xfId="27090"/>
    <cellStyle name="Input 3 2 3 2 2 4 7" xfId="27091"/>
    <cellStyle name="Input 3 2 3 2 2 5" xfId="27092"/>
    <cellStyle name="Input 3 2 3 2 2 5 2" xfId="27093"/>
    <cellStyle name="Input 3 2 3 2 2 5 2 2" xfId="27094"/>
    <cellStyle name="Input 3 2 3 2 2 5 3" xfId="27095"/>
    <cellStyle name="Input 3 2 3 2 2 5 3 2" xfId="27096"/>
    <cellStyle name="Input 3 2 3 2 2 5 4" xfId="27097"/>
    <cellStyle name="Input 3 2 3 2 2 5 5" xfId="27098"/>
    <cellStyle name="Input 3 2 3 2 2 5 6" xfId="27099"/>
    <cellStyle name="Input 3 2 3 2 2 6" xfId="27100"/>
    <cellStyle name="Input 3 2 3 2 2 6 2" xfId="27101"/>
    <cellStyle name="Input 3 2 3 2 2 7" xfId="27102"/>
    <cellStyle name="Input 3 2 3 2 2 7 2" xfId="27103"/>
    <cellStyle name="Input 3 2 3 2 2 8" xfId="27104"/>
    <cellStyle name="Input 3 2 3 2 2 9" xfId="27105"/>
    <cellStyle name="Input 3 2 3 2 3" xfId="27106"/>
    <cellStyle name="Input 3 2 3 2 3 2" xfId="27107"/>
    <cellStyle name="Input 3 2 3 2 3 2 2" xfId="27108"/>
    <cellStyle name="Input 3 2 3 2 3 2 2 2" xfId="27109"/>
    <cellStyle name="Input 3 2 3 2 3 2 2 2 2" xfId="27110"/>
    <cellStyle name="Input 3 2 3 2 3 2 2 3" xfId="27111"/>
    <cellStyle name="Input 3 2 3 2 3 2 2 3 2" xfId="27112"/>
    <cellStyle name="Input 3 2 3 2 3 2 2 4" xfId="27113"/>
    <cellStyle name="Input 3 2 3 2 3 2 2 5" xfId="27114"/>
    <cellStyle name="Input 3 2 3 2 3 2 2 6" xfId="27115"/>
    <cellStyle name="Input 3 2 3 2 3 2 3" xfId="27116"/>
    <cellStyle name="Input 3 2 3 2 3 2 3 2" xfId="27117"/>
    <cellStyle name="Input 3 2 3 2 3 2 4" xfId="27118"/>
    <cellStyle name="Input 3 2 3 2 3 2 4 2" xfId="27119"/>
    <cellStyle name="Input 3 2 3 2 3 2 5" xfId="27120"/>
    <cellStyle name="Input 3 2 3 2 3 2 6" xfId="27121"/>
    <cellStyle name="Input 3 2 3 2 3 2 7" xfId="27122"/>
    <cellStyle name="Input 3 2 3 2 3 3" xfId="27123"/>
    <cellStyle name="Input 3 2 3 2 3 3 2" xfId="27124"/>
    <cellStyle name="Input 3 2 3 2 3 3 2 2" xfId="27125"/>
    <cellStyle name="Input 3 2 3 2 3 3 3" xfId="27126"/>
    <cellStyle name="Input 3 2 3 2 3 3 3 2" xfId="27127"/>
    <cellStyle name="Input 3 2 3 2 3 3 4" xfId="27128"/>
    <cellStyle name="Input 3 2 3 2 3 3 5" xfId="27129"/>
    <cellStyle name="Input 3 2 3 2 3 3 6" xfId="27130"/>
    <cellStyle name="Input 3 2 3 2 3 4" xfId="27131"/>
    <cellStyle name="Input 3 2 3 2 3 4 2" xfId="27132"/>
    <cellStyle name="Input 3 2 3 2 3 5" xfId="27133"/>
    <cellStyle name="Input 3 2 3 2 3 5 2" xfId="27134"/>
    <cellStyle name="Input 3 2 3 2 3 6" xfId="27135"/>
    <cellStyle name="Input 3 2 3 2 3 7" xfId="27136"/>
    <cellStyle name="Input 3 2 3 2 3 8" xfId="27137"/>
    <cellStyle name="Input 3 2 3 2 4" xfId="27138"/>
    <cellStyle name="Input 3 2 3 2 4 2" xfId="27139"/>
    <cellStyle name="Input 3 2 3 2 4 2 2" xfId="27140"/>
    <cellStyle name="Input 3 2 3 2 4 2 2 2" xfId="27141"/>
    <cellStyle name="Input 3 2 3 2 4 2 2 2 2" xfId="27142"/>
    <cellStyle name="Input 3 2 3 2 4 2 2 3" xfId="27143"/>
    <cellStyle name="Input 3 2 3 2 4 2 2 3 2" xfId="27144"/>
    <cellStyle name="Input 3 2 3 2 4 2 2 4" xfId="27145"/>
    <cellStyle name="Input 3 2 3 2 4 2 2 5" xfId="27146"/>
    <cellStyle name="Input 3 2 3 2 4 2 2 6" xfId="27147"/>
    <cellStyle name="Input 3 2 3 2 4 2 3" xfId="27148"/>
    <cellStyle name="Input 3 2 3 2 4 2 3 2" xfId="27149"/>
    <cellStyle name="Input 3 2 3 2 4 2 4" xfId="27150"/>
    <cellStyle name="Input 3 2 3 2 4 2 4 2" xfId="27151"/>
    <cellStyle name="Input 3 2 3 2 4 2 5" xfId="27152"/>
    <cellStyle name="Input 3 2 3 2 4 2 6" xfId="27153"/>
    <cellStyle name="Input 3 2 3 2 4 2 7" xfId="27154"/>
    <cellStyle name="Input 3 2 3 2 4 3" xfId="27155"/>
    <cellStyle name="Input 3 2 3 2 4 3 2" xfId="27156"/>
    <cellStyle name="Input 3 2 3 2 4 3 2 2" xfId="27157"/>
    <cellStyle name="Input 3 2 3 2 4 3 3" xfId="27158"/>
    <cellStyle name="Input 3 2 3 2 4 3 3 2" xfId="27159"/>
    <cellStyle name="Input 3 2 3 2 4 3 4" xfId="27160"/>
    <cellStyle name="Input 3 2 3 2 4 3 5" xfId="27161"/>
    <cellStyle name="Input 3 2 3 2 4 3 6" xfId="27162"/>
    <cellStyle name="Input 3 2 3 2 4 4" xfId="27163"/>
    <cellStyle name="Input 3 2 3 2 4 4 2" xfId="27164"/>
    <cellStyle name="Input 3 2 3 2 4 5" xfId="27165"/>
    <cellStyle name="Input 3 2 3 2 4 5 2" xfId="27166"/>
    <cellStyle name="Input 3 2 3 2 4 6" xfId="27167"/>
    <cellStyle name="Input 3 2 3 2 4 7" xfId="27168"/>
    <cellStyle name="Input 3 2 3 2 4 8" xfId="27169"/>
    <cellStyle name="Input 3 2 3 2 5" xfId="27170"/>
    <cellStyle name="Input 3 2 3 2 5 2" xfId="27171"/>
    <cellStyle name="Input 3 2 3 2 5 2 2" xfId="27172"/>
    <cellStyle name="Input 3 2 3 2 5 2 2 2" xfId="27173"/>
    <cellStyle name="Input 3 2 3 2 5 2 3" xfId="27174"/>
    <cellStyle name="Input 3 2 3 2 5 2 3 2" xfId="27175"/>
    <cellStyle name="Input 3 2 3 2 5 2 4" xfId="27176"/>
    <cellStyle name="Input 3 2 3 2 5 2 5" xfId="27177"/>
    <cellStyle name="Input 3 2 3 2 5 2 6" xfId="27178"/>
    <cellStyle name="Input 3 2 3 2 5 3" xfId="27179"/>
    <cellStyle name="Input 3 2 3 2 5 3 2" xfId="27180"/>
    <cellStyle name="Input 3 2 3 2 5 4" xfId="27181"/>
    <cellStyle name="Input 3 2 3 2 5 4 2" xfId="27182"/>
    <cellStyle name="Input 3 2 3 2 5 5" xfId="27183"/>
    <cellStyle name="Input 3 2 3 2 5 6" xfId="27184"/>
    <cellStyle name="Input 3 2 3 2 5 7" xfId="27185"/>
    <cellStyle name="Input 3 2 3 2 6" xfId="27186"/>
    <cellStyle name="Input 3 2 3 2 6 2" xfId="27187"/>
    <cellStyle name="Input 3 2 3 2 6 2 2" xfId="27188"/>
    <cellStyle name="Input 3 2 3 2 6 3" xfId="27189"/>
    <cellStyle name="Input 3 2 3 2 6 3 2" xfId="27190"/>
    <cellStyle name="Input 3 2 3 2 6 4" xfId="27191"/>
    <cellStyle name="Input 3 2 3 2 6 5" xfId="27192"/>
    <cellStyle name="Input 3 2 3 2 6 6" xfId="27193"/>
    <cellStyle name="Input 3 2 3 2 7" xfId="27194"/>
    <cellStyle name="Input 3 2 3 2 7 2" xfId="27195"/>
    <cellStyle name="Input 3 2 3 2 8" xfId="27196"/>
    <cellStyle name="Input 3 2 3 2 8 2" xfId="27197"/>
    <cellStyle name="Input 3 2 3 2 9" xfId="27198"/>
    <cellStyle name="Input 3 2 3 3" xfId="27199"/>
    <cellStyle name="Input 3 2 3 3 10" xfId="27200"/>
    <cellStyle name="Input 3 2 3 3 2" xfId="27201"/>
    <cellStyle name="Input 3 2 3 3 2 10" xfId="27202"/>
    <cellStyle name="Input 3 2 3 3 2 2" xfId="27203"/>
    <cellStyle name="Input 3 2 3 3 2 2 2" xfId="27204"/>
    <cellStyle name="Input 3 2 3 3 2 2 2 2" xfId="27205"/>
    <cellStyle name="Input 3 2 3 3 2 2 2 2 2" xfId="27206"/>
    <cellStyle name="Input 3 2 3 3 2 2 2 2 2 2" xfId="27207"/>
    <cellStyle name="Input 3 2 3 3 2 2 2 2 3" xfId="27208"/>
    <cellStyle name="Input 3 2 3 3 2 2 2 2 3 2" xfId="27209"/>
    <cellStyle name="Input 3 2 3 3 2 2 2 2 4" xfId="27210"/>
    <cellStyle name="Input 3 2 3 3 2 2 2 2 5" xfId="27211"/>
    <cellStyle name="Input 3 2 3 3 2 2 2 2 6" xfId="27212"/>
    <cellStyle name="Input 3 2 3 3 2 2 2 3" xfId="27213"/>
    <cellStyle name="Input 3 2 3 3 2 2 2 3 2" xfId="27214"/>
    <cellStyle name="Input 3 2 3 3 2 2 2 4" xfId="27215"/>
    <cellStyle name="Input 3 2 3 3 2 2 2 4 2" xfId="27216"/>
    <cellStyle name="Input 3 2 3 3 2 2 2 5" xfId="27217"/>
    <cellStyle name="Input 3 2 3 3 2 2 2 6" xfId="27218"/>
    <cellStyle name="Input 3 2 3 3 2 2 2 7" xfId="27219"/>
    <cellStyle name="Input 3 2 3 3 2 2 3" xfId="27220"/>
    <cellStyle name="Input 3 2 3 3 2 2 3 2" xfId="27221"/>
    <cellStyle name="Input 3 2 3 3 2 2 3 2 2" xfId="27222"/>
    <cellStyle name="Input 3 2 3 3 2 2 3 3" xfId="27223"/>
    <cellStyle name="Input 3 2 3 3 2 2 3 3 2" xfId="27224"/>
    <cellStyle name="Input 3 2 3 3 2 2 3 4" xfId="27225"/>
    <cellStyle name="Input 3 2 3 3 2 2 3 5" xfId="27226"/>
    <cellStyle name="Input 3 2 3 3 2 2 3 6" xfId="27227"/>
    <cellStyle name="Input 3 2 3 3 2 2 4" xfId="27228"/>
    <cellStyle name="Input 3 2 3 3 2 2 4 2" xfId="27229"/>
    <cellStyle name="Input 3 2 3 3 2 2 5" xfId="27230"/>
    <cellStyle name="Input 3 2 3 3 2 2 5 2" xfId="27231"/>
    <cellStyle name="Input 3 2 3 3 2 2 6" xfId="27232"/>
    <cellStyle name="Input 3 2 3 3 2 2 7" xfId="27233"/>
    <cellStyle name="Input 3 2 3 3 2 2 8" xfId="27234"/>
    <cellStyle name="Input 3 2 3 3 2 3" xfId="27235"/>
    <cellStyle name="Input 3 2 3 3 2 3 2" xfId="27236"/>
    <cellStyle name="Input 3 2 3 3 2 3 2 2" xfId="27237"/>
    <cellStyle name="Input 3 2 3 3 2 3 2 2 2" xfId="27238"/>
    <cellStyle name="Input 3 2 3 3 2 3 2 2 2 2" xfId="27239"/>
    <cellStyle name="Input 3 2 3 3 2 3 2 2 3" xfId="27240"/>
    <cellStyle name="Input 3 2 3 3 2 3 2 2 3 2" xfId="27241"/>
    <cellStyle name="Input 3 2 3 3 2 3 2 2 4" xfId="27242"/>
    <cellStyle name="Input 3 2 3 3 2 3 2 2 5" xfId="27243"/>
    <cellStyle name="Input 3 2 3 3 2 3 2 2 6" xfId="27244"/>
    <cellStyle name="Input 3 2 3 3 2 3 2 3" xfId="27245"/>
    <cellStyle name="Input 3 2 3 3 2 3 2 3 2" xfId="27246"/>
    <cellStyle name="Input 3 2 3 3 2 3 2 4" xfId="27247"/>
    <cellStyle name="Input 3 2 3 3 2 3 2 4 2" xfId="27248"/>
    <cellStyle name="Input 3 2 3 3 2 3 2 5" xfId="27249"/>
    <cellStyle name="Input 3 2 3 3 2 3 2 6" xfId="27250"/>
    <cellStyle name="Input 3 2 3 3 2 3 2 7" xfId="27251"/>
    <cellStyle name="Input 3 2 3 3 2 3 3" xfId="27252"/>
    <cellStyle name="Input 3 2 3 3 2 3 3 2" xfId="27253"/>
    <cellStyle name="Input 3 2 3 3 2 3 3 2 2" xfId="27254"/>
    <cellStyle name="Input 3 2 3 3 2 3 3 3" xfId="27255"/>
    <cellStyle name="Input 3 2 3 3 2 3 3 3 2" xfId="27256"/>
    <cellStyle name="Input 3 2 3 3 2 3 3 4" xfId="27257"/>
    <cellStyle name="Input 3 2 3 3 2 3 3 5" xfId="27258"/>
    <cellStyle name="Input 3 2 3 3 2 3 3 6" xfId="27259"/>
    <cellStyle name="Input 3 2 3 3 2 3 4" xfId="27260"/>
    <cellStyle name="Input 3 2 3 3 2 3 4 2" xfId="27261"/>
    <cellStyle name="Input 3 2 3 3 2 3 5" xfId="27262"/>
    <cellStyle name="Input 3 2 3 3 2 3 5 2" xfId="27263"/>
    <cellStyle name="Input 3 2 3 3 2 3 6" xfId="27264"/>
    <cellStyle name="Input 3 2 3 3 2 3 7" xfId="27265"/>
    <cellStyle name="Input 3 2 3 3 2 3 8" xfId="27266"/>
    <cellStyle name="Input 3 2 3 3 2 4" xfId="27267"/>
    <cellStyle name="Input 3 2 3 3 2 4 2" xfId="27268"/>
    <cellStyle name="Input 3 2 3 3 2 4 2 2" xfId="27269"/>
    <cellStyle name="Input 3 2 3 3 2 4 2 2 2" xfId="27270"/>
    <cellStyle name="Input 3 2 3 3 2 4 2 3" xfId="27271"/>
    <cellStyle name="Input 3 2 3 3 2 4 2 3 2" xfId="27272"/>
    <cellStyle name="Input 3 2 3 3 2 4 2 4" xfId="27273"/>
    <cellStyle name="Input 3 2 3 3 2 4 2 5" xfId="27274"/>
    <cellStyle name="Input 3 2 3 3 2 4 2 6" xfId="27275"/>
    <cellStyle name="Input 3 2 3 3 2 4 3" xfId="27276"/>
    <cellStyle name="Input 3 2 3 3 2 4 3 2" xfId="27277"/>
    <cellStyle name="Input 3 2 3 3 2 4 4" xfId="27278"/>
    <cellStyle name="Input 3 2 3 3 2 4 4 2" xfId="27279"/>
    <cellStyle name="Input 3 2 3 3 2 4 5" xfId="27280"/>
    <cellStyle name="Input 3 2 3 3 2 4 6" xfId="27281"/>
    <cellStyle name="Input 3 2 3 3 2 4 7" xfId="27282"/>
    <cellStyle name="Input 3 2 3 3 2 5" xfId="27283"/>
    <cellStyle name="Input 3 2 3 3 2 5 2" xfId="27284"/>
    <cellStyle name="Input 3 2 3 3 2 5 2 2" xfId="27285"/>
    <cellStyle name="Input 3 2 3 3 2 5 3" xfId="27286"/>
    <cellStyle name="Input 3 2 3 3 2 5 3 2" xfId="27287"/>
    <cellStyle name="Input 3 2 3 3 2 5 4" xfId="27288"/>
    <cellStyle name="Input 3 2 3 3 2 5 5" xfId="27289"/>
    <cellStyle name="Input 3 2 3 3 2 5 6" xfId="27290"/>
    <cellStyle name="Input 3 2 3 3 2 6" xfId="27291"/>
    <cellStyle name="Input 3 2 3 3 2 6 2" xfId="27292"/>
    <cellStyle name="Input 3 2 3 3 2 7" xfId="27293"/>
    <cellStyle name="Input 3 2 3 3 2 7 2" xfId="27294"/>
    <cellStyle name="Input 3 2 3 3 2 8" xfId="27295"/>
    <cellStyle name="Input 3 2 3 3 2 9" xfId="27296"/>
    <cellStyle name="Input 3 2 3 3 3" xfId="27297"/>
    <cellStyle name="Input 3 2 3 3 3 2" xfId="27298"/>
    <cellStyle name="Input 3 2 3 3 3 2 2" xfId="27299"/>
    <cellStyle name="Input 3 2 3 3 3 2 2 2" xfId="27300"/>
    <cellStyle name="Input 3 2 3 3 3 2 2 2 2" xfId="27301"/>
    <cellStyle name="Input 3 2 3 3 3 2 2 3" xfId="27302"/>
    <cellStyle name="Input 3 2 3 3 3 2 2 3 2" xfId="27303"/>
    <cellStyle name="Input 3 2 3 3 3 2 2 4" xfId="27304"/>
    <cellStyle name="Input 3 2 3 3 3 2 2 5" xfId="27305"/>
    <cellStyle name="Input 3 2 3 3 3 2 2 6" xfId="27306"/>
    <cellStyle name="Input 3 2 3 3 3 2 3" xfId="27307"/>
    <cellStyle name="Input 3 2 3 3 3 2 3 2" xfId="27308"/>
    <cellStyle name="Input 3 2 3 3 3 2 4" xfId="27309"/>
    <cellStyle name="Input 3 2 3 3 3 2 4 2" xfId="27310"/>
    <cellStyle name="Input 3 2 3 3 3 2 5" xfId="27311"/>
    <cellStyle name="Input 3 2 3 3 3 2 6" xfId="27312"/>
    <cellStyle name="Input 3 2 3 3 3 2 7" xfId="27313"/>
    <cellStyle name="Input 3 2 3 3 3 3" xfId="27314"/>
    <cellStyle name="Input 3 2 3 3 3 3 2" xfId="27315"/>
    <cellStyle name="Input 3 2 3 3 3 3 2 2" xfId="27316"/>
    <cellStyle name="Input 3 2 3 3 3 3 3" xfId="27317"/>
    <cellStyle name="Input 3 2 3 3 3 3 3 2" xfId="27318"/>
    <cellStyle name="Input 3 2 3 3 3 3 4" xfId="27319"/>
    <cellStyle name="Input 3 2 3 3 3 3 5" xfId="27320"/>
    <cellStyle name="Input 3 2 3 3 3 3 6" xfId="27321"/>
    <cellStyle name="Input 3 2 3 3 3 4" xfId="27322"/>
    <cellStyle name="Input 3 2 3 3 3 4 2" xfId="27323"/>
    <cellStyle name="Input 3 2 3 3 3 5" xfId="27324"/>
    <cellStyle name="Input 3 2 3 3 3 5 2" xfId="27325"/>
    <cellStyle name="Input 3 2 3 3 3 6" xfId="27326"/>
    <cellStyle name="Input 3 2 3 3 3 7" xfId="27327"/>
    <cellStyle name="Input 3 2 3 3 3 8" xfId="27328"/>
    <cellStyle name="Input 3 2 3 3 4" xfId="27329"/>
    <cellStyle name="Input 3 2 3 3 4 2" xfId="27330"/>
    <cellStyle name="Input 3 2 3 3 4 2 2" xfId="27331"/>
    <cellStyle name="Input 3 2 3 3 4 2 2 2" xfId="27332"/>
    <cellStyle name="Input 3 2 3 3 4 2 3" xfId="27333"/>
    <cellStyle name="Input 3 2 3 3 4 2 3 2" xfId="27334"/>
    <cellStyle name="Input 3 2 3 3 4 2 4" xfId="27335"/>
    <cellStyle name="Input 3 2 3 3 4 2 5" xfId="27336"/>
    <cellStyle name="Input 3 2 3 3 4 2 6" xfId="27337"/>
    <cellStyle name="Input 3 2 3 3 4 3" xfId="27338"/>
    <cellStyle name="Input 3 2 3 3 4 3 2" xfId="27339"/>
    <cellStyle name="Input 3 2 3 3 4 4" xfId="27340"/>
    <cellStyle name="Input 3 2 3 3 4 4 2" xfId="27341"/>
    <cellStyle name="Input 3 2 3 3 4 5" xfId="27342"/>
    <cellStyle name="Input 3 2 3 3 4 6" xfId="27343"/>
    <cellStyle name="Input 3 2 3 3 4 7" xfId="27344"/>
    <cellStyle name="Input 3 2 3 3 5" xfId="27345"/>
    <cellStyle name="Input 3 2 3 3 5 2" xfId="27346"/>
    <cellStyle name="Input 3 2 3 3 5 2 2" xfId="27347"/>
    <cellStyle name="Input 3 2 3 3 5 3" xfId="27348"/>
    <cellStyle name="Input 3 2 3 3 5 3 2" xfId="27349"/>
    <cellStyle name="Input 3 2 3 3 5 4" xfId="27350"/>
    <cellStyle name="Input 3 2 3 3 5 5" xfId="27351"/>
    <cellStyle name="Input 3 2 3 3 5 6" xfId="27352"/>
    <cellStyle name="Input 3 2 3 3 6" xfId="27353"/>
    <cellStyle name="Input 3 2 3 3 6 2" xfId="27354"/>
    <cellStyle name="Input 3 2 3 3 7" xfId="27355"/>
    <cellStyle name="Input 3 2 3 3 7 2" xfId="27356"/>
    <cellStyle name="Input 3 2 3 3 8" xfId="27357"/>
    <cellStyle name="Input 3 2 3 3 9" xfId="27358"/>
    <cellStyle name="Input 3 2 3 4" xfId="27359"/>
    <cellStyle name="Input 3 2 3 4 10" xfId="27360"/>
    <cellStyle name="Input 3 2 3 4 2" xfId="27361"/>
    <cellStyle name="Input 3 2 3 4 2 2" xfId="27362"/>
    <cellStyle name="Input 3 2 3 4 2 2 2" xfId="27363"/>
    <cellStyle name="Input 3 2 3 4 2 2 2 2" xfId="27364"/>
    <cellStyle name="Input 3 2 3 4 2 2 2 2 2" xfId="27365"/>
    <cellStyle name="Input 3 2 3 4 2 2 2 3" xfId="27366"/>
    <cellStyle name="Input 3 2 3 4 2 2 2 3 2" xfId="27367"/>
    <cellStyle name="Input 3 2 3 4 2 2 2 4" xfId="27368"/>
    <cellStyle name="Input 3 2 3 4 2 2 2 5" xfId="27369"/>
    <cellStyle name="Input 3 2 3 4 2 2 2 6" xfId="27370"/>
    <cellStyle name="Input 3 2 3 4 2 2 3" xfId="27371"/>
    <cellStyle name="Input 3 2 3 4 2 2 3 2" xfId="27372"/>
    <cellStyle name="Input 3 2 3 4 2 2 4" xfId="27373"/>
    <cellStyle name="Input 3 2 3 4 2 2 4 2" xfId="27374"/>
    <cellStyle name="Input 3 2 3 4 2 2 5" xfId="27375"/>
    <cellStyle name="Input 3 2 3 4 2 2 6" xfId="27376"/>
    <cellStyle name="Input 3 2 3 4 2 2 7" xfId="27377"/>
    <cellStyle name="Input 3 2 3 4 2 3" xfId="27378"/>
    <cellStyle name="Input 3 2 3 4 2 3 2" xfId="27379"/>
    <cellStyle name="Input 3 2 3 4 2 3 2 2" xfId="27380"/>
    <cellStyle name="Input 3 2 3 4 2 3 3" xfId="27381"/>
    <cellStyle name="Input 3 2 3 4 2 3 3 2" xfId="27382"/>
    <cellStyle name="Input 3 2 3 4 2 3 4" xfId="27383"/>
    <cellStyle name="Input 3 2 3 4 2 3 5" xfId="27384"/>
    <cellStyle name="Input 3 2 3 4 2 3 6" xfId="27385"/>
    <cellStyle name="Input 3 2 3 4 2 4" xfId="27386"/>
    <cellStyle name="Input 3 2 3 4 2 4 2" xfId="27387"/>
    <cellStyle name="Input 3 2 3 4 2 5" xfId="27388"/>
    <cellStyle name="Input 3 2 3 4 2 5 2" xfId="27389"/>
    <cellStyle name="Input 3 2 3 4 2 6" xfId="27390"/>
    <cellStyle name="Input 3 2 3 4 2 7" xfId="27391"/>
    <cellStyle name="Input 3 2 3 4 2 8" xfId="27392"/>
    <cellStyle name="Input 3 2 3 4 3" xfId="27393"/>
    <cellStyle name="Input 3 2 3 4 3 2" xfId="27394"/>
    <cellStyle name="Input 3 2 3 4 3 2 2" xfId="27395"/>
    <cellStyle name="Input 3 2 3 4 3 2 2 2" xfId="27396"/>
    <cellStyle name="Input 3 2 3 4 3 2 2 2 2" xfId="27397"/>
    <cellStyle name="Input 3 2 3 4 3 2 2 3" xfId="27398"/>
    <cellStyle name="Input 3 2 3 4 3 2 2 3 2" xfId="27399"/>
    <cellStyle name="Input 3 2 3 4 3 2 2 4" xfId="27400"/>
    <cellStyle name="Input 3 2 3 4 3 2 2 5" xfId="27401"/>
    <cellStyle name="Input 3 2 3 4 3 2 2 6" xfId="27402"/>
    <cellStyle name="Input 3 2 3 4 3 2 3" xfId="27403"/>
    <cellStyle name="Input 3 2 3 4 3 2 3 2" xfId="27404"/>
    <cellStyle name="Input 3 2 3 4 3 2 4" xfId="27405"/>
    <cellStyle name="Input 3 2 3 4 3 2 4 2" xfId="27406"/>
    <cellStyle name="Input 3 2 3 4 3 2 5" xfId="27407"/>
    <cellStyle name="Input 3 2 3 4 3 2 6" xfId="27408"/>
    <cellStyle name="Input 3 2 3 4 3 2 7" xfId="27409"/>
    <cellStyle name="Input 3 2 3 4 3 3" xfId="27410"/>
    <cellStyle name="Input 3 2 3 4 3 3 2" xfId="27411"/>
    <cellStyle name="Input 3 2 3 4 3 3 2 2" xfId="27412"/>
    <cellStyle name="Input 3 2 3 4 3 3 3" xfId="27413"/>
    <cellStyle name="Input 3 2 3 4 3 3 3 2" xfId="27414"/>
    <cellStyle name="Input 3 2 3 4 3 3 4" xfId="27415"/>
    <cellStyle name="Input 3 2 3 4 3 3 5" xfId="27416"/>
    <cellStyle name="Input 3 2 3 4 3 3 6" xfId="27417"/>
    <cellStyle name="Input 3 2 3 4 3 4" xfId="27418"/>
    <cellStyle name="Input 3 2 3 4 3 4 2" xfId="27419"/>
    <cellStyle name="Input 3 2 3 4 3 5" xfId="27420"/>
    <cellStyle name="Input 3 2 3 4 3 5 2" xfId="27421"/>
    <cellStyle name="Input 3 2 3 4 3 6" xfId="27422"/>
    <cellStyle name="Input 3 2 3 4 3 7" xfId="27423"/>
    <cellStyle name="Input 3 2 3 4 3 8" xfId="27424"/>
    <cellStyle name="Input 3 2 3 4 4" xfId="27425"/>
    <cellStyle name="Input 3 2 3 4 4 2" xfId="27426"/>
    <cellStyle name="Input 3 2 3 4 4 2 2" xfId="27427"/>
    <cellStyle name="Input 3 2 3 4 4 2 2 2" xfId="27428"/>
    <cellStyle name="Input 3 2 3 4 4 2 3" xfId="27429"/>
    <cellStyle name="Input 3 2 3 4 4 2 3 2" xfId="27430"/>
    <cellStyle name="Input 3 2 3 4 4 2 4" xfId="27431"/>
    <cellStyle name="Input 3 2 3 4 4 2 5" xfId="27432"/>
    <cellStyle name="Input 3 2 3 4 4 2 6" xfId="27433"/>
    <cellStyle name="Input 3 2 3 4 4 3" xfId="27434"/>
    <cellStyle name="Input 3 2 3 4 4 3 2" xfId="27435"/>
    <cellStyle name="Input 3 2 3 4 4 4" xfId="27436"/>
    <cellStyle name="Input 3 2 3 4 4 4 2" xfId="27437"/>
    <cellStyle name="Input 3 2 3 4 4 5" xfId="27438"/>
    <cellStyle name="Input 3 2 3 4 4 6" xfId="27439"/>
    <cellStyle name="Input 3 2 3 4 4 7" xfId="27440"/>
    <cellStyle name="Input 3 2 3 4 5" xfId="27441"/>
    <cellStyle name="Input 3 2 3 4 5 2" xfId="27442"/>
    <cellStyle name="Input 3 2 3 4 5 2 2" xfId="27443"/>
    <cellStyle name="Input 3 2 3 4 5 3" xfId="27444"/>
    <cellStyle name="Input 3 2 3 4 5 3 2" xfId="27445"/>
    <cellStyle name="Input 3 2 3 4 5 4" xfId="27446"/>
    <cellStyle name="Input 3 2 3 4 5 5" xfId="27447"/>
    <cellStyle name="Input 3 2 3 4 5 6" xfId="27448"/>
    <cellStyle name="Input 3 2 3 4 6" xfId="27449"/>
    <cellStyle name="Input 3 2 3 4 6 2" xfId="27450"/>
    <cellStyle name="Input 3 2 3 4 7" xfId="27451"/>
    <cellStyle name="Input 3 2 3 4 7 2" xfId="27452"/>
    <cellStyle name="Input 3 2 3 4 8" xfId="27453"/>
    <cellStyle name="Input 3 2 3 4 9" xfId="27454"/>
    <cellStyle name="Input 3 2 3 5" xfId="27455"/>
    <cellStyle name="Input 3 2 3 5 2" xfId="27456"/>
    <cellStyle name="Input 3 2 3 5 2 2" xfId="27457"/>
    <cellStyle name="Input 3 2 3 5 2 2 2" xfId="27458"/>
    <cellStyle name="Input 3 2 3 5 2 2 2 2" xfId="27459"/>
    <cellStyle name="Input 3 2 3 5 2 2 3" xfId="27460"/>
    <cellStyle name="Input 3 2 3 5 2 2 3 2" xfId="27461"/>
    <cellStyle name="Input 3 2 3 5 2 2 4" xfId="27462"/>
    <cellStyle name="Input 3 2 3 5 2 2 5" xfId="27463"/>
    <cellStyle name="Input 3 2 3 5 2 2 6" xfId="27464"/>
    <cellStyle name="Input 3 2 3 5 2 3" xfId="27465"/>
    <cellStyle name="Input 3 2 3 5 2 3 2" xfId="27466"/>
    <cellStyle name="Input 3 2 3 5 2 4" xfId="27467"/>
    <cellStyle name="Input 3 2 3 5 2 4 2" xfId="27468"/>
    <cellStyle name="Input 3 2 3 5 2 5" xfId="27469"/>
    <cellStyle name="Input 3 2 3 5 2 6" xfId="27470"/>
    <cellStyle name="Input 3 2 3 5 2 7" xfId="27471"/>
    <cellStyle name="Input 3 2 3 5 3" xfId="27472"/>
    <cellStyle name="Input 3 2 3 5 3 2" xfId="27473"/>
    <cellStyle name="Input 3 2 3 5 3 2 2" xfId="27474"/>
    <cellStyle name="Input 3 2 3 5 3 3" xfId="27475"/>
    <cellStyle name="Input 3 2 3 5 3 3 2" xfId="27476"/>
    <cellStyle name="Input 3 2 3 5 3 4" xfId="27477"/>
    <cellStyle name="Input 3 2 3 5 3 5" xfId="27478"/>
    <cellStyle name="Input 3 2 3 5 3 6" xfId="27479"/>
    <cellStyle name="Input 3 2 3 5 4" xfId="27480"/>
    <cellStyle name="Input 3 2 3 5 4 2" xfId="27481"/>
    <cellStyle name="Input 3 2 3 5 5" xfId="27482"/>
    <cellStyle name="Input 3 2 3 5 5 2" xfId="27483"/>
    <cellStyle name="Input 3 2 3 5 6" xfId="27484"/>
    <cellStyle name="Input 3 2 3 5 7" xfId="27485"/>
    <cellStyle name="Input 3 2 3 5 8" xfId="27486"/>
    <cellStyle name="Input 3 2 3 6" xfId="27487"/>
    <cellStyle name="Input 3 2 3 6 2" xfId="27488"/>
    <cellStyle name="Input 3 2 3 6 2 2" xfId="27489"/>
    <cellStyle name="Input 3 2 3 6 2 2 2" xfId="27490"/>
    <cellStyle name="Input 3 2 3 6 2 3" xfId="27491"/>
    <cellStyle name="Input 3 2 3 6 2 3 2" xfId="27492"/>
    <cellStyle name="Input 3 2 3 6 2 4" xfId="27493"/>
    <cellStyle name="Input 3 2 3 6 2 5" xfId="27494"/>
    <cellStyle name="Input 3 2 3 6 2 6" xfId="27495"/>
    <cellStyle name="Input 3 2 3 6 3" xfId="27496"/>
    <cellStyle name="Input 3 2 3 6 3 2" xfId="27497"/>
    <cellStyle name="Input 3 2 3 6 4" xfId="27498"/>
    <cellStyle name="Input 3 2 3 6 4 2" xfId="27499"/>
    <cellStyle name="Input 3 2 3 6 5" xfId="27500"/>
    <cellStyle name="Input 3 2 3 6 6" xfId="27501"/>
    <cellStyle name="Input 3 2 3 6 7" xfId="27502"/>
    <cellStyle name="Input 3 2 3 7" xfId="27503"/>
    <cellStyle name="Input 3 2 3 7 2" xfId="27504"/>
    <cellStyle name="Input 3 2 3 7 2 2" xfId="27505"/>
    <cellStyle name="Input 3 2 3 7 3" xfId="27506"/>
    <cellStyle name="Input 3 2 3 7 3 2" xfId="27507"/>
    <cellStyle name="Input 3 2 3 7 4" xfId="27508"/>
    <cellStyle name="Input 3 2 3 7 5" xfId="27509"/>
    <cellStyle name="Input 3 2 3 7 6" xfId="27510"/>
    <cellStyle name="Input 3 2 3 8" xfId="27511"/>
    <cellStyle name="Input 3 2 3 8 2" xfId="27512"/>
    <cellStyle name="Input 3 2 3 9" xfId="27513"/>
    <cellStyle name="Input 3 2 3 9 2" xfId="27514"/>
    <cellStyle name="Input 3 2 4" xfId="27515"/>
    <cellStyle name="Input 3 2 4 10" xfId="27516"/>
    <cellStyle name="Input 3 2 4 11" xfId="27517"/>
    <cellStyle name="Input 3 2 4 2" xfId="27518"/>
    <cellStyle name="Input 3 2 4 2 10" xfId="27519"/>
    <cellStyle name="Input 3 2 4 2 2" xfId="27520"/>
    <cellStyle name="Input 3 2 4 2 2 10" xfId="27521"/>
    <cellStyle name="Input 3 2 4 2 2 2" xfId="27522"/>
    <cellStyle name="Input 3 2 4 2 2 2 2" xfId="27523"/>
    <cellStyle name="Input 3 2 4 2 2 2 2 2" xfId="27524"/>
    <cellStyle name="Input 3 2 4 2 2 2 2 2 2" xfId="27525"/>
    <cellStyle name="Input 3 2 4 2 2 2 2 2 2 2" xfId="27526"/>
    <cellStyle name="Input 3 2 4 2 2 2 2 2 3" xfId="27527"/>
    <cellStyle name="Input 3 2 4 2 2 2 2 2 3 2" xfId="27528"/>
    <cellStyle name="Input 3 2 4 2 2 2 2 2 4" xfId="27529"/>
    <cellStyle name="Input 3 2 4 2 2 2 2 2 5" xfId="27530"/>
    <cellStyle name="Input 3 2 4 2 2 2 2 2 6" xfId="27531"/>
    <cellStyle name="Input 3 2 4 2 2 2 2 3" xfId="27532"/>
    <cellStyle name="Input 3 2 4 2 2 2 2 3 2" xfId="27533"/>
    <cellStyle name="Input 3 2 4 2 2 2 2 4" xfId="27534"/>
    <cellStyle name="Input 3 2 4 2 2 2 2 4 2" xfId="27535"/>
    <cellStyle name="Input 3 2 4 2 2 2 2 5" xfId="27536"/>
    <cellStyle name="Input 3 2 4 2 2 2 2 6" xfId="27537"/>
    <cellStyle name="Input 3 2 4 2 2 2 2 7" xfId="27538"/>
    <cellStyle name="Input 3 2 4 2 2 2 3" xfId="27539"/>
    <cellStyle name="Input 3 2 4 2 2 2 3 2" xfId="27540"/>
    <cellStyle name="Input 3 2 4 2 2 2 3 2 2" xfId="27541"/>
    <cellStyle name="Input 3 2 4 2 2 2 3 3" xfId="27542"/>
    <cellStyle name="Input 3 2 4 2 2 2 3 3 2" xfId="27543"/>
    <cellStyle name="Input 3 2 4 2 2 2 3 4" xfId="27544"/>
    <cellStyle name="Input 3 2 4 2 2 2 3 5" xfId="27545"/>
    <cellStyle name="Input 3 2 4 2 2 2 3 6" xfId="27546"/>
    <cellStyle name="Input 3 2 4 2 2 2 4" xfId="27547"/>
    <cellStyle name="Input 3 2 4 2 2 2 4 2" xfId="27548"/>
    <cellStyle name="Input 3 2 4 2 2 2 5" xfId="27549"/>
    <cellStyle name="Input 3 2 4 2 2 2 5 2" xfId="27550"/>
    <cellStyle name="Input 3 2 4 2 2 2 6" xfId="27551"/>
    <cellStyle name="Input 3 2 4 2 2 2 7" xfId="27552"/>
    <cellStyle name="Input 3 2 4 2 2 2 8" xfId="27553"/>
    <cellStyle name="Input 3 2 4 2 2 3" xfId="27554"/>
    <cellStyle name="Input 3 2 4 2 2 3 2" xfId="27555"/>
    <cellStyle name="Input 3 2 4 2 2 3 2 2" xfId="27556"/>
    <cellStyle name="Input 3 2 4 2 2 3 2 2 2" xfId="27557"/>
    <cellStyle name="Input 3 2 4 2 2 3 2 2 2 2" xfId="27558"/>
    <cellStyle name="Input 3 2 4 2 2 3 2 2 3" xfId="27559"/>
    <cellStyle name="Input 3 2 4 2 2 3 2 2 3 2" xfId="27560"/>
    <cellStyle name="Input 3 2 4 2 2 3 2 2 4" xfId="27561"/>
    <cellStyle name="Input 3 2 4 2 2 3 2 2 5" xfId="27562"/>
    <cellStyle name="Input 3 2 4 2 2 3 2 2 6" xfId="27563"/>
    <cellStyle name="Input 3 2 4 2 2 3 2 3" xfId="27564"/>
    <cellStyle name="Input 3 2 4 2 2 3 2 3 2" xfId="27565"/>
    <cellStyle name="Input 3 2 4 2 2 3 2 4" xfId="27566"/>
    <cellStyle name="Input 3 2 4 2 2 3 2 4 2" xfId="27567"/>
    <cellStyle name="Input 3 2 4 2 2 3 2 5" xfId="27568"/>
    <cellStyle name="Input 3 2 4 2 2 3 2 6" xfId="27569"/>
    <cellStyle name="Input 3 2 4 2 2 3 2 7" xfId="27570"/>
    <cellStyle name="Input 3 2 4 2 2 3 3" xfId="27571"/>
    <cellStyle name="Input 3 2 4 2 2 3 3 2" xfId="27572"/>
    <cellStyle name="Input 3 2 4 2 2 3 3 2 2" xfId="27573"/>
    <cellStyle name="Input 3 2 4 2 2 3 3 3" xfId="27574"/>
    <cellStyle name="Input 3 2 4 2 2 3 3 3 2" xfId="27575"/>
    <cellStyle name="Input 3 2 4 2 2 3 3 4" xfId="27576"/>
    <cellStyle name="Input 3 2 4 2 2 3 3 5" xfId="27577"/>
    <cellStyle name="Input 3 2 4 2 2 3 3 6" xfId="27578"/>
    <cellStyle name="Input 3 2 4 2 2 3 4" xfId="27579"/>
    <cellStyle name="Input 3 2 4 2 2 3 4 2" xfId="27580"/>
    <cellStyle name="Input 3 2 4 2 2 3 5" xfId="27581"/>
    <cellStyle name="Input 3 2 4 2 2 3 5 2" xfId="27582"/>
    <cellStyle name="Input 3 2 4 2 2 3 6" xfId="27583"/>
    <cellStyle name="Input 3 2 4 2 2 3 7" xfId="27584"/>
    <cellStyle name="Input 3 2 4 2 2 3 8" xfId="27585"/>
    <cellStyle name="Input 3 2 4 2 2 4" xfId="27586"/>
    <cellStyle name="Input 3 2 4 2 2 4 2" xfId="27587"/>
    <cellStyle name="Input 3 2 4 2 2 4 2 2" xfId="27588"/>
    <cellStyle name="Input 3 2 4 2 2 4 2 2 2" xfId="27589"/>
    <cellStyle name="Input 3 2 4 2 2 4 2 3" xfId="27590"/>
    <cellStyle name="Input 3 2 4 2 2 4 2 3 2" xfId="27591"/>
    <cellStyle name="Input 3 2 4 2 2 4 2 4" xfId="27592"/>
    <cellStyle name="Input 3 2 4 2 2 4 2 5" xfId="27593"/>
    <cellStyle name="Input 3 2 4 2 2 4 2 6" xfId="27594"/>
    <cellStyle name="Input 3 2 4 2 2 4 3" xfId="27595"/>
    <cellStyle name="Input 3 2 4 2 2 4 3 2" xfId="27596"/>
    <cellStyle name="Input 3 2 4 2 2 4 4" xfId="27597"/>
    <cellStyle name="Input 3 2 4 2 2 4 4 2" xfId="27598"/>
    <cellStyle name="Input 3 2 4 2 2 4 5" xfId="27599"/>
    <cellStyle name="Input 3 2 4 2 2 4 6" xfId="27600"/>
    <cellStyle name="Input 3 2 4 2 2 4 7" xfId="27601"/>
    <cellStyle name="Input 3 2 4 2 2 5" xfId="27602"/>
    <cellStyle name="Input 3 2 4 2 2 5 2" xfId="27603"/>
    <cellStyle name="Input 3 2 4 2 2 5 2 2" xfId="27604"/>
    <cellStyle name="Input 3 2 4 2 2 5 3" xfId="27605"/>
    <cellStyle name="Input 3 2 4 2 2 5 3 2" xfId="27606"/>
    <cellStyle name="Input 3 2 4 2 2 5 4" xfId="27607"/>
    <cellStyle name="Input 3 2 4 2 2 5 5" xfId="27608"/>
    <cellStyle name="Input 3 2 4 2 2 5 6" xfId="27609"/>
    <cellStyle name="Input 3 2 4 2 2 6" xfId="27610"/>
    <cellStyle name="Input 3 2 4 2 2 6 2" xfId="27611"/>
    <cellStyle name="Input 3 2 4 2 2 7" xfId="27612"/>
    <cellStyle name="Input 3 2 4 2 2 7 2" xfId="27613"/>
    <cellStyle name="Input 3 2 4 2 2 8" xfId="27614"/>
    <cellStyle name="Input 3 2 4 2 2 9" xfId="27615"/>
    <cellStyle name="Input 3 2 4 2 3" xfId="27616"/>
    <cellStyle name="Input 3 2 4 2 3 2" xfId="27617"/>
    <cellStyle name="Input 3 2 4 2 3 2 2" xfId="27618"/>
    <cellStyle name="Input 3 2 4 2 3 2 2 2" xfId="27619"/>
    <cellStyle name="Input 3 2 4 2 3 2 2 2 2" xfId="27620"/>
    <cellStyle name="Input 3 2 4 2 3 2 2 3" xfId="27621"/>
    <cellStyle name="Input 3 2 4 2 3 2 2 3 2" xfId="27622"/>
    <cellStyle name="Input 3 2 4 2 3 2 2 4" xfId="27623"/>
    <cellStyle name="Input 3 2 4 2 3 2 2 5" xfId="27624"/>
    <cellStyle name="Input 3 2 4 2 3 2 2 6" xfId="27625"/>
    <cellStyle name="Input 3 2 4 2 3 2 3" xfId="27626"/>
    <cellStyle name="Input 3 2 4 2 3 2 3 2" xfId="27627"/>
    <cellStyle name="Input 3 2 4 2 3 2 4" xfId="27628"/>
    <cellStyle name="Input 3 2 4 2 3 2 4 2" xfId="27629"/>
    <cellStyle name="Input 3 2 4 2 3 2 5" xfId="27630"/>
    <cellStyle name="Input 3 2 4 2 3 2 6" xfId="27631"/>
    <cellStyle name="Input 3 2 4 2 3 2 7" xfId="27632"/>
    <cellStyle name="Input 3 2 4 2 3 3" xfId="27633"/>
    <cellStyle name="Input 3 2 4 2 3 3 2" xfId="27634"/>
    <cellStyle name="Input 3 2 4 2 3 3 2 2" xfId="27635"/>
    <cellStyle name="Input 3 2 4 2 3 3 3" xfId="27636"/>
    <cellStyle name="Input 3 2 4 2 3 3 3 2" xfId="27637"/>
    <cellStyle name="Input 3 2 4 2 3 3 4" xfId="27638"/>
    <cellStyle name="Input 3 2 4 2 3 3 5" xfId="27639"/>
    <cellStyle name="Input 3 2 4 2 3 3 6" xfId="27640"/>
    <cellStyle name="Input 3 2 4 2 3 4" xfId="27641"/>
    <cellStyle name="Input 3 2 4 2 3 4 2" xfId="27642"/>
    <cellStyle name="Input 3 2 4 2 3 5" xfId="27643"/>
    <cellStyle name="Input 3 2 4 2 3 5 2" xfId="27644"/>
    <cellStyle name="Input 3 2 4 2 3 6" xfId="27645"/>
    <cellStyle name="Input 3 2 4 2 3 7" xfId="27646"/>
    <cellStyle name="Input 3 2 4 2 3 8" xfId="27647"/>
    <cellStyle name="Input 3 2 4 2 4" xfId="27648"/>
    <cellStyle name="Input 3 2 4 2 4 2" xfId="27649"/>
    <cellStyle name="Input 3 2 4 2 4 2 2" xfId="27650"/>
    <cellStyle name="Input 3 2 4 2 4 2 2 2" xfId="27651"/>
    <cellStyle name="Input 3 2 4 2 4 2 3" xfId="27652"/>
    <cellStyle name="Input 3 2 4 2 4 2 3 2" xfId="27653"/>
    <cellStyle name="Input 3 2 4 2 4 2 4" xfId="27654"/>
    <cellStyle name="Input 3 2 4 2 4 2 5" xfId="27655"/>
    <cellStyle name="Input 3 2 4 2 4 2 6" xfId="27656"/>
    <cellStyle name="Input 3 2 4 2 4 3" xfId="27657"/>
    <cellStyle name="Input 3 2 4 2 4 3 2" xfId="27658"/>
    <cellStyle name="Input 3 2 4 2 4 4" xfId="27659"/>
    <cellStyle name="Input 3 2 4 2 4 4 2" xfId="27660"/>
    <cellStyle name="Input 3 2 4 2 4 5" xfId="27661"/>
    <cellStyle name="Input 3 2 4 2 4 6" xfId="27662"/>
    <cellStyle name="Input 3 2 4 2 4 7" xfId="27663"/>
    <cellStyle name="Input 3 2 4 2 5" xfId="27664"/>
    <cellStyle name="Input 3 2 4 2 5 2" xfId="27665"/>
    <cellStyle name="Input 3 2 4 2 5 2 2" xfId="27666"/>
    <cellStyle name="Input 3 2 4 2 5 3" xfId="27667"/>
    <cellStyle name="Input 3 2 4 2 5 3 2" xfId="27668"/>
    <cellStyle name="Input 3 2 4 2 5 4" xfId="27669"/>
    <cellStyle name="Input 3 2 4 2 5 5" xfId="27670"/>
    <cellStyle name="Input 3 2 4 2 5 6" xfId="27671"/>
    <cellStyle name="Input 3 2 4 2 6" xfId="27672"/>
    <cellStyle name="Input 3 2 4 2 6 2" xfId="27673"/>
    <cellStyle name="Input 3 2 4 2 7" xfId="27674"/>
    <cellStyle name="Input 3 2 4 2 7 2" xfId="27675"/>
    <cellStyle name="Input 3 2 4 2 8" xfId="27676"/>
    <cellStyle name="Input 3 2 4 2 9" xfId="27677"/>
    <cellStyle name="Input 3 2 4 3" xfId="27678"/>
    <cellStyle name="Input 3 2 4 3 10" xfId="27679"/>
    <cellStyle name="Input 3 2 4 3 2" xfId="27680"/>
    <cellStyle name="Input 3 2 4 3 2 2" xfId="27681"/>
    <cellStyle name="Input 3 2 4 3 2 2 2" xfId="27682"/>
    <cellStyle name="Input 3 2 4 3 2 2 2 2" xfId="27683"/>
    <cellStyle name="Input 3 2 4 3 2 2 2 2 2" xfId="27684"/>
    <cellStyle name="Input 3 2 4 3 2 2 2 3" xfId="27685"/>
    <cellStyle name="Input 3 2 4 3 2 2 2 3 2" xfId="27686"/>
    <cellStyle name="Input 3 2 4 3 2 2 2 4" xfId="27687"/>
    <cellStyle name="Input 3 2 4 3 2 2 2 5" xfId="27688"/>
    <cellStyle name="Input 3 2 4 3 2 2 2 6" xfId="27689"/>
    <cellStyle name="Input 3 2 4 3 2 2 3" xfId="27690"/>
    <cellStyle name="Input 3 2 4 3 2 2 3 2" xfId="27691"/>
    <cellStyle name="Input 3 2 4 3 2 2 4" xfId="27692"/>
    <cellStyle name="Input 3 2 4 3 2 2 4 2" xfId="27693"/>
    <cellStyle name="Input 3 2 4 3 2 2 5" xfId="27694"/>
    <cellStyle name="Input 3 2 4 3 2 2 6" xfId="27695"/>
    <cellStyle name="Input 3 2 4 3 2 2 7" xfId="27696"/>
    <cellStyle name="Input 3 2 4 3 2 3" xfId="27697"/>
    <cellStyle name="Input 3 2 4 3 2 3 2" xfId="27698"/>
    <cellStyle name="Input 3 2 4 3 2 3 2 2" xfId="27699"/>
    <cellStyle name="Input 3 2 4 3 2 3 3" xfId="27700"/>
    <cellStyle name="Input 3 2 4 3 2 3 3 2" xfId="27701"/>
    <cellStyle name="Input 3 2 4 3 2 3 4" xfId="27702"/>
    <cellStyle name="Input 3 2 4 3 2 3 5" xfId="27703"/>
    <cellStyle name="Input 3 2 4 3 2 3 6" xfId="27704"/>
    <cellStyle name="Input 3 2 4 3 2 4" xfId="27705"/>
    <cellStyle name="Input 3 2 4 3 2 4 2" xfId="27706"/>
    <cellStyle name="Input 3 2 4 3 2 5" xfId="27707"/>
    <cellStyle name="Input 3 2 4 3 2 5 2" xfId="27708"/>
    <cellStyle name="Input 3 2 4 3 2 6" xfId="27709"/>
    <cellStyle name="Input 3 2 4 3 2 7" xfId="27710"/>
    <cellStyle name="Input 3 2 4 3 2 8" xfId="27711"/>
    <cellStyle name="Input 3 2 4 3 3" xfId="27712"/>
    <cellStyle name="Input 3 2 4 3 3 2" xfId="27713"/>
    <cellStyle name="Input 3 2 4 3 3 2 2" xfId="27714"/>
    <cellStyle name="Input 3 2 4 3 3 2 2 2" xfId="27715"/>
    <cellStyle name="Input 3 2 4 3 3 2 2 2 2" xfId="27716"/>
    <cellStyle name="Input 3 2 4 3 3 2 2 3" xfId="27717"/>
    <cellStyle name="Input 3 2 4 3 3 2 2 3 2" xfId="27718"/>
    <cellStyle name="Input 3 2 4 3 3 2 2 4" xfId="27719"/>
    <cellStyle name="Input 3 2 4 3 3 2 2 5" xfId="27720"/>
    <cellStyle name="Input 3 2 4 3 3 2 2 6" xfId="27721"/>
    <cellStyle name="Input 3 2 4 3 3 2 3" xfId="27722"/>
    <cellStyle name="Input 3 2 4 3 3 2 3 2" xfId="27723"/>
    <cellStyle name="Input 3 2 4 3 3 2 4" xfId="27724"/>
    <cellStyle name="Input 3 2 4 3 3 2 4 2" xfId="27725"/>
    <cellStyle name="Input 3 2 4 3 3 2 5" xfId="27726"/>
    <cellStyle name="Input 3 2 4 3 3 2 6" xfId="27727"/>
    <cellStyle name="Input 3 2 4 3 3 2 7" xfId="27728"/>
    <cellStyle name="Input 3 2 4 3 3 3" xfId="27729"/>
    <cellStyle name="Input 3 2 4 3 3 3 2" xfId="27730"/>
    <cellStyle name="Input 3 2 4 3 3 3 2 2" xfId="27731"/>
    <cellStyle name="Input 3 2 4 3 3 3 3" xfId="27732"/>
    <cellStyle name="Input 3 2 4 3 3 3 3 2" xfId="27733"/>
    <cellStyle name="Input 3 2 4 3 3 3 4" xfId="27734"/>
    <cellStyle name="Input 3 2 4 3 3 3 5" xfId="27735"/>
    <cellStyle name="Input 3 2 4 3 3 3 6" xfId="27736"/>
    <cellStyle name="Input 3 2 4 3 3 4" xfId="27737"/>
    <cellStyle name="Input 3 2 4 3 3 4 2" xfId="27738"/>
    <cellStyle name="Input 3 2 4 3 3 5" xfId="27739"/>
    <cellStyle name="Input 3 2 4 3 3 5 2" xfId="27740"/>
    <cellStyle name="Input 3 2 4 3 3 6" xfId="27741"/>
    <cellStyle name="Input 3 2 4 3 3 7" xfId="27742"/>
    <cellStyle name="Input 3 2 4 3 3 8" xfId="27743"/>
    <cellStyle name="Input 3 2 4 3 4" xfId="27744"/>
    <cellStyle name="Input 3 2 4 3 4 2" xfId="27745"/>
    <cellStyle name="Input 3 2 4 3 4 2 2" xfId="27746"/>
    <cellStyle name="Input 3 2 4 3 4 2 2 2" xfId="27747"/>
    <cellStyle name="Input 3 2 4 3 4 2 3" xfId="27748"/>
    <cellStyle name="Input 3 2 4 3 4 2 3 2" xfId="27749"/>
    <cellStyle name="Input 3 2 4 3 4 2 4" xfId="27750"/>
    <cellStyle name="Input 3 2 4 3 4 2 5" xfId="27751"/>
    <cellStyle name="Input 3 2 4 3 4 2 6" xfId="27752"/>
    <cellStyle name="Input 3 2 4 3 4 3" xfId="27753"/>
    <cellStyle name="Input 3 2 4 3 4 3 2" xfId="27754"/>
    <cellStyle name="Input 3 2 4 3 4 4" xfId="27755"/>
    <cellStyle name="Input 3 2 4 3 4 4 2" xfId="27756"/>
    <cellStyle name="Input 3 2 4 3 4 5" xfId="27757"/>
    <cellStyle name="Input 3 2 4 3 4 6" xfId="27758"/>
    <cellStyle name="Input 3 2 4 3 4 7" xfId="27759"/>
    <cellStyle name="Input 3 2 4 3 5" xfId="27760"/>
    <cellStyle name="Input 3 2 4 3 5 2" xfId="27761"/>
    <cellStyle name="Input 3 2 4 3 5 2 2" xfId="27762"/>
    <cellStyle name="Input 3 2 4 3 5 3" xfId="27763"/>
    <cellStyle name="Input 3 2 4 3 5 3 2" xfId="27764"/>
    <cellStyle name="Input 3 2 4 3 5 4" xfId="27765"/>
    <cellStyle name="Input 3 2 4 3 5 5" xfId="27766"/>
    <cellStyle name="Input 3 2 4 3 5 6" xfId="27767"/>
    <cellStyle name="Input 3 2 4 3 6" xfId="27768"/>
    <cellStyle name="Input 3 2 4 3 6 2" xfId="27769"/>
    <cellStyle name="Input 3 2 4 3 7" xfId="27770"/>
    <cellStyle name="Input 3 2 4 3 7 2" xfId="27771"/>
    <cellStyle name="Input 3 2 4 3 8" xfId="27772"/>
    <cellStyle name="Input 3 2 4 3 9" xfId="27773"/>
    <cellStyle name="Input 3 2 4 4" xfId="27774"/>
    <cellStyle name="Input 3 2 4 4 2" xfId="27775"/>
    <cellStyle name="Input 3 2 4 4 2 2" xfId="27776"/>
    <cellStyle name="Input 3 2 4 4 2 2 2" xfId="27777"/>
    <cellStyle name="Input 3 2 4 4 2 2 2 2" xfId="27778"/>
    <cellStyle name="Input 3 2 4 4 2 2 3" xfId="27779"/>
    <cellStyle name="Input 3 2 4 4 2 2 3 2" xfId="27780"/>
    <cellStyle name="Input 3 2 4 4 2 2 4" xfId="27781"/>
    <cellStyle name="Input 3 2 4 4 2 2 5" xfId="27782"/>
    <cellStyle name="Input 3 2 4 4 2 2 6" xfId="27783"/>
    <cellStyle name="Input 3 2 4 4 2 3" xfId="27784"/>
    <cellStyle name="Input 3 2 4 4 2 3 2" xfId="27785"/>
    <cellStyle name="Input 3 2 4 4 2 4" xfId="27786"/>
    <cellStyle name="Input 3 2 4 4 2 4 2" xfId="27787"/>
    <cellStyle name="Input 3 2 4 4 2 5" xfId="27788"/>
    <cellStyle name="Input 3 2 4 4 2 6" xfId="27789"/>
    <cellStyle name="Input 3 2 4 4 2 7" xfId="27790"/>
    <cellStyle name="Input 3 2 4 4 3" xfId="27791"/>
    <cellStyle name="Input 3 2 4 4 3 2" xfId="27792"/>
    <cellStyle name="Input 3 2 4 4 3 2 2" xfId="27793"/>
    <cellStyle name="Input 3 2 4 4 3 3" xfId="27794"/>
    <cellStyle name="Input 3 2 4 4 3 3 2" xfId="27795"/>
    <cellStyle name="Input 3 2 4 4 3 4" xfId="27796"/>
    <cellStyle name="Input 3 2 4 4 3 5" xfId="27797"/>
    <cellStyle name="Input 3 2 4 4 3 6" xfId="27798"/>
    <cellStyle name="Input 3 2 4 4 4" xfId="27799"/>
    <cellStyle name="Input 3 2 4 4 4 2" xfId="27800"/>
    <cellStyle name="Input 3 2 4 4 5" xfId="27801"/>
    <cellStyle name="Input 3 2 4 4 5 2" xfId="27802"/>
    <cellStyle name="Input 3 2 4 4 6" xfId="27803"/>
    <cellStyle name="Input 3 2 4 4 7" xfId="27804"/>
    <cellStyle name="Input 3 2 4 4 8" xfId="27805"/>
    <cellStyle name="Input 3 2 4 5" xfId="27806"/>
    <cellStyle name="Input 3 2 4 5 2" xfId="27807"/>
    <cellStyle name="Input 3 2 4 5 2 2" xfId="27808"/>
    <cellStyle name="Input 3 2 4 5 2 2 2" xfId="27809"/>
    <cellStyle name="Input 3 2 4 5 2 3" xfId="27810"/>
    <cellStyle name="Input 3 2 4 5 2 3 2" xfId="27811"/>
    <cellStyle name="Input 3 2 4 5 2 4" xfId="27812"/>
    <cellStyle name="Input 3 2 4 5 2 5" xfId="27813"/>
    <cellStyle name="Input 3 2 4 5 2 6" xfId="27814"/>
    <cellStyle name="Input 3 2 4 5 3" xfId="27815"/>
    <cellStyle name="Input 3 2 4 5 3 2" xfId="27816"/>
    <cellStyle name="Input 3 2 4 5 4" xfId="27817"/>
    <cellStyle name="Input 3 2 4 5 4 2" xfId="27818"/>
    <cellStyle name="Input 3 2 4 5 5" xfId="27819"/>
    <cellStyle name="Input 3 2 4 5 6" xfId="27820"/>
    <cellStyle name="Input 3 2 4 5 7" xfId="27821"/>
    <cellStyle name="Input 3 2 4 6" xfId="27822"/>
    <cellStyle name="Input 3 2 4 6 2" xfId="27823"/>
    <cellStyle name="Input 3 2 4 6 2 2" xfId="27824"/>
    <cellStyle name="Input 3 2 4 6 3" xfId="27825"/>
    <cellStyle name="Input 3 2 4 6 3 2" xfId="27826"/>
    <cellStyle name="Input 3 2 4 6 4" xfId="27827"/>
    <cellStyle name="Input 3 2 4 6 5" xfId="27828"/>
    <cellStyle name="Input 3 2 4 6 6" xfId="27829"/>
    <cellStyle name="Input 3 2 4 7" xfId="27830"/>
    <cellStyle name="Input 3 2 4 7 2" xfId="27831"/>
    <cellStyle name="Input 3 2 4 8" xfId="27832"/>
    <cellStyle name="Input 3 2 4 8 2" xfId="27833"/>
    <cellStyle name="Input 3 2 4 9" xfId="27834"/>
    <cellStyle name="Input 3 2 5" xfId="27835"/>
    <cellStyle name="Input 3 2 5 10" xfId="27836"/>
    <cellStyle name="Input 3 2 5 2" xfId="27837"/>
    <cellStyle name="Input 3 2 5 2 2" xfId="27838"/>
    <cellStyle name="Input 3 2 5 2 2 2" xfId="27839"/>
    <cellStyle name="Input 3 2 5 2 2 2 2" xfId="27840"/>
    <cellStyle name="Input 3 2 5 2 2 2 2 2" xfId="27841"/>
    <cellStyle name="Input 3 2 5 2 2 2 3" xfId="27842"/>
    <cellStyle name="Input 3 2 5 2 2 2 3 2" xfId="27843"/>
    <cellStyle name="Input 3 2 5 2 2 2 4" xfId="27844"/>
    <cellStyle name="Input 3 2 5 2 2 2 5" xfId="27845"/>
    <cellStyle name="Input 3 2 5 2 2 2 6" xfId="27846"/>
    <cellStyle name="Input 3 2 5 2 2 3" xfId="27847"/>
    <cellStyle name="Input 3 2 5 2 2 3 2" xfId="27848"/>
    <cellStyle name="Input 3 2 5 2 2 4" xfId="27849"/>
    <cellStyle name="Input 3 2 5 2 2 4 2" xfId="27850"/>
    <cellStyle name="Input 3 2 5 2 2 5" xfId="27851"/>
    <cellStyle name="Input 3 2 5 2 2 6" xfId="27852"/>
    <cellStyle name="Input 3 2 5 2 2 7" xfId="27853"/>
    <cellStyle name="Input 3 2 5 2 3" xfId="27854"/>
    <cellStyle name="Input 3 2 5 2 3 2" xfId="27855"/>
    <cellStyle name="Input 3 2 5 2 3 2 2" xfId="27856"/>
    <cellStyle name="Input 3 2 5 2 3 3" xfId="27857"/>
    <cellStyle name="Input 3 2 5 2 3 3 2" xfId="27858"/>
    <cellStyle name="Input 3 2 5 2 3 4" xfId="27859"/>
    <cellStyle name="Input 3 2 5 2 3 5" xfId="27860"/>
    <cellStyle name="Input 3 2 5 2 3 6" xfId="27861"/>
    <cellStyle name="Input 3 2 5 2 4" xfId="27862"/>
    <cellStyle name="Input 3 2 5 2 4 2" xfId="27863"/>
    <cellStyle name="Input 3 2 5 2 5" xfId="27864"/>
    <cellStyle name="Input 3 2 5 2 5 2" xfId="27865"/>
    <cellStyle name="Input 3 2 5 2 6" xfId="27866"/>
    <cellStyle name="Input 3 2 5 2 7" xfId="27867"/>
    <cellStyle name="Input 3 2 5 2 8" xfId="27868"/>
    <cellStyle name="Input 3 2 5 3" xfId="27869"/>
    <cellStyle name="Input 3 2 5 3 2" xfId="27870"/>
    <cellStyle name="Input 3 2 5 3 2 2" xfId="27871"/>
    <cellStyle name="Input 3 2 5 3 2 2 2" xfId="27872"/>
    <cellStyle name="Input 3 2 5 3 2 2 2 2" xfId="27873"/>
    <cellStyle name="Input 3 2 5 3 2 2 3" xfId="27874"/>
    <cellStyle name="Input 3 2 5 3 2 2 3 2" xfId="27875"/>
    <cellStyle name="Input 3 2 5 3 2 2 4" xfId="27876"/>
    <cellStyle name="Input 3 2 5 3 2 2 5" xfId="27877"/>
    <cellStyle name="Input 3 2 5 3 2 2 6" xfId="27878"/>
    <cellStyle name="Input 3 2 5 3 2 3" xfId="27879"/>
    <cellStyle name="Input 3 2 5 3 2 3 2" xfId="27880"/>
    <cellStyle name="Input 3 2 5 3 2 4" xfId="27881"/>
    <cellStyle name="Input 3 2 5 3 2 4 2" xfId="27882"/>
    <cellStyle name="Input 3 2 5 3 2 5" xfId="27883"/>
    <cellStyle name="Input 3 2 5 3 2 6" xfId="27884"/>
    <cellStyle name="Input 3 2 5 3 2 7" xfId="27885"/>
    <cellStyle name="Input 3 2 5 3 3" xfId="27886"/>
    <cellStyle name="Input 3 2 5 3 3 2" xfId="27887"/>
    <cellStyle name="Input 3 2 5 3 3 2 2" xfId="27888"/>
    <cellStyle name="Input 3 2 5 3 3 3" xfId="27889"/>
    <cellStyle name="Input 3 2 5 3 3 3 2" xfId="27890"/>
    <cellStyle name="Input 3 2 5 3 3 4" xfId="27891"/>
    <cellStyle name="Input 3 2 5 3 3 5" xfId="27892"/>
    <cellStyle name="Input 3 2 5 3 3 6" xfId="27893"/>
    <cellStyle name="Input 3 2 5 3 4" xfId="27894"/>
    <cellStyle name="Input 3 2 5 3 4 2" xfId="27895"/>
    <cellStyle name="Input 3 2 5 3 5" xfId="27896"/>
    <cellStyle name="Input 3 2 5 3 5 2" xfId="27897"/>
    <cellStyle name="Input 3 2 5 3 6" xfId="27898"/>
    <cellStyle name="Input 3 2 5 3 7" xfId="27899"/>
    <cellStyle name="Input 3 2 5 3 8" xfId="27900"/>
    <cellStyle name="Input 3 2 5 4" xfId="27901"/>
    <cellStyle name="Input 3 2 5 4 2" xfId="27902"/>
    <cellStyle name="Input 3 2 5 4 2 2" xfId="27903"/>
    <cellStyle name="Input 3 2 5 4 2 2 2" xfId="27904"/>
    <cellStyle name="Input 3 2 5 4 2 3" xfId="27905"/>
    <cellStyle name="Input 3 2 5 4 2 3 2" xfId="27906"/>
    <cellStyle name="Input 3 2 5 4 2 4" xfId="27907"/>
    <cellStyle name="Input 3 2 5 4 2 5" xfId="27908"/>
    <cellStyle name="Input 3 2 5 4 2 6" xfId="27909"/>
    <cellStyle name="Input 3 2 5 4 3" xfId="27910"/>
    <cellStyle name="Input 3 2 5 4 3 2" xfId="27911"/>
    <cellStyle name="Input 3 2 5 4 4" xfId="27912"/>
    <cellStyle name="Input 3 2 5 4 4 2" xfId="27913"/>
    <cellStyle name="Input 3 2 5 4 5" xfId="27914"/>
    <cellStyle name="Input 3 2 5 4 6" xfId="27915"/>
    <cellStyle name="Input 3 2 5 4 7" xfId="27916"/>
    <cellStyle name="Input 3 2 5 5" xfId="27917"/>
    <cellStyle name="Input 3 2 5 5 2" xfId="27918"/>
    <cellStyle name="Input 3 2 5 5 2 2" xfId="27919"/>
    <cellStyle name="Input 3 2 5 5 3" xfId="27920"/>
    <cellStyle name="Input 3 2 5 5 3 2" xfId="27921"/>
    <cellStyle name="Input 3 2 5 5 4" xfId="27922"/>
    <cellStyle name="Input 3 2 5 5 5" xfId="27923"/>
    <cellStyle name="Input 3 2 5 5 6" xfId="27924"/>
    <cellStyle name="Input 3 2 5 6" xfId="27925"/>
    <cellStyle name="Input 3 2 5 6 2" xfId="27926"/>
    <cellStyle name="Input 3 2 5 7" xfId="27927"/>
    <cellStyle name="Input 3 2 5 7 2" xfId="27928"/>
    <cellStyle name="Input 3 2 5 8" xfId="27929"/>
    <cellStyle name="Input 3 2 5 9" xfId="27930"/>
    <cellStyle name="Input 3 2 6" xfId="27931"/>
    <cellStyle name="Input 3 2 6 2" xfId="27932"/>
    <cellStyle name="Input 3 2 6 2 2" xfId="27933"/>
    <cellStyle name="Input 3 2 6 2 2 2" xfId="27934"/>
    <cellStyle name="Input 3 2 6 2 2 2 2" xfId="27935"/>
    <cellStyle name="Input 3 2 6 2 2 3" xfId="27936"/>
    <cellStyle name="Input 3 2 6 2 2 3 2" xfId="27937"/>
    <cellStyle name="Input 3 2 6 2 2 4" xfId="27938"/>
    <cellStyle name="Input 3 2 6 2 2 5" xfId="27939"/>
    <cellStyle name="Input 3 2 6 2 2 6" xfId="27940"/>
    <cellStyle name="Input 3 2 6 2 3" xfId="27941"/>
    <cellStyle name="Input 3 2 6 2 3 2" xfId="27942"/>
    <cellStyle name="Input 3 2 6 2 4" xfId="27943"/>
    <cellStyle name="Input 3 2 6 2 4 2" xfId="27944"/>
    <cellStyle name="Input 3 2 6 2 5" xfId="27945"/>
    <cellStyle name="Input 3 2 6 2 6" xfId="27946"/>
    <cellStyle name="Input 3 2 6 2 7" xfId="27947"/>
    <cellStyle name="Input 3 2 6 3" xfId="27948"/>
    <cellStyle name="Input 3 2 6 3 2" xfId="27949"/>
    <cellStyle name="Input 3 2 6 3 2 2" xfId="27950"/>
    <cellStyle name="Input 3 2 6 3 3" xfId="27951"/>
    <cellStyle name="Input 3 2 6 3 3 2" xfId="27952"/>
    <cellStyle name="Input 3 2 6 3 4" xfId="27953"/>
    <cellStyle name="Input 3 2 6 3 5" xfId="27954"/>
    <cellStyle name="Input 3 2 6 3 6" xfId="27955"/>
    <cellStyle name="Input 3 2 6 4" xfId="27956"/>
    <cellStyle name="Input 3 2 6 4 2" xfId="27957"/>
    <cellStyle name="Input 3 2 6 5" xfId="27958"/>
    <cellStyle name="Input 3 2 6 5 2" xfId="27959"/>
    <cellStyle name="Input 3 2 6 6" xfId="27960"/>
    <cellStyle name="Input 3 2 6 7" xfId="27961"/>
    <cellStyle name="Input 3 2 6 8" xfId="27962"/>
    <cellStyle name="Input 3 2 7" xfId="27963"/>
    <cellStyle name="Input 3 2 7 2" xfId="27964"/>
    <cellStyle name="Input 3 2 7 2 2" xfId="27965"/>
    <cellStyle name="Input 3 2 7 2 2 2" xfId="27966"/>
    <cellStyle name="Input 3 2 7 2 3" xfId="27967"/>
    <cellStyle name="Input 3 2 7 2 3 2" xfId="27968"/>
    <cellStyle name="Input 3 2 7 2 4" xfId="27969"/>
    <cellStyle name="Input 3 2 7 2 5" xfId="27970"/>
    <cellStyle name="Input 3 2 7 2 6" xfId="27971"/>
    <cellStyle name="Input 3 2 7 3" xfId="27972"/>
    <cellStyle name="Input 3 2 7 3 2" xfId="27973"/>
    <cellStyle name="Input 3 2 7 4" xfId="27974"/>
    <cellStyle name="Input 3 2 7 4 2" xfId="27975"/>
    <cellStyle name="Input 3 2 7 5" xfId="27976"/>
    <cellStyle name="Input 3 2 7 6" xfId="27977"/>
    <cellStyle name="Input 3 2 7 7" xfId="27978"/>
    <cellStyle name="Input 3 2 8" xfId="27979"/>
    <cellStyle name="Input 3 2 8 2" xfId="27980"/>
    <cellStyle name="Input 3 2 9" xfId="27981"/>
    <cellStyle name="Input 3 2 9 2" xfId="27982"/>
    <cellStyle name="Input 3 3" xfId="27983"/>
    <cellStyle name="Input 3 3 10" xfId="27984"/>
    <cellStyle name="Input 3 3 11" xfId="27985"/>
    <cellStyle name="Input 3 3 12" xfId="27986"/>
    <cellStyle name="Input 3 3 2" xfId="27987"/>
    <cellStyle name="Input 3 3 2 10" xfId="27988"/>
    <cellStyle name="Input 3 3 2 11" xfId="27989"/>
    <cellStyle name="Input 3 3 2 2" xfId="27990"/>
    <cellStyle name="Input 3 3 2 2 10" xfId="27991"/>
    <cellStyle name="Input 3 3 2 2 2" xfId="27992"/>
    <cellStyle name="Input 3 3 2 2 2 2" xfId="27993"/>
    <cellStyle name="Input 3 3 2 2 2 2 2" xfId="27994"/>
    <cellStyle name="Input 3 3 2 2 2 2 2 2" xfId="27995"/>
    <cellStyle name="Input 3 3 2 2 2 2 2 2 2" xfId="27996"/>
    <cellStyle name="Input 3 3 2 2 2 2 2 3" xfId="27997"/>
    <cellStyle name="Input 3 3 2 2 2 2 2 3 2" xfId="27998"/>
    <cellStyle name="Input 3 3 2 2 2 2 2 4" xfId="27999"/>
    <cellStyle name="Input 3 3 2 2 2 2 2 5" xfId="28000"/>
    <cellStyle name="Input 3 3 2 2 2 2 2 6" xfId="28001"/>
    <cellStyle name="Input 3 3 2 2 2 2 3" xfId="28002"/>
    <cellStyle name="Input 3 3 2 2 2 2 3 2" xfId="28003"/>
    <cellStyle name="Input 3 3 2 2 2 2 4" xfId="28004"/>
    <cellStyle name="Input 3 3 2 2 2 2 4 2" xfId="28005"/>
    <cellStyle name="Input 3 3 2 2 2 2 5" xfId="28006"/>
    <cellStyle name="Input 3 3 2 2 2 2 6" xfId="28007"/>
    <cellStyle name="Input 3 3 2 2 2 2 7" xfId="28008"/>
    <cellStyle name="Input 3 3 2 2 2 3" xfId="28009"/>
    <cellStyle name="Input 3 3 2 2 2 3 2" xfId="28010"/>
    <cellStyle name="Input 3 3 2 2 2 3 2 2" xfId="28011"/>
    <cellStyle name="Input 3 3 2 2 2 3 3" xfId="28012"/>
    <cellStyle name="Input 3 3 2 2 2 3 3 2" xfId="28013"/>
    <cellStyle name="Input 3 3 2 2 2 3 4" xfId="28014"/>
    <cellStyle name="Input 3 3 2 2 2 3 5" xfId="28015"/>
    <cellStyle name="Input 3 3 2 2 2 3 6" xfId="28016"/>
    <cellStyle name="Input 3 3 2 2 2 4" xfId="28017"/>
    <cellStyle name="Input 3 3 2 2 2 4 2" xfId="28018"/>
    <cellStyle name="Input 3 3 2 2 2 5" xfId="28019"/>
    <cellStyle name="Input 3 3 2 2 2 5 2" xfId="28020"/>
    <cellStyle name="Input 3 3 2 2 2 6" xfId="28021"/>
    <cellStyle name="Input 3 3 2 2 2 7" xfId="28022"/>
    <cellStyle name="Input 3 3 2 2 2 8" xfId="28023"/>
    <cellStyle name="Input 3 3 2 2 3" xfId="28024"/>
    <cellStyle name="Input 3 3 2 2 3 2" xfId="28025"/>
    <cellStyle name="Input 3 3 2 2 3 2 2" xfId="28026"/>
    <cellStyle name="Input 3 3 2 2 3 2 2 2" xfId="28027"/>
    <cellStyle name="Input 3 3 2 2 3 2 2 2 2" xfId="28028"/>
    <cellStyle name="Input 3 3 2 2 3 2 2 3" xfId="28029"/>
    <cellStyle name="Input 3 3 2 2 3 2 2 3 2" xfId="28030"/>
    <cellStyle name="Input 3 3 2 2 3 2 2 4" xfId="28031"/>
    <cellStyle name="Input 3 3 2 2 3 2 2 5" xfId="28032"/>
    <cellStyle name="Input 3 3 2 2 3 2 2 6" xfId="28033"/>
    <cellStyle name="Input 3 3 2 2 3 2 3" xfId="28034"/>
    <cellStyle name="Input 3 3 2 2 3 2 3 2" xfId="28035"/>
    <cellStyle name="Input 3 3 2 2 3 2 4" xfId="28036"/>
    <cellStyle name="Input 3 3 2 2 3 2 4 2" xfId="28037"/>
    <cellStyle name="Input 3 3 2 2 3 2 5" xfId="28038"/>
    <cellStyle name="Input 3 3 2 2 3 2 6" xfId="28039"/>
    <cellStyle name="Input 3 3 2 2 3 2 7" xfId="28040"/>
    <cellStyle name="Input 3 3 2 2 3 3" xfId="28041"/>
    <cellStyle name="Input 3 3 2 2 3 3 2" xfId="28042"/>
    <cellStyle name="Input 3 3 2 2 3 3 2 2" xfId="28043"/>
    <cellStyle name="Input 3 3 2 2 3 3 3" xfId="28044"/>
    <cellStyle name="Input 3 3 2 2 3 3 3 2" xfId="28045"/>
    <cellStyle name="Input 3 3 2 2 3 3 4" xfId="28046"/>
    <cellStyle name="Input 3 3 2 2 3 3 5" xfId="28047"/>
    <cellStyle name="Input 3 3 2 2 3 3 6" xfId="28048"/>
    <cellStyle name="Input 3 3 2 2 3 4" xfId="28049"/>
    <cellStyle name="Input 3 3 2 2 3 4 2" xfId="28050"/>
    <cellStyle name="Input 3 3 2 2 3 5" xfId="28051"/>
    <cellStyle name="Input 3 3 2 2 3 5 2" xfId="28052"/>
    <cellStyle name="Input 3 3 2 2 3 6" xfId="28053"/>
    <cellStyle name="Input 3 3 2 2 3 7" xfId="28054"/>
    <cellStyle name="Input 3 3 2 2 3 8" xfId="28055"/>
    <cellStyle name="Input 3 3 2 2 4" xfId="28056"/>
    <cellStyle name="Input 3 3 2 2 4 2" xfId="28057"/>
    <cellStyle name="Input 3 3 2 2 4 2 2" xfId="28058"/>
    <cellStyle name="Input 3 3 2 2 4 2 2 2" xfId="28059"/>
    <cellStyle name="Input 3 3 2 2 4 2 3" xfId="28060"/>
    <cellStyle name="Input 3 3 2 2 4 2 3 2" xfId="28061"/>
    <cellStyle name="Input 3 3 2 2 4 2 4" xfId="28062"/>
    <cellStyle name="Input 3 3 2 2 4 2 5" xfId="28063"/>
    <cellStyle name="Input 3 3 2 2 4 2 6" xfId="28064"/>
    <cellStyle name="Input 3 3 2 2 4 3" xfId="28065"/>
    <cellStyle name="Input 3 3 2 2 4 3 2" xfId="28066"/>
    <cellStyle name="Input 3 3 2 2 4 4" xfId="28067"/>
    <cellStyle name="Input 3 3 2 2 4 4 2" xfId="28068"/>
    <cellStyle name="Input 3 3 2 2 4 5" xfId="28069"/>
    <cellStyle name="Input 3 3 2 2 4 6" xfId="28070"/>
    <cellStyle name="Input 3 3 2 2 4 7" xfId="28071"/>
    <cellStyle name="Input 3 3 2 2 5" xfId="28072"/>
    <cellStyle name="Input 3 3 2 2 5 2" xfId="28073"/>
    <cellStyle name="Input 3 3 2 2 5 2 2" xfId="28074"/>
    <cellStyle name="Input 3 3 2 2 5 3" xfId="28075"/>
    <cellStyle name="Input 3 3 2 2 5 3 2" xfId="28076"/>
    <cellStyle name="Input 3 3 2 2 5 4" xfId="28077"/>
    <cellStyle name="Input 3 3 2 2 5 5" xfId="28078"/>
    <cellStyle name="Input 3 3 2 2 5 6" xfId="28079"/>
    <cellStyle name="Input 3 3 2 2 6" xfId="28080"/>
    <cellStyle name="Input 3 3 2 2 6 2" xfId="28081"/>
    <cellStyle name="Input 3 3 2 2 7" xfId="28082"/>
    <cellStyle name="Input 3 3 2 2 7 2" xfId="28083"/>
    <cellStyle name="Input 3 3 2 2 8" xfId="28084"/>
    <cellStyle name="Input 3 3 2 2 9" xfId="28085"/>
    <cellStyle name="Input 3 3 2 3" xfId="28086"/>
    <cellStyle name="Input 3 3 2 3 2" xfId="28087"/>
    <cellStyle name="Input 3 3 2 3 2 2" xfId="28088"/>
    <cellStyle name="Input 3 3 2 3 2 2 2" xfId="28089"/>
    <cellStyle name="Input 3 3 2 3 2 2 2 2" xfId="28090"/>
    <cellStyle name="Input 3 3 2 3 2 2 3" xfId="28091"/>
    <cellStyle name="Input 3 3 2 3 2 2 3 2" xfId="28092"/>
    <cellStyle name="Input 3 3 2 3 2 2 4" xfId="28093"/>
    <cellStyle name="Input 3 3 2 3 2 2 5" xfId="28094"/>
    <cellStyle name="Input 3 3 2 3 2 2 6" xfId="28095"/>
    <cellStyle name="Input 3 3 2 3 2 3" xfId="28096"/>
    <cellStyle name="Input 3 3 2 3 2 3 2" xfId="28097"/>
    <cellStyle name="Input 3 3 2 3 2 4" xfId="28098"/>
    <cellStyle name="Input 3 3 2 3 2 4 2" xfId="28099"/>
    <cellStyle name="Input 3 3 2 3 2 5" xfId="28100"/>
    <cellStyle name="Input 3 3 2 3 2 6" xfId="28101"/>
    <cellStyle name="Input 3 3 2 3 2 7" xfId="28102"/>
    <cellStyle name="Input 3 3 2 3 3" xfId="28103"/>
    <cellStyle name="Input 3 3 2 3 3 2" xfId="28104"/>
    <cellStyle name="Input 3 3 2 3 3 2 2" xfId="28105"/>
    <cellStyle name="Input 3 3 2 3 3 3" xfId="28106"/>
    <cellStyle name="Input 3 3 2 3 3 3 2" xfId="28107"/>
    <cellStyle name="Input 3 3 2 3 3 4" xfId="28108"/>
    <cellStyle name="Input 3 3 2 3 3 5" xfId="28109"/>
    <cellStyle name="Input 3 3 2 3 3 6" xfId="28110"/>
    <cellStyle name="Input 3 3 2 3 4" xfId="28111"/>
    <cellStyle name="Input 3 3 2 3 4 2" xfId="28112"/>
    <cellStyle name="Input 3 3 2 3 5" xfId="28113"/>
    <cellStyle name="Input 3 3 2 3 5 2" xfId="28114"/>
    <cellStyle name="Input 3 3 2 3 6" xfId="28115"/>
    <cellStyle name="Input 3 3 2 3 7" xfId="28116"/>
    <cellStyle name="Input 3 3 2 3 8" xfId="28117"/>
    <cellStyle name="Input 3 3 2 4" xfId="28118"/>
    <cellStyle name="Input 3 3 2 4 2" xfId="28119"/>
    <cellStyle name="Input 3 3 2 4 2 2" xfId="28120"/>
    <cellStyle name="Input 3 3 2 4 2 2 2" xfId="28121"/>
    <cellStyle name="Input 3 3 2 4 2 2 2 2" xfId="28122"/>
    <cellStyle name="Input 3 3 2 4 2 2 3" xfId="28123"/>
    <cellStyle name="Input 3 3 2 4 2 2 3 2" xfId="28124"/>
    <cellStyle name="Input 3 3 2 4 2 2 4" xfId="28125"/>
    <cellStyle name="Input 3 3 2 4 2 2 5" xfId="28126"/>
    <cellStyle name="Input 3 3 2 4 2 2 6" xfId="28127"/>
    <cellStyle name="Input 3 3 2 4 2 3" xfId="28128"/>
    <cellStyle name="Input 3 3 2 4 2 3 2" xfId="28129"/>
    <cellStyle name="Input 3 3 2 4 2 4" xfId="28130"/>
    <cellStyle name="Input 3 3 2 4 2 4 2" xfId="28131"/>
    <cellStyle name="Input 3 3 2 4 2 5" xfId="28132"/>
    <cellStyle name="Input 3 3 2 4 2 6" xfId="28133"/>
    <cellStyle name="Input 3 3 2 4 2 7" xfId="28134"/>
    <cellStyle name="Input 3 3 2 4 3" xfId="28135"/>
    <cellStyle name="Input 3 3 2 4 3 2" xfId="28136"/>
    <cellStyle name="Input 3 3 2 4 3 2 2" xfId="28137"/>
    <cellStyle name="Input 3 3 2 4 3 3" xfId="28138"/>
    <cellStyle name="Input 3 3 2 4 3 3 2" xfId="28139"/>
    <cellStyle name="Input 3 3 2 4 3 4" xfId="28140"/>
    <cellStyle name="Input 3 3 2 4 3 5" xfId="28141"/>
    <cellStyle name="Input 3 3 2 4 3 6" xfId="28142"/>
    <cellStyle name="Input 3 3 2 4 4" xfId="28143"/>
    <cellStyle name="Input 3 3 2 4 4 2" xfId="28144"/>
    <cellStyle name="Input 3 3 2 4 5" xfId="28145"/>
    <cellStyle name="Input 3 3 2 4 5 2" xfId="28146"/>
    <cellStyle name="Input 3 3 2 4 6" xfId="28147"/>
    <cellStyle name="Input 3 3 2 4 7" xfId="28148"/>
    <cellStyle name="Input 3 3 2 4 8" xfId="28149"/>
    <cellStyle name="Input 3 3 2 5" xfId="28150"/>
    <cellStyle name="Input 3 3 2 5 2" xfId="28151"/>
    <cellStyle name="Input 3 3 2 5 2 2" xfId="28152"/>
    <cellStyle name="Input 3 3 2 5 2 2 2" xfId="28153"/>
    <cellStyle name="Input 3 3 2 5 2 3" xfId="28154"/>
    <cellStyle name="Input 3 3 2 5 2 3 2" xfId="28155"/>
    <cellStyle name="Input 3 3 2 5 2 4" xfId="28156"/>
    <cellStyle name="Input 3 3 2 5 2 5" xfId="28157"/>
    <cellStyle name="Input 3 3 2 5 2 6" xfId="28158"/>
    <cellStyle name="Input 3 3 2 5 3" xfId="28159"/>
    <cellStyle name="Input 3 3 2 5 3 2" xfId="28160"/>
    <cellStyle name="Input 3 3 2 5 4" xfId="28161"/>
    <cellStyle name="Input 3 3 2 5 4 2" xfId="28162"/>
    <cellStyle name="Input 3 3 2 5 5" xfId="28163"/>
    <cellStyle name="Input 3 3 2 5 6" xfId="28164"/>
    <cellStyle name="Input 3 3 2 5 7" xfId="28165"/>
    <cellStyle name="Input 3 3 2 6" xfId="28166"/>
    <cellStyle name="Input 3 3 2 6 2" xfId="28167"/>
    <cellStyle name="Input 3 3 2 6 2 2" xfId="28168"/>
    <cellStyle name="Input 3 3 2 6 3" xfId="28169"/>
    <cellStyle name="Input 3 3 2 6 3 2" xfId="28170"/>
    <cellStyle name="Input 3 3 2 6 4" xfId="28171"/>
    <cellStyle name="Input 3 3 2 6 5" xfId="28172"/>
    <cellStyle name="Input 3 3 2 6 6" xfId="28173"/>
    <cellStyle name="Input 3 3 2 7" xfId="28174"/>
    <cellStyle name="Input 3 3 2 7 2" xfId="28175"/>
    <cellStyle name="Input 3 3 2 8" xfId="28176"/>
    <cellStyle name="Input 3 3 2 8 2" xfId="28177"/>
    <cellStyle name="Input 3 3 2 9" xfId="28178"/>
    <cellStyle name="Input 3 3 3" xfId="28179"/>
    <cellStyle name="Input 3 3 3 10" xfId="28180"/>
    <cellStyle name="Input 3 3 3 2" xfId="28181"/>
    <cellStyle name="Input 3 3 3 2 10" xfId="28182"/>
    <cellStyle name="Input 3 3 3 2 2" xfId="28183"/>
    <cellStyle name="Input 3 3 3 2 2 2" xfId="28184"/>
    <cellStyle name="Input 3 3 3 2 2 2 2" xfId="28185"/>
    <cellStyle name="Input 3 3 3 2 2 2 2 2" xfId="28186"/>
    <cellStyle name="Input 3 3 3 2 2 2 2 2 2" xfId="28187"/>
    <cellStyle name="Input 3 3 3 2 2 2 2 3" xfId="28188"/>
    <cellStyle name="Input 3 3 3 2 2 2 2 3 2" xfId="28189"/>
    <cellStyle name="Input 3 3 3 2 2 2 2 4" xfId="28190"/>
    <cellStyle name="Input 3 3 3 2 2 2 2 5" xfId="28191"/>
    <cellStyle name="Input 3 3 3 2 2 2 2 6" xfId="28192"/>
    <cellStyle name="Input 3 3 3 2 2 2 3" xfId="28193"/>
    <cellStyle name="Input 3 3 3 2 2 2 3 2" xfId="28194"/>
    <cellStyle name="Input 3 3 3 2 2 2 4" xfId="28195"/>
    <cellStyle name="Input 3 3 3 2 2 2 4 2" xfId="28196"/>
    <cellStyle name="Input 3 3 3 2 2 2 5" xfId="28197"/>
    <cellStyle name="Input 3 3 3 2 2 2 6" xfId="28198"/>
    <cellStyle name="Input 3 3 3 2 2 2 7" xfId="28199"/>
    <cellStyle name="Input 3 3 3 2 2 3" xfId="28200"/>
    <cellStyle name="Input 3 3 3 2 2 3 2" xfId="28201"/>
    <cellStyle name="Input 3 3 3 2 2 3 2 2" xfId="28202"/>
    <cellStyle name="Input 3 3 3 2 2 3 3" xfId="28203"/>
    <cellStyle name="Input 3 3 3 2 2 3 3 2" xfId="28204"/>
    <cellStyle name="Input 3 3 3 2 2 3 4" xfId="28205"/>
    <cellStyle name="Input 3 3 3 2 2 3 5" xfId="28206"/>
    <cellStyle name="Input 3 3 3 2 2 3 6" xfId="28207"/>
    <cellStyle name="Input 3 3 3 2 2 4" xfId="28208"/>
    <cellStyle name="Input 3 3 3 2 2 4 2" xfId="28209"/>
    <cellStyle name="Input 3 3 3 2 2 5" xfId="28210"/>
    <cellStyle name="Input 3 3 3 2 2 5 2" xfId="28211"/>
    <cellStyle name="Input 3 3 3 2 2 6" xfId="28212"/>
    <cellStyle name="Input 3 3 3 2 2 7" xfId="28213"/>
    <cellStyle name="Input 3 3 3 2 2 8" xfId="28214"/>
    <cellStyle name="Input 3 3 3 2 3" xfId="28215"/>
    <cellStyle name="Input 3 3 3 2 3 2" xfId="28216"/>
    <cellStyle name="Input 3 3 3 2 3 2 2" xfId="28217"/>
    <cellStyle name="Input 3 3 3 2 3 2 2 2" xfId="28218"/>
    <cellStyle name="Input 3 3 3 2 3 2 2 2 2" xfId="28219"/>
    <cellStyle name="Input 3 3 3 2 3 2 2 3" xfId="28220"/>
    <cellStyle name="Input 3 3 3 2 3 2 2 3 2" xfId="28221"/>
    <cellStyle name="Input 3 3 3 2 3 2 2 4" xfId="28222"/>
    <cellStyle name="Input 3 3 3 2 3 2 2 5" xfId="28223"/>
    <cellStyle name="Input 3 3 3 2 3 2 2 6" xfId="28224"/>
    <cellStyle name="Input 3 3 3 2 3 2 3" xfId="28225"/>
    <cellStyle name="Input 3 3 3 2 3 2 3 2" xfId="28226"/>
    <cellStyle name="Input 3 3 3 2 3 2 4" xfId="28227"/>
    <cellStyle name="Input 3 3 3 2 3 2 4 2" xfId="28228"/>
    <cellStyle name="Input 3 3 3 2 3 2 5" xfId="28229"/>
    <cellStyle name="Input 3 3 3 2 3 2 6" xfId="28230"/>
    <cellStyle name="Input 3 3 3 2 3 2 7" xfId="28231"/>
    <cellStyle name="Input 3 3 3 2 3 3" xfId="28232"/>
    <cellStyle name="Input 3 3 3 2 3 3 2" xfId="28233"/>
    <cellStyle name="Input 3 3 3 2 3 3 2 2" xfId="28234"/>
    <cellStyle name="Input 3 3 3 2 3 3 3" xfId="28235"/>
    <cellStyle name="Input 3 3 3 2 3 3 3 2" xfId="28236"/>
    <cellStyle name="Input 3 3 3 2 3 3 4" xfId="28237"/>
    <cellStyle name="Input 3 3 3 2 3 3 5" xfId="28238"/>
    <cellStyle name="Input 3 3 3 2 3 3 6" xfId="28239"/>
    <cellStyle name="Input 3 3 3 2 3 4" xfId="28240"/>
    <cellStyle name="Input 3 3 3 2 3 4 2" xfId="28241"/>
    <cellStyle name="Input 3 3 3 2 3 5" xfId="28242"/>
    <cellStyle name="Input 3 3 3 2 3 5 2" xfId="28243"/>
    <cellStyle name="Input 3 3 3 2 3 6" xfId="28244"/>
    <cellStyle name="Input 3 3 3 2 3 7" xfId="28245"/>
    <cellStyle name="Input 3 3 3 2 3 8" xfId="28246"/>
    <cellStyle name="Input 3 3 3 2 4" xfId="28247"/>
    <cellStyle name="Input 3 3 3 2 4 2" xfId="28248"/>
    <cellStyle name="Input 3 3 3 2 4 2 2" xfId="28249"/>
    <cellStyle name="Input 3 3 3 2 4 2 2 2" xfId="28250"/>
    <cellStyle name="Input 3 3 3 2 4 2 3" xfId="28251"/>
    <cellStyle name="Input 3 3 3 2 4 2 3 2" xfId="28252"/>
    <cellStyle name="Input 3 3 3 2 4 2 4" xfId="28253"/>
    <cellStyle name="Input 3 3 3 2 4 2 5" xfId="28254"/>
    <cellStyle name="Input 3 3 3 2 4 2 6" xfId="28255"/>
    <cellStyle name="Input 3 3 3 2 4 3" xfId="28256"/>
    <cellStyle name="Input 3 3 3 2 4 3 2" xfId="28257"/>
    <cellStyle name="Input 3 3 3 2 4 4" xfId="28258"/>
    <cellStyle name="Input 3 3 3 2 4 4 2" xfId="28259"/>
    <cellStyle name="Input 3 3 3 2 4 5" xfId="28260"/>
    <cellStyle name="Input 3 3 3 2 4 6" xfId="28261"/>
    <cellStyle name="Input 3 3 3 2 4 7" xfId="28262"/>
    <cellStyle name="Input 3 3 3 2 5" xfId="28263"/>
    <cellStyle name="Input 3 3 3 2 5 2" xfId="28264"/>
    <cellStyle name="Input 3 3 3 2 5 2 2" xfId="28265"/>
    <cellStyle name="Input 3 3 3 2 5 3" xfId="28266"/>
    <cellStyle name="Input 3 3 3 2 5 3 2" xfId="28267"/>
    <cellStyle name="Input 3 3 3 2 5 4" xfId="28268"/>
    <cellStyle name="Input 3 3 3 2 5 5" xfId="28269"/>
    <cellStyle name="Input 3 3 3 2 5 6" xfId="28270"/>
    <cellStyle name="Input 3 3 3 2 6" xfId="28271"/>
    <cellStyle name="Input 3 3 3 2 6 2" xfId="28272"/>
    <cellStyle name="Input 3 3 3 2 7" xfId="28273"/>
    <cellStyle name="Input 3 3 3 2 7 2" xfId="28274"/>
    <cellStyle name="Input 3 3 3 2 8" xfId="28275"/>
    <cellStyle name="Input 3 3 3 2 9" xfId="28276"/>
    <cellStyle name="Input 3 3 3 3" xfId="28277"/>
    <cellStyle name="Input 3 3 3 3 2" xfId="28278"/>
    <cellStyle name="Input 3 3 3 3 2 2" xfId="28279"/>
    <cellStyle name="Input 3 3 3 3 2 2 2" xfId="28280"/>
    <cellStyle name="Input 3 3 3 3 2 2 2 2" xfId="28281"/>
    <cellStyle name="Input 3 3 3 3 2 2 3" xfId="28282"/>
    <cellStyle name="Input 3 3 3 3 2 2 3 2" xfId="28283"/>
    <cellStyle name="Input 3 3 3 3 2 2 4" xfId="28284"/>
    <cellStyle name="Input 3 3 3 3 2 2 5" xfId="28285"/>
    <cellStyle name="Input 3 3 3 3 2 2 6" xfId="28286"/>
    <cellStyle name="Input 3 3 3 3 2 3" xfId="28287"/>
    <cellStyle name="Input 3 3 3 3 2 3 2" xfId="28288"/>
    <cellStyle name="Input 3 3 3 3 2 4" xfId="28289"/>
    <cellStyle name="Input 3 3 3 3 2 4 2" xfId="28290"/>
    <cellStyle name="Input 3 3 3 3 2 5" xfId="28291"/>
    <cellStyle name="Input 3 3 3 3 2 6" xfId="28292"/>
    <cellStyle name="Input 3 3 3 3 2 7" xfId="28293"/>
    <cellStyle name="Input 3 3 3 3 3" xfId="28294"/>
    <cellStyle name="Input 3 3 3 3 3 2" xfId="28295"/>
    <cellStyle name="Input 3 3 3 3 3 2 2" xfId="28296"/>
    <cellStyle name="Input 3 3 3 3 3 3" xfId="28297"/>
    <cellStyle name="Input 3 3 3 3 3 3 2" xfId="28298"/>
    <cellStyle name="Input 3 3 3 3 3 4" xfId="28299"/>
    <cellStyle name="Input 3 3 3 3 3 5" xfId="28300"/>
    <cellStyle name="Input 3 3 3 3 3 6" xfId="28301"/>
    <cellStyle name="Input 3 3 3 3 4" xfId="28302"/>
    <cellStyle name="Input 3 3 3 3 4 2" xfId="28303"/>
    <cellStyle name="Input 3 3 3 3 5" xfId="28304"/>
    <cellStyle name="Input 3 3 3 3 5 2" xfId="28305"/>
    <cellStyle name="Input 3 3 3 3 6" xfId="28306"/>
    <cellStyle name="Input 3 3 3 3 7" xfId="28307"/>
    <cellStyle name="Input 3 3 3 3 8" xfId="28308"/>
    <cellStyle name="Input 3 3 3 4" xfId="28309"/>
    <cellStyle name="Input 3 3 3 4 2" xfId="28310"/>
    <cellStyle name="Input 3 3 3 4 2 2" xfId="28311"/>
    <cellStyle name="Input 3 3 3 4 2 2 2" xfId="28312"/>
    <cellStyle name="Input 3 3 3 4 2 3" xfId="28313"/>
    <cellStyle name="Input 3 3 3 4 2 3 2" xfId="28314"/>
    <cellStyle name="Input 3 3 3 4 2 4" xfId="28315"/>
    <cellStyle name="Input 3 3 3 4 2 5" xfId="28316"/>
    <cellStyle name="Input 3 3 3 4 2 6" xfId="28317"/>
    <cellStyle name="Input 3 3 3 4 3" xfId="28318"/>
    <cellStyle name="Input 3 3 3 4 3 2" xfId="28319"/>
    <cellStyle name="Input 3 3 3 4 4" xfId="28320"/>
    <cellStyle name="Input 3 3 3 4 4 2" xfId="28321"/>
    <cellStyle name="Input 3 3 3 4 5" xfId="28322"/>
    <cellStyle name="Input 3 3 3 4 6" xfId="28323"/>
    <cellStyle name="Input 3 3 3 4 7" xfId="28324"/>
    <cellStyle name="Input 3 3 3 5" xfId="28325"/>
    <cellStyle name="Input 3 3 3 5 2" xfId="28326"/>
    <cellStyle name="Input 3 3 3 5 2 2" xfId="28327"/>
    <cellStyle name="Input 3 3 3 5 3" xfId="28328"/>
    <cellStyle name="Input 3 3 3 5 3 2" xfId="28329"/>
    <cellStyle name="Input 3 3 3 5 4" xfId="28330"/>
    <cellStyle name="Input 3 3 3 5 5" xfId="28331"/>
    <cellStyle name="Input 3 3 3 5 6" xfId="28332"/>
    <cellStyle name="Input 3 3 3 6" xfId="28333"/>
    <cellStyle name="Input 3 3 3 6 2" xfId="28334"/>
    <cellStyle name="Input 3 3 3 7" xfId="28335"/>
    <cellStyle name="Input 3 3 3 7 2" xfId="28336"/>
    <cellStyle name="Input 3 3 3 8" xfId="28337"/>
    <cellStyle name="Input 3 3 3 9" xfId="28338"/>
    <cellStyle name="Input 3 3 4" xfId="28339"/>
    <cellStyle name="Input 3 3 4 10" xfId="28340"/>
    <cellStyle name="Input 3 3 4 2" xfId="28341"/>
    <cellStyle name="Input 3 3 4 2 2" xfId="28342"/>
    <cellStyle name="Input 3 3 4 2 2 2" xfId="28343"/>
    <cellStyle name="Input 3 3 4 2 2 2 2" xfId="28344"/>
    <cellStyle name="Input 3 3 4 2 2 2 2 2" xfId="28345"/>
    <cellStyle name="Input 3 3 4 2 2 2 3" xfId="28346"/>
    <cellStyle name="Input 3 3 4 2 2 2 3 2" xfId="28347"/>
    <cellStyle name="Input 3 3 4 2 2 2 4" xfId="28348"/>
    <cellStyle name="Input 3 3 4 2 2 2 5" xfId="28349"/>
    <cellStyle name="Input 3 3 4 2 2 2 6" xfId="28350"/>
    <cellStyle name="Input 3 3 4 2 2 3" xfId="28351"/>
    <cellStyle name="Input 3 3 4 2 2 3 2" xfId="28352"/>
    <cellStyle name="Input 3 3 4 2 2 4" xfId="28353"/>
    <cellStyle name="Input 3 3 4 2 2 4 2" xfId="28354"/>
    <cellStyle name="Input 3 3 4 2 2 5" xfId="28355"/>
    <cellStyle name="Input 3 3 4 2 2 6" xfId="28356"/>
    <cellStyle name="Input 3 3 4 2 2 7" xfId="28357"/>
    <cellStyle name="Input 3 3 4 2 3" xfId="28358"/>
    <cellStyle name="Input 3 3 4 2 3 2" xfId="28359"/>
    <cellStyle name="Input 3 3 4 2 3 2 2" xfId="28360"/>
    <cellStyle name="Input 3 3 4 2 3 3" xfId="28361"/>
    <cellStyle name="Input 3 3 4 2 3 3 2" xfId="28362"/>
    <cellStyle name="Input 3 3 4 2 3 4" xfId="28363"/>
    <cellStyle name="Input 3 3 4 2 3 5" xfId="28364"/>
    <cellStyle name="Input 3 3 4 2 3 6" xfId="28365"/>
    <cellStyle name="Input 3 3 4 2 4" xfId="28366"/>
    <cellStyle name="Input 3 3 4 2 4 2" xfId="28367"/>
    <cellStyle name="Input 3 3 4 2 5" xfId="28368"/>
    <cellStyle name="Input 3 3 4 2 5 2" xfId="28369"/>
    <cellStyle name="Input 3 3 4 2 6" xfId="28370"/>
    <cellStyle name="Input 3 3 4 2 7" xfId="28371"/>
    <cellStyle name="Input 3 3 4 2 8" xfId="28372"/>
    <cellStyle name="Input 3 3 4 3" xfId="28373"/>
    <cellStyle name="Input 3 3 4 3 2" xfId="28374"/>
    <cellStyle name="Input 3 3 4 3 2 2" xfId="28375"/>
    <cellStyle name="Input 3 3 4 3 2 2 2" xfId="28376"/>
    <cellStyle name="Input 3 3 4 3 2 2 2 2" xfId="28377"/>
    <cellStyle name="Input 3 3 4 3 2 2 3" xfId="28378"/>
    <cellStyle name="Input 3 3 4 3 2 2 3 2" xfId="28379"/>
    <cellStyle name="Input 3 3 4 3 2 2 4" xfId="28380"/>
    <cellStyle name="Input 3 3 4 3 2 2 5" xfId="28381"/>
    <cellStyle name="Input 3 3 4 3 2 2 6" xfId="28382"/>
    <cellStyle name="Input 3 3 4 3 2 3" xfId="28383"/>
    <cellStyle name="Input 3 3 4 3 2 3 2" xfId="28384"/>
    <cellStyle name="Input 3 3 4 3 2 4" xfId="28385"/>
    <cellStyle name="Input 3 3 4 3 2 4 2" xfId="28386"/>
    <cellStyle name="Input 3 3 4 3 2 5" xfId="28387"/>
    <cellStyle name="Input 3 3 4 3 2 6" xfId="28388"/>
    <cellStyle name="Input 3 3 4 3 2 7" xfId="28389"/>
    <cellStyle name="Input 3 3 4 3 3" xfId="28390"/>
    <cellStyle name="Input 3 3 4 3 3 2" xfId="28391"/>
    <cellStyle name="Input 3 3 4 3 3 2 2" xfId="28392"/>
    <cellStyle name="Input 3 3 4 3 3 3" xfId="28393"/>
    <cellStyle name="Input 3 3 4 3 3 3 2" xfId="28394"/>
    <cellStyle name="Input 3 3 4 3 3 4" xfId="28395"/>
    <cellStyle name="Input 3 3 4 3 3 5" xfId="28396"/>
    <cellStyle name="Input 3 3 4 3 3 6" xfId="28397"/>
    <cellStyle name="Input 3 3 4 3 4" xfId="28398"/>
    <cellStyle name="Input 3 3 4 3 4 2" xfId="28399"/>
    <cellStyle name="Input 3 3 4 3 5" xfId="28400"/>
    <cellStyle name="Input 3 3 4 3 5 2" xfId="28401"/>
    <cellStyle name="Input 3 3 4 3 6" xfId="28402"/>
    <cellStyle name="Input 3 3 4 3 7" xfId="28403"/>
    <cellStyle name="Input 3 3 4 3 8" xfId="28404"/>
    <cellStyle name="Input 3 3 4 4" xfId="28405"/>
    <cellStyle name="Input 3 3 4 4 2" xfId="28406"/>
    <cellStyle name="Input 3 3 4 4 2 2" xfId="28407"/>
    <cellStyle name="Input 3 3 4 4 2 2 2" xfId="28408"/>
    <cellStyle name="Input 3 3 4 4 2 3" xfId="28409"/>
    <cellStyle name="Input 3 3 4 4 2 3 2" xfId="28410"/>
    <cellStyle name="Input 3 3 4 4 2 4" xfId="28411"/>
    <cellStyle name="Input 3 3 4 4 2 5" xfId="28412"/>
    <cellStyle name="Input 3 3 4 4 2 6" xfId="28413"/>
    <cellStyle name="Input 3 3 4 4 3" xfId="28414"/>
    <cellStyle name="Input 3 3 4 4 3 2" xfId="28415"/>
    <cellStyle name="Input 3 3 4 4 4" xfId="28416"/>
    <cellStyle name="Input 3 3 4 4 4 2" xfId="28417"/>
    <cellStyle name="Input 3 3 4 4 5" xfId="28418"/>
    <cellStyle name="Input 3 3 4 4 6" xfId="28419"/>
    <cellStyle name="Input 3 3 4 4 7" xfId="28420"/>
    <cellStyle name="Input 3 3 4 5" xfId="28421"/>
    <cellStyle name="Input 3 3 4 5 2" xfId="28422"/>
    <cellStyle name="Input 3 3 4 5 2 2" xfId="28423"/>
    <cellStyle name="Input 3 3 4 5 3" xfId="28424"/>
    <cellStyle name="Input 3 3 4 5 3 2" xfId="28425"/>
    <cellStyle name="Input 3 3 4 5 4" xfId="28426"/>
    <cellStyle name="Input 3 3 4 5 5" xfId="28427"/>
    <cellStyle name="Input 3 3 4 5 6" xfId="28428"/>
    <cellStyle name="Input 3 3 4 6" xfId="28429"/>
    <cellStyle name="Input 3 3 4 6 2" xfId="28430"/>
    <cellStyle name="Input 3 3 4 7" xfId="28431"/>
    <cellStyle name="Input 3 3 4 7 2" xfId="28432"/>
    <cellStyle name="Input 3 3 4 8" xfId="28433"/>
    <cellStyle name="Input 3 3 4 9" xfId="28434"/>
    <cellStyle name="Input 3 3 5" xfId="28435"/>
    <cellStyle name="Input 3 3 5 2" xfId="28436"/>
    <cellStyle name="Input 3 3 5 2 2" xfId="28437"/>
    <cellStyle name="Input 3 3 5 2 2 2" xfId="28438"/>
    <cellStyle name="Input 3 3 5 2 2 2 2" xfId="28439"/>
    <cellStyle name="Input 3 3 5 2 2 3" xfId="28440"/>
    <cellStyle name="Input 3 3 5 2 2 3 2" xfId="28441"/>
    <cellStyle name="Input 3 3 5 2 2 4" xfId="28442"/>
    <cellStyle name="Input 3 3 5 2 2 5" xfId="28443"/>
    <cellStyle name="Input 3 3 5 2 2 6" xfId="28444"/>
    <cellStyle name="Input 3 3 5 2 3" xfId="28445"/>
    <cellStyle name="Input 3 3 5 2 3 2" xfId="28446"/>
    <cellStyle name="Input 3 3 5 2 4" xfId="28447"/>
    <cellStyle name="Input 3 3 5 2 4 2" xfId="28448"/>
    <cellStyle name="Input 3 3 5 2 5" xfId="28449"/>
    <cellStyle name="Input 3 3 5 2 6" xfId="28450"/>
    <cellStyle name="Input 3 3 5 2 7" xfId="28451"/>
    <cellStyle name="Input 3 3 5 3" xfId="28452"/>
    <cellStyle name="Input 3 3 5 3 2" xfId="28453"/>
    <cellStyle name="Input 3 3 5 3 2 2" xfId="28454"/>
    <cellStyle name="Input 3 3 5 3 3" xfId="28455"/>
    <cellStyle name="Input 3 3 5 3 3 2" xfId="28456"/>
    <cellStyle name="Input 3 3 5 3 4" xfId="28457"/>
    <cellStyle name="Input 3 3 5 3 5" xfId="28458"/>
    <cellStyle name="Input 3 3 5 3 6" xfId="28459"/>
    <cellStyle name="Input 3 3 5 4" xfId="28460"/>
    <cellStyle name="Input 3 3 5 4 2" xfId="28461"/>
    <cellStyle name="Input 3 3 5 5" xfId="28462"/>
    <cellStyle name="Input 3 3 5 5 2" xfId="28463"/>
    <cellStyle name="Input 3 3 5 6" xfId="28464"/>
    <cellStyle name="Input 3 3 5 7" xfId="28465"/>
    <cellStyle name="Input 3 3 5 8" xfId="28466"/>
    <cellStyle name="Input 3 3 6" xfId="28467"/>
    <cellStyle name="Input 3 3 6 2" xfId="28468"/>
    <cellStyle name="Input 3 3 6 2 2" xfId="28469"/>
    <cellStyle name="Input 3 3 6 2 2 2" xfId="28470"/>
    <cellStyle name="Input 3 3 6 2 3" xfId="28471"/>
    <cellStyle name="Input 3 3 6 2 3 2" xfId="28472"/>
    <cellStyle name="Input 3 3 6 2 4" xfId="28473"/>
    <cellStyle name="Input 3 3 6 2 5" xfId="28474"/>
    <cellStyle name="Input 3 3 6 2 6" xfId="28475"/>
    <cellStyle name="Input 3 3 6 3" xfId="28476"/>
    <cellStyle name="Input 3 3 6 3 2" xfId="28477"/>
    <cellStyle name="Input 3 3 6 4" xfId="28478"/>
    <cellStyle name="Input 3 3 6 4 2" xfId="28479"/>
    <cellStyle name="Input 3 3 6 5" xfId="28480"/>
    <cellStyle name="Input 3 3 6 6" xfId="28481"/>
    <cellStyle name="Input 3 3 6 7" xfId="28482"/>
    <cellStyle name="Input 3 3 7" xfId="28483"/>
    <cellStyle name="Input 3 3 7 2" xfId="28484"/>
    <cellStyle name="Input 3 3 7 2 2" xfId="28485"/>
    <cellStyle name="Input 3 3 7 3" xfId="28486"/>
    <cellStyle name="Input 3 3 7 3 2" xfId="28487"/>
    <cellStyle name="Input 3 3 7 4" xfId="28488"/>
    <cellStyle name="Input 3 3 7 5" xfId="28489"/>
    <cellStyle name="Input 3 3 7 6" xfId="28490"/>
    <cellStyle name="Input 3 3 8" xfId="28491"/>
    <cellStyle name="Input 3 3 8 2" xfId="28492"/>
    <cellStyle name="Input 3 3 9" xfId="28493"/>
    <cellStyle name="Input 3 3 9 2" xfId="28494"/>
    <cellStyle name="Input 3 4" xfId="28495"/>
    <cellStyle name="Input 3 4 10" xfId="28496"/>
    <cellStyle name="Input 3 4 11" xfId="28497"/>
    <cellStyle name="Input 3 4 2" xfId="28498"/>
    <cellStyle name="Input 3 4 2 10" xfId="28499"/>
    <cellStyle name="Input 3 4 2 2" xfId="28500"/>
    <cellStyle name="Input 3 4 2 2 10" xfId="28501"/>
    <cellStyle name="Input 3 4 2 2 2" xfId="28502"/>
    <cellStyle name="Input 3 4 2 2 2 2" xfId="28503"/>
    <cellStyle name="Input 3 4 2 2 2 2 2" xfId="28504"/>
    <cellStyle name="Input 3 4 2 2 2 2 2 2" xfId="28505"/>
    <cellStyle name="Input 3 4 2 2 2 2 2 2 2" xfId="28506"/>
    <cellStyle name="Input 3 4 2 2 2 2 2 3" xfId="28507"/>
    <cellStyle name="Input 3 4 2 2 2 2 2 3 2" xfId="28508"/>
    <cellStyle name="Input 3 4 2 2 2 2 2 4" xfId="28509"/>
    <cellStyle name="Input 3 4 2 2 2 2 2 5" xfId="28510"/>
    <cellStyle name="Input 3 4 2 2 2 2 2 6" xfId="28511"/>
    <cellStyle name="Input 3 4 2 2 2 2 3" xfId="28512"/>
    <cellStyle name="Input 3 4 2 2 2 2 3 2" xfId="28513"/>
    <cellStyle name="Input 3 4 2 2 2 2 4" xfId="28514"/>
    <cellStyle name="Input 3 4 2 2 2 2 4 2" xfId="28515"/>
    <cellStyle name="Input 3 4 2 2 2 2 5" xfId="28516"/>
    <cellStyle name="Input 3 4 2 2 2 2 6" xfId="28517"/>
    <cellStyle name="Input 3 4 2 2 2 2 7" xfId="28518"/>
    <cellStyle name="Input 3 4 2 2 2 3" xfId="28519"/>
    <cellStyle name="Input 3 4 2 2 2 3 2" xfId="28520"/>
    <cellStyle name="Input 3 4 2 2 2 3 2 2" xfId="28521"/>
    <cellStyle name="Input 3 4 2 2 2 3 3" xfId="28522"/>
    <cellStyle name="Input 3 4 2 2 2 3 3 2" xfId="28523"/>
    <cellStyle name="Input 3 4 2 2 2 3 4" xfId="28524"/>
    <cellStyle name="Input 3 4 2 2 2 3 5" xfId="28525"/>
    <cellStyle name="Input 3 4 2 2 2 3 6" xfId="28526"/>
    <cellStyle name="Input 3 4 2 2 2 4" xfId="28527"/>
    <cellStyle name="Input 3 4 2 2 2 4 2" xfId="28528"/>
    <cellStyle name="Input 3 4 2 2 2 5" xfId="28529"/>
    <cellStyle name="Input 3 4 2 2 2 5 2" xfId="28530"/>
    <cellStyle name="Input 3 4 2 2 2 6" xfId="28531"/>
    <cellStyle name="Input 3 4 2 2 2 7" xfId="28532"/>
    <cellStyle name="Input 3 4 2 2 2 8" xfId="28533"/>
    <cellStyle name="Input 3 4 2 2 3" xfId="28534"/>
    <cellStyle name="Input 3 4 2 2 3 2" xfId="28535"/>
    <cellStyle name="Input 3 4 2 2 3 2 2" xfId="28536"/>
    <cellStyle name="Input 3 4 2 2 3 2 2 2" xfId="28537"/>
    <cellStyle name="Input 3 4 2 2 3 2 2 2 2" xfId="28538"/>
    <cellStyle name="Input 3 4 2 2 3 2 2 3" xfId="28539"/>
    <cellStyle name="Input 3 4 2 2 3 2 2 3 2" xfId="28540"/>
    <cellStyle name="Input 3 4 2 2 3 2 2 4" xfId="28541"/>
    <cellStyle name="Input 3 4 2 2 3 2 2 5" xfId="28542"/>
    <cellStyle name="Input 3 4 2 2 3 2 2 6" xfId="28543"/>
    <cellStyle name="Input 3 4 2 2 3 2 3" xfId="28544"/>
    <cellStyle name="Input 3 4 2 2 3 2 3 2" xfId="28545"/>
    <cellStyle name="Input 3 4 2 2 3 2 4" xfId="28546"/>
    <cellStyle name="Input 3 4 2 2 3 2 4 2" xfId="28547"/>
    <cellStyle name="Input 3 4 2 2 3 2 5" xfId="28548"/>
    <cellStyle name="Input 3 4 2 2 3 2 6" xfId="28549"/>
    <cellStyle name="Input 3 4 2 2 3 2 7" xfId="28550"/>
    <cellStyle name="Input 3 4 2 2 3 3" xfId="28551"/>
    <cellStyle name="Input 3 4 2 2 3 3 2" xfId="28552"/>
    <cellStyle name="Input 3 4 2 2 3 3 2 2" xfId="28553"/>
    <cellStyle name="Input 3 4 2 2 3 3 3" xfId="28554"/>
    <cellStyle name="Input 3 4 2 2 3 3 3 2" xfId="28555"/>
    <cellStyle name="Input 3 4 2 2 3 3 4" xfId="28556"/>
    <cellStyle name="Input 3 4 2 2 3 3 5" xfId="28557"/>
    <cellStyle name="Input 3 4 2 2 3 3 6" xfId="28558"/>
    <cellStyle name="Input 3 4 2 2 3 4" xfId="28559"/>
    <cellStyle name="Input 3 4 2 2 3 4 2" xfId="28560"/>
    <cellStyle name="Input 3 4 2 2 3 5" xfId="28561"/>
    <cellStyle name="Input 3 4 2 2 3 5 2" xfId="28562"/>
    <cellStyle name="Input 3 4 2 2 3 6" xfId="28563"/>
    <cellStyle name="Input 3 4 2 2 3 7" xfId="28564"/>
    <cellStyle name="Input 3 4 2 2 3 8" xfId="28565"/>
    <cellStyle name="Input 3 4 2 2 4" xfId="28566"/>
    <cellStyle name="Input 3 4 2 2 4 2" xfId="28567"/>
    <cellStyle name="Input 3 4 2 2 4 2 2" xfId="28568"/>
    <cellStyle name="Input 3 4 2 2 4 2 2 2" xfId="28569"/>
    <cellStyle name="Input 3 4 2 2 4 2 3" xfId="28570"/>
    <cellStyle name="Input 3 4 2 2 4 2 3 2" xfId="28571"/>
    <cellStyle name="Input 3 4 2 2 4 2 4" xfId="28572"/>
    <cellStyle name="Input 3 4 2 2 4 2 5" xfId="28573"/>
    <cellStyle name="Input 3 4 2 2 4 2 6" xfId="28574"/>
    <cellStyle name="Input 3 4 2 2 4 3" xfId="28575"/>
    <cellStyle name="Input 3 4 2 2 4 3 2" xfId="28576"/>
    <cellStyle name="Input 3 4 2 2 4 4" xfId="28577"/>
    <cellStyle name="Input 3 4 2 2 4 4 2" xfId="28578"/>
    <cellStyle name="Input 3 4 2 2 4 5" xfId="28579"/>
    <cellStyle name="Input 3 4 2 2 4 6" xfId="28580"/>
    <cellStyle name="Input 3 4 2 2 4 7" xfId="28581"/>
    <cellStyle name="Input 3 4 2 2 5" xfId="28582"/>
    <cellStyle name="Input 3 4 2 2 5 2" xfId="28583"/>
    <cellStyle name="Input 3 4 2 2 5 2 2" xfId="28584"/>
    <cellStyle name="Input 3 4 2 2 5 3" xfId="28585"/>
    <cellStyle name="Input 3 4 2 2 5 3 2" xfId="28586"/>
    <cellStyle name="Input 3 4 2 2 5 4" xfId="28587"/>
    <cellStyle name="Input 3 4 2 2 5 5" xfId="28588"/>
    <cellStyle name="Input 3 4 2 2 5 6" xfId="28589"/>
    <cellStyle name="Input 3 4 2 2 6" xfId="28590"/>
    <cellStyle name="Input 3 4 2 2 6 2" xfId="28591"/>
    <cellStyle name="Input 3 4 2 2 7" xfId="28592"/>
    <cellStyle name="Input 3 4 2 2 7 2" xfId="28593"/>
    <cellStyle name="Input 3 4 2 2 8" xfId="28594"/>
    <cellStyle name="Input 3 4 2 2 9" xfId="28595"/>
    <cellStyle name="Input 3 4 2 3" xfId="28596"/>
    <cellStyle name="Input 3 4 2 3 2" xfId="28597"/>
    <cellStyle name="Input 3 4 2 3 2 2" xfId="28598"/>
    <cellStyle name="Input 3 4 2 3 2 2 2" xfId="28599"/>
    <cellStyle name="Input 3 4 2 3 2 2 2 2" xfId="28600"/>
    <cellStyle name="Input 3 4 2 3 2 2 3" xfId="28601"/>
    <cellStyle name="Input 3 4 2 3 2 2 3 2" xfId="28602"/>
    <cellStyle name="Input 3 4 2 3 2 2 4" xfId="28603"/>
    <cellStyle name="Input 3 4 2 3 2 2 5" xfId="28604"/>
    <cellStyle name="Input 3 4 2 3 2 2 6" xfId="28605"/>
    <cellStyle name="Input 3 4 2 3 2 3" xfId="28606"/>
    <cellStyle name="Input 3 4 2 3 2 3 2" xfId="28607"/>
    <cellStyle name="Input 3 4 2 3 2 4" xfId="28608"/>
    <cellStyle name="Input 3 4 2 3 2 4 2" xfId="28609"/>
    <cellStyle name="Input 3 4 2 3 2 5" xfId="28610"/>
    <cellStyle name="Input 3 4 2 3 2 6" xfId="28611"/>
    <cellStyle name="Input 3 4 2 3 2 7" xfId="28612"/>
    <cellStyle name="Input 3 4 2 3 3" xfId="28613"/>
    <cellStyle name="Input 3 4 2 3 3 2" xfId="28614"/>
    <cellStyle name="Input 3 4 2 3 3 2 2" xfId="28615"/>
    <cellStyle name="Input 3 4 2 3 3 3" xfId="28616"/>
    <cellStyle name="Input 3 4 2 3 3 3 2" xfId="28617"/>
    <cellStyle name="Input 3 4 2 3 3 4" xfId="28618"/>
    <cellStyle name="Input 3 4 2 3 3 5" xfId="28619"/>
    <cellStyle name="Input 3 4 2 3 3 6" xfId="28620"/>
    <cellStyle name="Input 3 4 2 3 4" xfId="28621"/>
    <cellStyle name="Input 3 4 2 3 4 2" xfId="28622"/>
    <cellStyle name="Input 3 4 2 3 5" xfId="28623"/>
    <cellStyle name="Input 3 4 2 3 5 2" xfId="28624"/>
    <cellStyle name="Input 3 4 2 3 6" xfId="28625"/>
    <cellStyle name="Input 3 4 2 3 7" xfId="28626"/>
    <cellStyle name="Input 3 4 2 3 8" xfId="28627"/>
    <cellStyle name="Input 3 4 2 4" xfId="28628"/>
    <cellStyle name="Input 3 4 2 4 2" xfId="28629"/>
    <cellStyle name="Input 3 4 2 4 2 2" xfId="28630"/>
    <cellStyle name="Input 3 4 2 4 2 2 2" xfId="28631"/>
    <cellStyle name="Input 3 4 2 4 2 3" xfId="28632"/>
    <cellStyle name="Input 3 4 2 4 2 3 2" xfId="28633"/>
    <cellStyle name="Input 3 4 2 4 2 4" xfId="28634"/>
    <cellStyle name="Input 3 4 2 4 2 5" xfId="28635"/>
    <cellStyle name="Input 3 4 2 4 2 6" xfId="28636"/>
    <cellStyle name="Input 3 4 2 4 3" xfId="28637"/>
    <cellStyle name="Input 3 4 2 4 3 2" xfId="28638"/>
    <cellStyle name="Input 3 4 2 4 4" xfId="28639"/>
    <cellStyle name="Input 3 4 2 4 4 2" xfId="28640"/>
    <cellStyle name="Input 3 4 2 4 5" xfId="28641"/>
    <cellStyle name="Input 3 4 2 4 6" xfId="28642"/>
    <cellStyle name="Input 3 4 2 4 7" xfId="28643"/>
    <cellStyle name="Input 3 4 2 5" xfId="28644"/>
    <cellStyle name="Input 3 4 2 5 2" xfId="28645"/>
    <cellStyle name="Input 3 4 2 5 2 2" xfId="28646"/>
    <cellStyle name="Input 3 4 2 5 3" xfId="28647"/>
    <cellStyle name="Input 3 4 2 5 3 2" xfId="28648"/>
    <cellStyle name="Input 3 4 2 5 4" xfId="28649"/>
    <cellStyle name="Input 3 4 2 5 5" xfId="28650"/>
    <cellStyle name="Input 3 4 2 5 6" xfId="28651"/>
    <cellStyle name="Input 3 4 2 6" xfId="28652"/>
    <cellStyle name="Input 3 4 2 6 2" xfId="28653"/>
    <cellStyle name="Input 3 4 2 7" xfId="28654"/>
    <cellStyle name="Input 3 4 2 7 2" xfId="28655"/>
    <cellStyle name="Input 3 4 2 8" xfId="28656"/>
    <cellStyle name="Input 3 4 2 9" xfId="28657"/>
    <cellStyle name="Input 3 4 3" xfId="28658"/>
    <cellStyle name="Input 3 4 3 10" xfId="28659"/>
    <cellStyle name="Input 3 4 3 2" xfId="28660"/>
    <cellStyle name="Input 3 4 3 2 2" xfId="28661"/>
    <cellStyle name="Input 3 4 3 2 2 2" xfId="28662"/>
    <cellStyle name="Input 3 4 3 2 2 2 2" xfId="28663"/>
    <cellStyle name="Input 3 4 3 2 2 2 2 2" xfId="28664"/>
    <cellStyle name="Input 3 4 3 2 2 2 3" xfId="28665"/>
    <cellStyle name="Input 3 4 3 2 2 2 3 2" xfId="28666"/>
    <cellStyle name="Input 3 4 3 2 2 2 4" xfId="28667"/>
    <cellStyle name="Input 3 4 3 2 2 2 5" xfId="28668"/>
    <cellStyle name="Input 3 4 3 2 2 2 6" xfId="28669"/>
    <cellStyle name="Input 3 4 3 2 2 3" xfId="28670"/>
    <cellStyle name="Input 3 4 3 2 2 3 2" xfId="28671"/>
    <cellStyle name="Input 3 4 3 2 2 4" xfId="28672"/>
    <cellStyle name="Input 3 4 3 2 2 4 2" xfId="28673"/>
    <cellStyle name="Input 3 4 3 2 2 5" xfId="28674"/>
    <cellStyle name="Input 3 4 3 2 2 6" xfId="28675"/>
    <cellStyle name="Input 3 4 3 2 2 7" xfId="28676"/>
    <cellStyle name="Input 3 4 3 2 3" xfId="28677"/>
    <cellStyle name="Input 3 4 3 2 3 2" xfId="28678"/>
    <cellStyle name="Input 3 4 3 2 3 2 2" xfId="28679"/>
    <cellStyle name="Input 3 4 3 2 3 3" xfId="28680"/>
    <cellStyle name="Input 3 4 3 2 3 3 2" xfId="28681"/>
    <cellStyle name="Input 3 4 3 2 3 4" xfId="28682"/>
    <cellStyle name="Input 3 4 3 2 3 5" xfId="28683"/>
    <cellStyle name="Input 3 4 3 2 3 6" xfId="28684"/>
    <cellStyle name="Input 3 4 3 2 4" xfId="28685"/>
    <cellStyle name="Input 3 4 3 2 4 2" xfId="28686"/>
    <cellStyle name="Input 3 4 3 2 5" xfId="28687"/>
    <cellStyle name="Input 3 4 3 2 5 2" xfId="28688"/>
    <cellStyle name="Input 3 4 3 2 6" xfId="28689"/>
    <cellStyle name="Input 3 4 3 2 7" xfId="28690"/>
    <cellStyle name="Input 3 4 3 2 8" xfId="28691"/>
    <cellStyle name="Input 3 4 3 3" xfId="28692"/>
    <cellStyle name="Input 3 4 3 3 2" xfId="28693"/>
    <cellStyle name="Input 3 4 3 3 2 2" xfId="28694"/>
    <cellStyle name="Input 3 4 3 3 2 2 2" xfId="28695"/>
    <cellStyle name="Input 3 4 3 3 2 2 2 2" xfId="28696"/>
    <cellStyle name="Input 3 4 3 3 2 2 3" xfId="28697"/>
    <cellStyle name="Input 3 4 3 3 2 2 3 2" xfId="28698"/>
    <cellStyle name="Input 3 4 3 3 2 2 4" xfId="28699"/>
    <cellStyle name="Input 3 4 3 3 2 2 5" xfId="28700"/>
    <cellStyle name="Input 3 4 3 3 2 2 6" xfId="28701"/>
    <cellStyle name="Input 3 4 3 3 2 3" xfId="28702"/>
    <cellStyle name="Input 3 4 3 3 2 3 2" xfId="28703"/>
    <cellStyle name="Input 3 4 3 3 2 4" xfId="28704"/>
    <cellStyle name="Input 3 4 3 3 2 4 2" xfId="28705"/>
    <cellStyle name="Input 3 4 3 3 2 5" xfId="28706"/>
    <cellStyle name="Input 3 4 3 3 2 6" xfId="28707"/>
    <cellStyle name="Input 3 4 3 3 2 7" xfId="28708"/>
    <cellStyle name="Input 3 4 3 3 3" xfId="28709"/>
    <cellStyle name="Input 3 4 3 3 3 2" xfId="28710"/>
    <cellStyle name="Input 3 4 3 3 3 2 2" xfId="28711"/>
    <cellStyle name="Input 3 4 3 3 3 3" xfId="28712"/>
    <cellStyle name="Input 3 4 3 3 3 3 2" xfId="28713"/>
    <cellStyle name="Input 3 4 3 3 3 4" xfId="28714"/>
    <cellStyle name="Input 3 4 3 3 3 5" xfId="28715"/>
    <cellStyle name="Input 3 4 3 3 3 6" xfId="28716"/>
    <cellStyle name="Input 3 4 3 3 4" xfId="28717"/>
    <cellStyle name="Input 3 4 3 3 4 2" xfId="28718"/>
    <cellStyle name="Input 3 4 3 3 5" xfId="28719"/>
    <cellStyle name="Input 3 4 3 3 5 2" xfId="28720"/>
    <cellStyle name="Input 3 4 3 3 6" xfId="28721"/>
    <cellStyle name="Input 3 4 3 3 7" xfId="28722"/>
    <cellStyle name="Input 3 4 3 3 8" xfId="28723"/>
    <cellStyle name="Input 3 4 3 4" xfId="28724"/>
    <cellStyle name="Input 3 4 3 4 2" xfId="28725"/>
    <cellStyle name="Input 3 4 3 4 2 2" xfId="28726"/>
    <cellStyle name="Input 3 4 3 4 2 2 2" xfId="28727"/>
    <cellStyle name="Input 3 4 3 4 2 3" xfId="28728"/>
    <cellStyle name="Input 3 4 3 4 2 3 2" xfId="28729"/>
    <cellStyle name="Input 3 4 3 4 2 4" xfId="28730"/>
    <cellStyle name="Input 3 4 3 4 2 5" xfId="28731"/>
    <cellStyle name="Input 3 4 3 4 2 6" xfId="28732"/>
    <cellStyle name="Input 3 4 3 4 3" xfId="28733"/>
    <cellStyle name="Input 3 4 3 4 3 2" xfId="28734"/>
    <cellStyle name="Input 3 4 3 4 4" xfId="28735"/>
    <cellStyle name="Input 3 4 3 4 4 2" xfId="28736"/>
    <cellStyle name="Input 3 4 3 4 5" xfId="28737"/>
    <cellStyle name="Input 3 4 3 4 6" xfId="28738"/>
    <cellStyle name="Input 3 4 3 4 7" xfId="28739"/>
    <cellStyle name="Input 3 4 3 5" xfId="28740"/>
    <cellStyle name="Input 3 4 3 5 2" xfId="28741"/>
    <cellStyle name="Input 3 4 3 5 2 2" xfId="28742"/>
    <cellStyle name="Input 3 4 3 5 3" xfId="28743"/>
    <cellStyle name="Input 3 4 3 5 3 2" xfId="28744"/>
    <cellStyle name="Input 3 4 3 5 4" xfId="28745"/>
    <cellStyle name="Input 3 4 3 5 5" xfId="28746"/>
    <cellStyle name="Input 3 4 3 5 6" xfId="28747"/>
    <cellStyle name="Input 3 4 3 6" xfId="28748"/>
    <cellStyle name="Input 3 4 3 6 2" xfId="28749"/>
    <cellStyle name="Input 3 4 3 7" xfId="28750"/>
    <cellStyle name="Input 3 4 3 7 2" xfId="28751"/>
    <cellStyle name="Input 3 4 3 8" xfId="28752"/>
    <cellStyle name="Input 3 4 3 9" xfId="28753"/>
    <cellStyle name="Input 3 4 4" xfId="28754"/>
    <cellStyle name="Input 3 4 4 2" xfId="28755"/>
    <cellStyle name="Input 3 4 4 2 2" xfId="28756"/>
    <cellStyle name="Input 3 4 4 2 2 2" xfId="28757"/>
    <cellStyle name="Input 3 4 4 2 2 2 2" xfId="28758"/>
    <cellStyle name="Input 3 4 4 2 2 3" xfId="28759"/>
    <cellStyle name="Input 3 4 4 2 2 3 2" xfId="28760"/>
    <cellStyle name="Input 3 4 4 2 2 4" xfId="28761"/>
    <cellStyle name="Input 3 4 4 2 2 5" xfId="28762"/>
    <cellStyle name="Input 3 4 4 2 2 6" xfId="28763"/>
    <cellStyle name="Input 3 4 4 2 3" xfId="28764"/>
    <cellStyle name="Input 3 4 4 2 3 2" xfId="28765"/>
    <cellStyle name="Input 3 4 4 2 4" xfId="28766"/>
    <cellStyle name="Input 3 4 4 2 4 2" xfId="28767"/>
    <cellStyle name="Input 3 4 4 2 5" xfId="28768"/>
    <cellStyle name="Input 3 4 4 2 6" xfId="28769"/>
    <cellStyle name="Input 3 4 4 2 7" xfId="28770"/>
    <cellStyle name="Input 3 4 4 3" xfId="28771"/>
    <cellStyle name="Input 3 4 4 3 2" xfId="28772"/>
    <cellStyle name="Input 3 4 4 3 2 2" xfId="28773"/>
    <cellStyle name="Input 3 4 4 3 3" xfId="28774"/>
    <cellStyle name="Input 3 4 4 3 3 2" xfId="28775"/>
    <cellStyle name="Input 3 4 4 3 4" xfId="28776"/>
    <cellStyle name="Input 3 4 4 3 5" xfId="28777"/>
    <cellStyle name="Input 3 4 4 3 6" xfId="28778"/>
    <cellStyle name="Input 3 4 4 4" xfId="28779"/>
    <cellStyle name="Input 3 4 4 4 2" xfId="28780"/>
    <cellStyle name="Input 3 4 4 5" xfId="28781"/>
    <cellStyle name="Input 3 4 4 5 2" xfId="28782"/>
    <cellStyle name="Input 3 4 4 6" xfId="28783"/>
    <cellStyle name="Input 3 4 4 7" xfId="28784"/>
    <cellStyle name="Input 3 4 4 8" xfId="28785"/>
    <cellStyle name="Input 3 4 5" xfId="28786"/>
    <cellStyle name="Input 3 4 5 2" xfId="28787"/>
    <cellStyle name="Input 3 4 5 2 2" xfId="28788"/>
    <cellStyle name="Input 3 4 5 2 2 2" xfId="28789"/>
    <cellStyle name="Input 3 4 5 2 3" xfId="28790"/>
    <cellStyle name="Input 3 4 5 2 3 2" xfId="28791"/>
    <cellStyle name="Input 3 4 5 2 4" xfId="28792"/>
    <cellStyle name="Input 3 4 5 2 5" xfId="28793"/>
    <cellStyle name="Input 3 4 5 2 6" xfId="28794"/>
    <cellStyle name="Input 3 4 5 3" xfId="28795"/>
    <cellStyle name="Input 3 4 5 3 2" xfId="28796"/>
    <cellStyle name="Input 3 4 5 4" xfId="28797"/>
    <cellStyle name="Input 3 4 5 4 2" xfId="28798"/>
    <cellStyle name="Input 3 4 5 5" xfId="28799"/>
    <cellStyle name="Input 3 4 5 6" xfId="28800"/>
    <cellStyle name="Input 3 4 5 7" xfId="28801"/>
    <cellStyle name="Input 3 4 6" xfId="28802"/>
    <cellStyle name="Input 3 4 6 2" xfId="28803"/>
    <cellStyle name="Input 3 4 6 2 2" xfId="28804"/>
    <cellStyle name="Input 3 4 6 3" xfId="28805"/>
    <cellStyle name="Input 3 4 6 3 2" xfId="28806"/>
    <cellStyle name="Input 3 4 6 4" xfId="28807"/>
    <cellStyle name="Input 3 4 6 5" xfId="28808"/>
    <cellStyle name="Input 3 4 6 6" xfId="28809"/>
    <cellStyle name="Input 3 4 7" xfId="28810"/>
    <cellStyle name="Input 3 4 7 2" xfId="28811"/>
    <cellStyle name="Input 3 4 8" xfId="28812"/>
    <cellStyle name="Input 3 4 8 2" xfId="28813"/>
    <cellStyle name="Input 3 4 9" xfId="28814"/>
    <cellStyle name="Input 3 5" xfId="28815"/>
    <cellStyle name="Input 3 5 10" xfId="28816"/>
    <cellStyle name="Input 3 5 11" xfId="28817"/>
    <cellStyle name="Input 3 5 2" xfId="28818"/>
    <cellStyle name="Input 3 5 2 10" xfId="28819"/>
    <cellStyle name="Input 3 5 2 2" xfId="28820"/>
    <cellStyle name="Input 3 5 2 2 2" xfId="28821"/>
    <cellStyle name="Input 3 5 2 2 2 2" xfId="28822"/>
    <cellStyle name="Input 3 5 2 2 2 2 2" xfId="28823"/>
    <cellStyle name="Input 3 5 2 2 2 2 2 2" xfId="28824"/>
    <cellStyle name="Input 3 5 2 2 2 2 3" xfId="28825"/>
    <cellStyle name="Input 3 5 2 2 2 2 3 2" xfId="28826"/>
    <cellStyle name="Input 3 5 2 2 2 2 4" xfId="28827"/>
    <cellStyle name="Input 3 5 2 2 2 2 5" xfId="28828"/>
    <cellStyle name="Input 3 5 2 2 2 2 6" xfId="28829"/>
    <cellStyle name="Input 3 5 2 2 2 3" xfId="28830"/>
    <cellStyle name="Input 3 5 2 2 2 3 2" xfId="28831"/>
    <cellStyle name="Input 3 5 2 2 2 4" xfId="28832"/>
    <cellStyle name="Input 3 5 2 2 2 4 2" xfId="28833"/>
    <cellStyle name="Input 3 5 2 2 2 5" xfId="28834"/>
    <cellStyle name="Input 3 5 2 2 2 6" xfId="28835"/>
    <cellStyle name="Input 3 5 2 2 2 7" xfId="28836"/>
    <cellStyle name="Input 3 5 2 2 3" xfId="28837"/>
    <cellStyle name="Input 3 5 2 2 3 2" xfId="28838"/>
    <cellStyle name="Input 3 5 2 2 3 2 2" xfId="28839"/>
    <cellStyle name="Input 3 5 2 2 3 3" xfId="28840"/>
    <cellStyle name="Input 3 5 2 2 3 3 2" xfId="28841"/>
    <cellStyle name="Input 3 5 2 2 3 4" xfId="28842"/>
    <cellStyle name="Input 3 5 2 2 3 5" xfId="28843"/>
    <cellStyle name="Input 3 5 2 2 3 6" xfId="28844"/>
    <cellStyle name="Input 3 5 2 2 4" xfId="28845"/>
    <cellStyle name="Input 3 5 2 2 4 2" xfId="28846"/>
    <cellStyle name="Input 3 5 2 2 5" xfId="28847"/>
    <cellStyle name="Input 3 5 2 2 5 2" xfId="28848"/>
    <cellStyle name="Input 3 5 2 2 6" xfId="28849"/>
    <cellStyle name="Input 3 5 2 2 7" xfId="28850"/>
    <cellStyle name="Input 3 5 2 2 8" xfId="28851"/>
    <cellStyle name="Input 3 5 2 3" xfId="28852"/>
    <cellStyle name="Input 3 5 2 3 2" xfId="28853"/>
    <cellStyle name="Input 3 5 2 3 2 2" xfId="28854"/>
    <cellStyle name="Input 3 5 2 3 2 2 2" xfId="28855"/>
    <cellStyle name="Input 3 5 2 3 2 2 2 2" xfId="28856"/>
    <cellStyle name="Input 3 5 2 3 2 2 3" xfId="28857"/>
    <cellStyle name="Input 3 5 2 3 2 2 3 2" xfId="28858"/>
    <cellStyle name="Input 3 5 2 3 2 2 4" xfId="28859"/>
    <cellStyle name="Input 3 5 2 3 2 2 5" xfId="28860"/>
    <cellStyle name="Input 3 5 2 3 2 2 6" xfId="28861"/>
    <cellStyle name="Input 3 5 2 3 2 3" xfId="28862"/>
    <cellStyle name="Input 3 5 2 3 2 3 2" xfId="28863"/>
    <cellStyle name="Input 3 5 2 3 2 4" xfId="28864"/>
    <cellStyle name="Input 3 5 2 3 2 4 2" xfId="28865"/>
    <cellStyle name="Input 3 5 2 3 2 5" xfId="28866"/>
    <cellStyle name="Input 3 5 2 3 2 6" xfId="28867"/>
    <cellStyle name="Input 3 5 2 3 2 7" xfId="28868"/>
    <cellStyle name="Input 3 5 2 3 3" xfId="28869"/>
    <cellStyle name="Input 3 5 2 3 3 2" xfId="28870"/>
    <cellStyle name="Input 3 5 2 3 3 2 2" xfId="28871"/>
    <cellStyle name="Input 3 5 2 3 3 3" xfId="28872"/>
    <cellStyle name="Input 3 5 2 3 3 3 2" xfId="28873"/>
    <cellStyle name="Input 3 5 2 3 3 4" xfId="28874"/>
    <cellStyle name="Input 3 5 2 3 3 5" xfId="28875"/>
    <cellStyle name="Input 3 5 2 3 3 6" xfId="28876"/>
    <cellStyle name="Input 3 5 2 3 4" xfId="28877"/>
    <cellStyle name="Input 3 5 2 3 4 2" xfId="28878"/>
    <cellStyle name="Input 3 5 2 3 5" xfId="28879"/>
    <cellStyle name="Input 3 5 2 3 5 2" xfId="28880"/>
    <cellStyle name="Input 3 5 2 3 6" xfId="28881"/>
    <cellStyle name="Input 3 5 2 3 7" xfId="28882"/>
    <cellStyle name="Input 3 5 2 3 8" xfId="28883"/>
    <cellStyle name="Input 3 5 2 4" xfId="28884"/>
    <cellStyle name="Input 3 5 2 4 2" xfId="28885"/>
    <cellStyle name="Input 3 5 2 4 2 2" xfId="28886"/>
    <cellStyle name="Input 3 5 2 4 2 2 2" xfId="28887"/>
    <cellStyle name="Input 3 5 2 4 2 3" xfId="28888"/>
    <cellStyle name="Input 3 5 2 4 2 3 2" xfId="28889"/>
    <cellStyle name="Input 3 5 2 4 2 4" xfId="28890"/>
    <cellStyle name="Input 3 5 2 4 2 5" xfId="28891"/>
    <cellStyle name="Input 3 5 2 4 2 6" xfId="28892"/>
    <cellStyle name="Input 3 5 2 4 3" xfId="28893"/>
    <cellStyle name="Input 3 5 2 4 3 2" xfId="28894"/>
    <cellStyle name="Input 3 5 2 4 4" xfId="28895"/>
    <cellStyle name="Input 3 5 2 4 4 2" xfId="28896"/>
    <cellStyle name="Input 3 5 2 4 5" xfId="28897"/>
    <cellStyle name="Input 3 5 2 4 6" xfId="28898"/>
    <cellStyle name="Input 3 5 2 4 7" xfId="28899"/>
    <cellStyle name="Input 3 5 2 5" xfId="28900"/>
    <cellStyle name="Input 3 5 2 5 2" xfId="28901"/>
    <cellStyle name="Input 3 5 2 5 2 2" xfId="28902"/>
    <cellStyle name="Input 3 5 2 5 3" xfId="28903"/>
    <cellStyle name="Input 3 5 2 5 3 2" xfId="28904"/>
    <cellStyle name="Input 3 5 2 5 4" xfId="28905"/>
    <cellStyle name="Input 3 5 2 5 5" xfId="28906"/>
    <cellStyle name="Input 3 5 2 5 6" xfId="28907"/>
    <cellStyle name="Input 3 5 2 6" xfId="28908"/>
    <cellStyle name="Input 3 5 2 6 2" xfId="28909"/>
    <cellStyle name="Input 3 5 2 7" xfId="28910"/>
    <cellStyle name="Input 3 5 2 7 2" xfId="28911"/>
    <cellStyle name="Input 3 5 2 8" xfId="28912"/>
    <cellStyle name="Input 3 5 2 9" xfId="28913"/>
    <cellStyle name="Input 3 5 3" xfId="28914"/>
    <cellStyle name="Input 3 5 3 2" xfId="28915"/>
    <cellStyle name="Input 3 5 3 2 2" xfId="28916"/>
    <cellStyle name="Input 3 5 3 2 2 2" xfId="28917"/>
    <cellStyle name="Input 3 5 3 2 2 2 2" xfId="28918"/>
    <cellStyle name="Input 3 5 3 2 2 3" xfId="28919"/>
    <cellStyle name="Input 3 5 3 2 2 3 2" xfId="28920"/>
    <cellStyle name="Input 3 5 3 2 2 4" xfId="28921"/>
    <cellStyle name="Input 3 5 3 2 2 5" xfId="28922"/>
    <cellStyle name="Input 3 5 3 2 2 6" xfId="28923"/>
    <cellStyle name="Input 3 5 3 2 3" xfId="28924"/>
    <cellStyle name="Input 3 5 3 2 3 2" xfId="28925"/>
    <cellStyle name="Input 3 5 3 2 4" xfId="28926"/>
    <cellStyle name="Input 3 5 3 2 4 2" xfId="28927"/>
    <cellStyle name="Input 3 5 3 2 5" xfId="28928"/>
    <cellStyle name="Input 3 5 3 2 6" xfId="28929"/>
    <cellStyle name="Input 3 5 3 2 7" xfId="28930"/>
    <cellStyle name="Input 3 5 3 3" xfId="28931"/>
    <cellStyle name="Input 3 5 3 3 2" xfId="28932"/>
    <cellStyle name="Input 3 5 3 3 2 2" xfId="28933"/>
    <cellStyle name="Input 3 5 3 3 3" xfId="28934"/>
    <cellStyle name="Input 3 5 3 3 3 2" xfId="28935"/>
    <cellStyle name="Input 3 5 3 3 4" xfId="28936"/>
    <cellStyle name="Input 3 5 3 3 5" xfId="28937"/>
    <cellStyle name="Input 3 5 3 3 6" xfId="28938"/>
    <cellStyle name="Input 3 5 3 4" xfId="28939"/>
    <cellStyle name="Input 3 5 3 4 2" xfId="28940"/>
    <cellStyle name="Input 3 5 3 5" xfId="28941"/>
    <cellStyle name="Input 3 5 3 5 2" xfId="28942"/>
    <cellStyle name="Input 3 5 3 6" xfId="28943"/>
    <cellStyle name="Input 3 5 3 7" xfId="28944"/>
    <cellStyle name="Input 3 5 3 8" xfId="28945"/>
    <cellStyle name="Input 3 5 4" xfId="28946"/>
    <cellStyle name="Input 3 5 4 2" xfId="28947"/>
    <cellStyle name="Input 3 5 4 2 2" xfId="28948"/>
    <cellStyle name="Input 3 5 4 2 2 2" xfId="28949"/>
    <cellStyle name="Input 3 5 4 2 2 2 2" xfId="28950"/>
    <cellStyle name="Input 3 5 4 2 2 3" xfId="28951"/>
    <cellStyle name="Input 3 5 4 2 2 3 2" xfId="28952"/>
    <cellStyle name="Input 3 5 4 2 2 4" xfId="28953"/>
    <cellStyle name="Input 3 5 4 2 2 5" xfId="28954"/>
    <cellStyle name="Input 3 5 4 2 2 6" xfId="28955"/>
    <cellStyle name="Input 3 5 4 2 3" xfId="28956"/>
    <cellStyle name="Input 3 5 4 2 3 2" xfId="28957"/>
    <cellStyle name="Input 3 5 4 2 4" xfId="28958"/>
    <cellStyle name="Input 3 5 4 2 4 2" xfId="28959"/>
    <cellStyle name="Input 3 5 4 2 5" xfId="28960"/>
    <cellStyle name="Input 3 5 4 2 6" xfId="28961"/>
    <cellStyle name="Input 3 5 4 2 7" xfId="28962"/>
    <cellStyle name="Input 3 5 4 3" xfId="28963"/>
    <cellStyle name="Input 3 5 4 3 2" xfId="28964"/>
    <cellStyle name="Input 3 5 4 3 2 2" xfId="28965"/>
    <cellStyle name="Input 3 5 4 3 3" xfId="28966"/>
    <cellStyle name="Input 3 5 4 3 3 2" xfId="28967"/>
    <cellStyle name="Input 3 5 4 3 4" xfId="28968"/>
    <cellStyle name="Input 3 5 4 3 5" xfId="28969"/>
    <cellStyle name="Input 3 5 4 3 6" xfId="28970"/>
    <cellStyle name="Input 3 5 4 4" xfId="28971"/>
    <cellStyle name="Input 3 5 4 4 2" xfId="28972"/>
    <cellStyle name="Input 3 5 4 5" xfId="28973"/>
    <cellStyle name="Input 3 5 4 5 2" xfId="28974"/>
    <cellStyle name="Input 3 5 4 6" xfId="28975"/>
    <cellStyle name="Input 3 5 4 7" xfId="28976"/>
    <cellStyle name="Input 3 5 4 8" xfId="28977"/>
    <cellStyle name="Input 3 5 5" xfId="28978"/>
    <cellStyle name="Input 3 5 5 2" xfId="28979"/>
    <cellStyle name="Input 3 5 5 2 2" xfId="28980"/>
    <cellStyle name="Input 3 5 5 2 2 2" xfId="28981"/>
    <cellStyle name="Input 3 5 5 2 3" xfId="28982"/>
    <cellStyle name="Input 3 5 5 2 3 2" xfId="28983"/>
    <cellStyle name="Input 3 5 5 2 4" xfId="28984"/>
    <cellStyle name="Input 3 5 5 2 5" xfId="28985"/>
    <cellStyle name="Input 3 5 5 2 6" xfId="28986"/>
    <cellStyle name="Input 3 5 5 3" xfId="28987"/>
    <cellStyle name="Input 3 5 5 3 2" xfId="28988"/>
    <cellStyle name="Input 3 5 5 4" xfId="28989"/>
    <cellStyle name="Input 3 5 5 4 2" xfId="28990"/>
    <cellStyle name="Input 3 5 5 5" xfId="28991"/>
    <cellStyle name="Input 3 5 5 6" xfId="28992"/>
    <cellStyle name="Input 3 5 5 7" xfId="28993"/>
    <cellStyle name="Input 3 5 6" xfId="28994"/>
    <cellStyle name="Input 3 5 6 2" xfId="28995"/>
    <cellStyle name="Input 3 5 6 2 2" xfId="28996"/>
    <cellStyle name="Input 3 5 6 3" xfId="28997"/>
    <cellStyle name="Input 3 5 6 3 2" xfId="28998"/>
    <cellStyle name="Input 3 5 6 4" xfId="28999"/>
    <cellStyle name="Input 3 5 6 5" xfId="29000"/>
    <cellStyle name="Input 3 5 6 6" xfId="29001"/>
    <cellStyle name="Input 3 5 7" xfId="29002"/>
    <cellStyle name="Input 3 5 7 2" xfId="29003"/>
    <cellStyle name="Input 3 5 8" xfId="29004"/>
    <cellStyle name="Input 3 5 8 2" xfId="29005"/>
    <cellStyle name="Input 3 5 9" xfId="29006"/>
    <cellStyle name="Input 3 6" xfId="29007"/>
    <cellStyle name="Input 3 6 2" xfId="29008"/>
    <cellStyle name="Input 3 6 2 2" xfId="29009"/>
    <cellStyle name="Input 3 6 2 2 2" xfId="29010"/>
    <cellStyle name="Input 3 6 2 3" xfId="29011"/>
    <cellStyle name="Input 3 6 2 3 2" xfId="29012"/>
    <cellStyle name="Input 3 6 2 4" xfId="29013"/>
    <cellStyle name="Input 3 6 2 5" xfId="29014"/>
    <cellStyle name="Input 3 6 2 6" xfId="29015"/>
    <cellStyle name="Input 3 6 3" xfId="29016"/>
    <cellStyle name="Input 3 6 3 2" xfId="29017"/>
    <cellStyle name="Input 3 6 4" xfId="29018"/>
    <cellStyle name="Input 3 6 4 2" xfId="29019"/>
    <cellStyle name="Input 3 6 5" xfId="29020"/>
    <cellStyle name="Input 3 6 6" xfId="29021"/>
    <cellStyle name="Input 3 6 7" xfId="29022"/>
    <cellStyle name="Input 3 7" xfId="29023"/>
    <cellStyle name="Input 3 7 2" xfId="29024"/>
    <cellStyle name="Input 3 8" xfId="29025"/>
    <cellStyle name="Input 3 8 2" xfId="29026"/>
    <cellStyle name="Input 3 9" xfId="29027"/>
    <cellStyle name="Input 30" xfId="29028"/>
    <cellStyle name="Input 30 10" xfId="29029"/>
    <cellStyle name="Input 30 11" xfId="29030"/>
    <cellStyle name="Input 30 2" xfId="29031"/>
    <cellStyle name="Input 30 2 10" xfId="29032"/>
    <cellStyle name="Input 30 2 2" xfId="29033"/>
    <cellStyle name="Input 30 2 2 2" xfId="29034"/>
    <cellStyle name="Input 30 2 2 2 2" xfId="29035"/>
    <cellStyle name="Input 30 2 2 2 2 2" xfId="29036"/>
    <cellStyle name="Input 30 2 2 2 2 2 2" xfId="29037"/>
    <cellStyle name="Input 30 2 2 2 2 3" xfId="29038"/>
    <cellStyle name="Input 30 2 2 2 2 3 2" xfId="29039"/>
    <cellStyle name="Input 30 2 2 2 2 4" xfId="29040"/>
    <cellStyle name="Input 30 2 2 2 2 5" xfId="29041"/>
    <cellStyle name="Input 30 2 2 2 2 6" xfId="29042"/>
    <cellStyle name="Input 30 2 2 2 3" xfId="29043"/>
    <cellStyle name="Input 30 2 2 2 3 2" xfId="29044"/>
    <cellStyle name="Input 30 2 2 2 4" xfId="29045"/>
    <cellStyle name="Input 30 2 2 2 4 2" xfId="29046"/>
    <cellStyle name="Input 30 2 2 2 5" xfId="29047"/>
    <cellStyle name="Input 30 2 2 2 6" xfId="29048"/>
    <cellStyle name="Input 30 2 2 2 7" xfId="29049"/>
    <cellStyle name="Input 30 2 2 3" xfId="29050"/>
    <cellStyle name="Input 30 2 2 3 2" xfId="29051"/>
    <cellStyle name="Input 30 2 2 3 2 2" xfId="29052"/>
    <cellStyle name="Input 30 2 2 3 3" xfId="29053"/>
    <cellStyle name="Input 30 2 2 3 3 2" xfId="29054"/>
    <cellStyle name="Input 30 2 2 3 4" xfId="29055"/>
    <cellStyle name="Input 30 2 2 3 5" xfId="29056"/>
    <cellStyle name="Input 30 2 2 3 6" xfId="29057"/>
    <cellStyle name="Input 30 2 2 4" xfId="29058"/>
    <cellStyle name="Input 30 2 2 4 2" xfId="29059"/>
    <cellStyle name="Input 30 2 2 5" xfId="29060"/>
    <cellStyle name="Input 30 2 2 5 2" xfId="29061"/>
    <cellStyle name="Input 30 2 2 6" xfId="29062"/>
    <cellStyle name="Input 30 2 2 7" xfId="29063"/>
    <cellStyle name="Input 30 2 2 8" xfId="29064"/>
    <cellStyle name="Input 30 2 3" xfId="29065"/>
    <cellStyle name="Input 30 2 3 2" xfId="29066"/>
    <cellStyle name="Input 30 2 3 2 2" xfId="29067"/>
    <cellStyle name="Input 30 2 3 2 2 2" xfId="29068"/>
    <cellStyle name="Input 30 2 3 2 2 2 2" xfId="29069"/>
    <cellStyle name="Input 30 2 3 2 2 3" xfId="29070"/>
    <cellStyle name="Input 30 2 3 2 2 3 2" xfId="29071"/>
    <cellStyle name="Input 30 2 3 2 2 4" xfId="29072"/>
    <cellStyle name="Input 30 2 3 2 2 5" xfId="29073"/>
    <cellStyle name="Input 30 2 3 2 2 6" xfId="29074"/>
    <cellStyle name="Input 30 2 3 2 3" xfId="29075"/>
    <cellStyle name="Input 30 2 3 2 3 2" xfId="29076"/>
    <cellStyle name="Input 30 2 3 2 4" xfId="29077"/>
    <cellStyle name="Input 30 2 3 2 4 2" xfId="29078"/>
    <cellStyle name="Input 30 2 3 2 5" xfId="29079"/>
    <cellStyle name="Input 30 2 3 2 6" xfId="29080"/>
    <cellStyle name="Input 30 2 3 2 7" xfId="29081"/>
    <cellStyle name="Input 30 2 3 3" xfId="29082"/>
    <cellStyle name="Input 30 2 3 3 2" xfId="29083"/>
    <cellStyle name="Input 30 2 3 3 2 2" xfId="29084"/>
    <cellStyle name="Input 30 2 3 3 3" xfId="29085"/>
    <cellStyle name="Input 30 2 3 3 3 2" xfId="29086"/>
    <cellStyle name="Input 30 2 3 3 4" xfId="29087"/>
    <cellStyle name="Input 30 2 3 3 5" xfId="29088"/>
    <cellStyle name="Input 30 2 3 3 6" xfId="29089"/>
    <cellStyle name="Input 30 2 3 4" xfId="29090"/>
    <cellStyle name="Input 30 2 3 4 2" xfId="29091"/>
    <cellStyle name="Input 30 2 3 5" xfId="29092"/>
    <cellStyle name="Input 30 2 3 5 2" xfId="29093"/>
    <cellStyle name="Input 30 2 3 6" xfId="29094"/>
    <cellStyle name="Input 30 2 3 7" xfId="29095"/>
    <cellStyle name="Input 30 2 3 8" xfId="29096"/>
    <cellStyle name="Input 30 2 4" xfId="29097"/>
    <cellStyle name="Input 30 2 4 2" xfId="29098"/>
    <cellStyle name="Input 30 2 4 2 2" xfId="29099"/>
    <cellStyle name="Input 30 2 4 2 2 2" xfId="29100"/>
    <cellStyle name="Input 30 2 4 2 3" xfId="29101"/>
    <cellStyle name="Input 30 2 4 2 3 2" xfId="29102"/>
    <cellStyle name="Input 30 2 4 2 4" xfId="29103"/>
    <cellStyle name="Input 30 2 4 2 5" xfId="29104"/>
    <cellStyle name="Input 30 2 4 2 6" xfId="29105"/>
    <cellStyle name="Input 30 2 4 3" xfId="29106"/>
    <cellStyle name="Input 30 2 4 3 2" xfId="29107"/>
    <cellStyle name="Input 30 2 4 4" xfId="29108"/>
    <cellStyle name="Input 30 2 4 4 2" xfId="29109"/>
    <cellStyle name="Input 30 2 4 5" xfId="29110"/>
    <cellStyle name="Input 30 2 4 6" xfId="29111"/>
    <cellStyle name="Input 30 2 4 7" xfId="29112"/>
    <cellStyle name="Input 30 2 5" xfId="29113"/>
    <cellStyle name="Input 30 2 5 2" xfId="29114"/>
    <cellStyle name="Input 30 2 5 2 2" xfId="29115"/>
    <cellStyle name="Input 30 2 5 3" xfId="29116"/>
    <cellStyle name="Input 30 2 5 3 2" xfId="29117"/>
    <cellStyle name="Input 30 2 5 4" xfId="29118"/>
    <cellStyle name="Input 30 2 5 5" xfId="29119"/>
    <cellStyle name="Input 30 2 5 6" xfId="29120"/>
    <cellStyle name="Input 30 2 6" xfId="29121"/>
    <cellStyle name="Input 30 2 6 2" xfId="29122"/>
    <cellStyle name="Input 30 2 7" xfId="29123"/>
    <cellStyle name="Input 30 2 7 2" xfId="29124"/>
    <cellStyle name="Input 30 2 8" xfId="29125"/>
    <cellStyle name="Input 30 2 9" xfId="29126"/>
    <cellStyle name="Input 30 3" xfId="29127"/>
    <cellStyle name="Input 30 3 2" xfId="29128"/>
    <cellStyle name="Input 30 3 2 2" xfId="29129"/>
    <cellStyle name="Input 30 3 2 2 2" xfId="29130"/>
    <cellStyle name="Input 30 3 2 2 2 2" xfId="29131"/>
    <cellStyle name="Input 30 3 2 2 3" xfId="29132"/>
    <cellStyle name="Input 30 3 2 2 3 2" xfId="29133"/>
    <cellStyle name="Input 30 3 2 2 4" xfId="29134"/>
    <cellStyle name="Input 30 3 2 2 5" xfId="29135"/>
    <cellStyle name="Input 30 3 2 2 6" xfId="29136"/>
    <cellStyle name="Input 30 3 2 3" xfId="29137"/>
    <cellStyle name="Input 30 3 2 3 2" xfId="29138"/>
    <cellStyle name="Input 30 3 2 4" xfId="29139"/>
    <cellStyle name="Input 30 3 2 4 2" xfId="29140"/>
    <cellStyle name="Input 30 3 2 5" xfId="29141"/>
    <cellStyle name="Input 30 3 2 6" xfId="29142"/>
    <cellStyle name="Input 30 3 2 7" xfId="29143"/>
    <cellStyle name="Input 30 3 3" xfId="29144"/>
    <cellStyle name="Input 30 3 3 2" xfId="29145"/>
    <cellStyle name="Input 30 3 3 2 2" xfId="29146"/>
    <cellStyle name="Input 30 3 3 3" xfId="29147"/>
    <cellStyle name="Input 30 3 3 3 2" xfId="29148"/>
    <cellStyle name="Input 30 3 3 4" xfId="29149"/>
    <cellStyle name="Input 30 3 3 5" xfId="29150"/>
    <cellStyle name="Input 30 3 3 6" xfId="29151"/>
    <cellStyle name="Input 30 3 4" xfId="29152"/>
    <cellStyle name="Input 30 3 4 2" xfId="29153"/>
    <cellStyle name="Input 30 3 5" xfId="29154"/>
    <cellStyle name="Input 30 3 5 2" xfId="29155"/>
    <cellStyle name="Input 30 3 6" xfId="29156"/>
    <cellStyle name="Input 30 3 7" xfId="29157"/>
    <cellStyle name="Input 30 3 8" xfId="29158"/>
    <cellStyle name="Input 30 4" xfId="29159"/>
    <cellStyle name="Input 30 4 2" xfId="29160"/>
    <cellStyle name="Input 30 4 2 2" xfId="29161"/>
    <cellStyle name="Input 30 4 2 2 2" xfId="29162"/>
    <cellStyle name="Input 30 4 2 2 2 2" xfId="29163"/>
    <cellStyle name="Input 30 4 2 2 3" xfId="29164"/>
    <cellStyle name="Input 30 4 2 2 3 2" xfId="29165"/>
    <cellStyle name="Input 30 4 2 2 4" xfId="29166"/>
    <cellStyle name="Input 30 4 2 2 5" xfId="29167"/>
    <cellStyle name="Input 30 4 2 2 6" xfId="29168"/>
    <cellStyle name="Input 30 4 2 3" xfId="29169"/>
    <cellStyle name="Input 30 4 2 3 2" xfId="29170"/>
    <cellStyle name="Input 30 4 2 4" xfId="29171"/>
    <cellStyle name="Input 30 4 2 4 2" xfId="29172"/>
    <cellStyle name="Input 30 4 2 5" xfId="29173"/>
    <cellStyle name="Input 30 4 2 6" xfId="29174"/>
    <cellStyle name="Input 30 4 2 7" xfId="29175"/>
    <cellStyle name="Input 30 4 3" xfId="29176"/>
    <cellStyle name="Input 30 4 3 2" xfId="29177"/>
    <cellStyle name="Input 30 4 3 2 2" xfId="29178"/>
    <cellStyle name="Input 30 4 3 3" xfId="29179"/>
    <cellStyle name="Input 30 4 3 3 2" xfId="29180"/>
    <cellStyle name="Input 30 4 3 4" xfId="29181"/>
    <cellStyle name="Input 30 4 3 5" xfId="29182"/>
    <cellStyle name="Input 30 4 3 6" xfId="29183"/>
    <cellStyle name="Input 30 4 4" xfId="29184"/>
    <cellStyle name="Input 30 4 4 2" xfId="29185"/>
    <cellStyle name="Input 30 4 5" xfId="29186"/>
    <cellStyle name="Input 30 4 5 2" xfId="29187"/>
    <cellStyle name="Input 30 4 6" xfId="29188"/>
    <cellStyle name="Input 30 4 7" xfId="29189"/>
    <cellStyle name="Input 30 4 8" xfId="29190"/>
    <cellStyle name="Input 30 5" xfId="29191"/>
    <cellStyle name="Input 30 5 2" xfId="29192"/>
    <cellStyle name="Input 30 5 2 2" xfId="29193"/>
    <cellStyle name="Input 30 5 2 2 2" xfId="29194"/>
    <cellStyle name="Input 30 5 2 3" xfId="29195"/>
    <cellStyle name="Input 30 5 2 3 2" xfId="29196"/>
    <cellStyle name="Input 30 5 2 4" xfId="29197"/>
    <cellStyle name="Input 30 5 2 5" xfId="29198"/>
    <cellStyle name="Input 30 5 2 6" xfId="29199"/>
    <cellStyle name="Input 30 5 3" xfId="29200"/>
    <cellStyle name="Input 30 5 3 2" xfId="29201"/>
    <cellStyle name="Input 30 5 4" xfId="29202"/>
    <cellStyle name="Input 30 5 4 2" xfId="29203"/>
    <cellStyle name="Input 30 5 5" xfId="29204"/>
    <cellStyle name="Input 30 5 6" xfId="29205"/>
    <cellStyle name="Input 30 5 7" xfId="29206"/>
    <cellStyle name="Input 30 6" xfId="29207"/>
    <cellStyle name="Input 30 6 2" xfId="29208"/>
    <cellStyle name="Input 30 6 2 2" xfId="29209"/>
    <cellStyle name="Input 30 6 3" xfId="29210"/>
    <cellStyle name="Input 30 6 3 2" xfId="29211"/>
    <cellStyle name="Input 30 6 4" xfId="29212"/>
    <cellStyle name="Input 30 6 5" xfId="29213"/>
    <cellStyle name="Input 30 6 6" xfId="29214"/>
    <cellStyle name="Input 30 7" xfId="29215"/>
    <cellStyle name="Input 30 7 2" xfId="29216"/>
    <cellStyle name="Input 30 8" xfId="29217"/>
    <cellStyle name="Input 30 8 2" xfId="29218"/>
    <cellStyle name="Input 30 9" xfId="29219"/>
    <cellStyle name="Input 31" xfId="29220"/>
    <cellStyle name="Input 31 10" xfId="29221"/>
    <cellStyle name="Input 31 11" xfId="29222"/>
    <cellStyle name="Input 31 2" xfId="29223"/>
    <cellStyle name="Input 31 2 10" xfId="29224"/>
    <cellStyle name="Input 31 2 2" xfId="29225"/>
    <cellStyle name="Input 31 2 2 2" xfId="29226"/>
    <cellStyle name="Input 31 2 2 2 2" xfId="29227"/>
    <cellStyle name="Input 31 2 2 2 2 2" xfId="29228"/>
    <cellStyle name="Input 31 2 2 2 2 2 2" xfId="29229"/>
    <cellStyle name="Input 31 2 2 2 2 3" xfId="29230"/>
    <cellStyle name="Input 31 2 2 2 2 3 2" xfId="29231"/>
    <cellStyle name="Input 31 2 2 2 2 4" xfId="29232"/>
    <cellStyle name="Input 31 2 2 2 2 5" xfId="29233"/>
    <cellStyle name="Input 31 2 2 2 2 6" xfId="29234"/>
    <cellStyle name="Input 31 2 2 2 3" xfId="29235"/>
    <cellStyle name="Input 31 2 2 2 3 2" xfId="29236"/>
    <cellStyle name="Input 31 2 2 2 4" xfId="29237"/>
    <cellStyle name="Input 31 2 2 2 4 2" xfId="29238"/>
    <cellStyle name="Input 31 2 2 2 5" xfId="29239"/>
    <cellStyle name="Input 31 2 2 2 6" xfId="29240"/>
    <cellStyle name="Input 31 2 2 2 7" xfId="29241"/>
    <cellStyle name="Input 31 2 2 3" xfId="29242"/>
    <cellStyle name="Input 31 2 2 3 2" xfId="29243"/>
    <cellStyle name="Input 31 2 2 3 2 2" xfId="29244"/>
    <cellStyle name="Input 31 2 2 3 3" xfId="29245"/>
    <cellStyle name="Input 31 2 2 3 3 2" xfId="29246"/>
    <cellStyle name="Input 31 2 2 3 4" xfId="29247"/>
    <cellStyle name="Input 31 2 2 3 5" xfId="29248"/>
    <cellStyle name="Input 31 2 2 3 6" xfId="29249"/>
    <cellStyle name="Input 31 2 2 4" xfId="29250"/>
    <cellStyle name="Input 31 2 2 4 2" xfId="29251"/>
    <cellStyle name="Input 31 2 2 5" xfId="29252"/>
    <cellStyle name="Input 31 2 2 5 2" xfId="29253"/>
    <cellStyle name="Input 31 2 2 6" xfId="29254"/>
    <cellStyle name="Input 31 2 2 7" xfId="29255"/>
    <cellStyle name="Input 31 2 2 8" xfId="29256"/>
    <cellStyle name="Input 31 2 3" xfId="29257"/>
    <cellStyle name="Input 31 2 3 2" xfId="29258"/>
    <cellStyle name="Input 31 2 3 2 2" xfId="29259"/>
    <cellStyle name="Input 31 2 3 2 2 2" xfId="29260"/>
    <cellStyle name="Input 31 2 3 2 2 2 2" xfId="29261"/>
    <cellStyle name="Input 31 2 3 2 2 3" xfId="29262"/>
    <cellStyle name="Input 31 2 3 2 2 3 2" xfId="29263"/>
    <cellStyle name="Input 31 2 3 2 2 4" xfId="29264"/>
    <cellStyle name="Input 31 2 3 2 2 5" xfId="29265"/>
    <cellStyle name="Input 31 2 3 2 2 6" xfId="29266"/>
    <cellStyle name="Input 31 2 3 2 3" xfId="29267"/>
    <cellStyle name="Input 31 2 3 2 3 2" xfId="29268"/>
    <cellStyle name="Input 31 2 3 2 4" xfId="29269"/>
    <cellStyle name="Input 31 2 3 2 4 2" xfId="29270"/>
    <cellStyle name="Input 31 2 3 2 5" xfId="29271"/>
    <cellStyle name="Input 31 2 3 2 6" xfId="29272"/>
    <cellStyle name="Input 31 2 3 2 7" xfId="29273"/>
    <cellStyle name="Input 31 2 3 3" xfId="29274"/>
    <cellStyle name="Input 31 2 3 3 2" xfId="29275"/>
    <cellStyle name="Input 31 2 3 3 2 2" xfId="29276"/>
    <cellStyle name="Input 31 2 3 3 3" xfId="29277"/>
    <cellStyle name="Input 31 2 3 3 3 2" xfId="29278"/>
    <cellStyle name="Input 31 2 3 3 4" xfId="29279"/>
    <cellStyle name="Input 31 2 3 3 5" xfId="29280"/>
    <cellStyle name="Input 31 2 3 3 6" xfId="29281"/>
    <cellStyle name="Input 31 2 3 4" xfId="29282"/>
    <cellStyle name="Input 31 2 3 4 2" xfId="29283"/>
    <cellStyle name="Input 31 2 3 5" xfId="29284"/>
    <cellStyle name="Input 31 2 3 5 2" xfId="29285"/>
    <cellStyle name="Input 31 2 3 6" xfId="29286"/>
    <cellStyle name="Input 31 2 3 7" xfId="29287"/>
    <cellStyle name="Input 31 2 3 8" xfId="29288"/>
    <cellStyle name="Input 31 2 4" xfId="29289"/>
    <cellStyle name="Input 31 2 4 2" xfId="29290"/>
    <cellStyle name="Input 31 2 4 2 2" xfId="29291"/>
    <cellStyle name="Input 31 2 4 2 2 2" xfId="29292"/>
    <cellStyle name="Input 31 2 4 2 3" xfId="29293"/>
    <cellStyle name="Input 31 2 4 2 3 2" xfId="29294"/>
    <cellStyle name="Input 31 2 4 2 4" xfId="29295"/>
    <cellStyle name="Input 31 2 4 2 5" xfId="29296"/>
    <cellStyle name="Input 31 2 4 2 6" xfId="29297"/>
    <cellStyle name="Input 31 2 4 3" xfId="29298"/>
    <cellStyle name="Input 31 2 4 3 2" xfId="29299"/>
    <cellStyle name="Input 31 2 4 4" xfId="29300"/>
    <cellStyle name="Input 31 2 4 4 2" xfId="29301"/>
    <cellStyle name="Input 31 2 4 5" xfId="29302"/>
    <cellStyle name="Input 31 2 4 6" xfId="29303"/>
    <cellStyle name="Input 31 2 4 7" xfId="29304"/>
    <cellStyle name="Input 31 2 5" xfId="29305"/>
    <cellStyle name="Input 31 2 5 2" xfId="29306"/>
    <cellStyle name="Input 31 2 5 2 2" xfId="29307"/>
    <cellStyle name="Input 31 2 5 3" xfId="29308"/>
    <cellStyle name="Input 31 2 5 3 2" xfId="29309"/>
    <cellStyle name="Input 31 2 5 4" xfId="29310"/>
    <cellStyle name="Input 31 2 5 5" xfId="29311"/>
    <cellStyle name="Input 31 2 5 6" xfId="29312"/>
    <cellStyle name="Input 31 2 6" xfId="29313"/>
    <cellStyle name="Input 31 2 6 2" xfId="29314"/>
    <cellStyle name="Input 31 2 7" xfId="29315"/>
    <cellStyle name="Input 31 2 7 2" xfId="29316"/>
    <cellStyle name="Input 31 2 8" xfId="29317"/>
    <cellStyle name="Input 31 2 9" xfId="29318"/>
    <cellStyle name="Input 31 3" xfId="29319"/>
    <cellStyle name="Input 31 3 2" xfId="29320"/>
    <cellStyle name="Input 31 3 2 2" xfId="29321"/>
    <cellStyle name="Input 31 3 2 2 2" xfId="29322"/>
    <cellStyle name="Input 31 3 2 2 2 2" xfId="29323"/>
    <cellStyle name="Input 31 3 2 2 3" xfId="29324"/>
    <cellStyle name="Input 31 3 2 2 3 2" xfId="29325"/>
    <cellStyle name="Input 31 3 2 2 4" xfId="29326"/>
    <cellStyle name="Input 31 3 2 2 5" xfId="29327"/>
    <cellStyle name="Input 31 3 2 2 6" xfId="29328"/>
    <cellStyle name="Input 31 3 2 3" xfId="29329"/>
    <cellStyle name="Input 31 3 2 3 2" xfId="29330"/>
    <cellStyle name="Input 31 3 2 4" xfId="29331"/>
    <cellStyle name="Input 31 3 2 4 2" xfId="29332"/>
    <cellStyle name="Input 31 3 2 5" xfId="29333"/>
    <cellStyle name="Input 31 3 2 6" xfId="29334"/>
    <cellStyle name="Input 31 3 2 7" xfId="29335"/>
    <cellStyle name="Input 31 3 3" xfId="29336"/>
    <cellStyle name="Input 31 3 3 2" xfId="29337"/>
    <cellStyle name="Input 31 3 3 2 2" xfId="29338"/>
    <cellStyle name="Input 31 3 3 3" xfId="29339"/>
    <cellStyle name="Input 31 3 3 3 2" xfId="29340"/>
    <cellStyle name="Input 31 3 3 4" xfId="29341"/>
    <cellStyle name="Input 31 3 3 5" xfId="29342"/>
    <cellStyle name="Input 31 3 3 6" xfId="29343"/>
    <cellStyle name="Input 31 3 4" xfId="29344"/>
    <cellStyle name="Input 31 3 4 2" xfId="29345"/>
    <cellStyle name="Input 31 3 5" xfId="29346"/>
    <cellStyle name="Input 31 3 5 2" xfId="29347"/>
    <cellStyle name="Input 31 3 6" xfId="29348"/>
    <cellStyle name="Input 31 3 7" xfId="29349"/>
    <cellStyle name="Input 31 3 8" xfId="29350"/>
    <cellStyle name="Input 31 4" xfId="29351"/>
    <cellStyle name="Input 31 4 2" xfId="29352"/>
    <cellStyle name="Input 31 4 2 2" xfId="29353"/>
    <cellStyle name="Input 31 4 2 2 2" xfId="29354"/>
    <cellStyle name="Input 31 4 2 2 2 2" xfId="29355"/>
    <cellStyle name="Input 31 4 2 2 3" xfId="29356"/>
    <cellStyle name="Input 31 4 2 2 3 2" xfId="29357"/>
    <cellStyle name="Input 31 4 2 2 4" xfId="29358"/>
    <cellStyle name="Input 31 4 2 2 5" xfId="29359"/>
    <cellStyle name="Input 31 4 2 2 6" xfId="29360"/>
    <cellStyle name="Input 31 4 2 3" xfId="29361"/>
    <cellStyle name="Input 31 4 2 3 2" xfId="29362"/>
    <cellStyle name="Input 31 4 2 4" xfId="29363"/>
    <cellStyle name="Input 31 4 2 4 2" xfId="29364"/>
    <cellStyle name="Input 31 4 2 5" xfId="29365"/>
    <cellStyle name="Input 31 4 2 6" xfId="29366"/>
    <cellStyle name="Input 31 4 2 7" xfId="29367"/>
    <cellStyle name="Input 31 4 3" xfId="29368"/>
    <cellStyle name="Input 31 4 3 2" xfId="29369"/>
    <cellStyle name="Input 31 4 3 2 2" xfId="29370"/>
    <cellStyle name="Input 31 4 3 3" xfId="29371"/>
    <cellStyle name="Input 31 4 3 3 2" xfId="29372"/>
    <cellStyle name="Input 31 4 3 4" xfId="29373"/>
    <cellStyle name="Input 31 4 3 5" xfId="29374"/>
    <cellStyle name="Input 31 4 3 6" xfId="29375"/>
    <cellStyle name="Input 31 4 4" xfId="29376"/>
    <cellStyle name="Input 31 4 4 2" xfId="29377"/>
    <cellStyle name="Input 31 4 5" xfId="29378"/>
    <cellStyle name="Input 31 4 5 2" xfId="29379"/>
    <cellStyle name="Input 31 4 6" xfId="29380"/>
    <cellStyle name="Input 31 4 7" xfId="29381"/>
    <cellStyle name="Input 31 4 8" xfId="29382"/>
    <cellStyle name="Input 31 5" xfId="29383"/>
    <cellStyle name="Input 31 5 2" xfId="29384"/>
    <cellStyle name="Input 31 5 2 2" xfId="29385"/>
    <cellStyle name="Input 31 5 2 2 2" xfId="29386"/>
    <cellStyle name="Input 31 5 2 3" xfId="29387"/>
    <cellStyle name="Input 31 5 2 3 2" xfId="29388"/>
    <cellStyle name="Input 31 5 2 4" xfId="29389"/>
    <cellStyle name="Input 31 5 2 5" xfId="29390"/>
    <cellStyle name="Input 31 5 2 6" xfId="29391"/>
    <cellStyle name="Input 31 5 3" xfId="29392"/>
    <cellStyle name="Input 31 5 3 2" xfId="29393"/>
    <cellStyle name="Input 31 5 4" xfId="29394"/>
    <cellStyle name="Input 31 5 4 2" xfId="29395"/>
    <cellStyle name="Input 31 5 5" xfId="29396"/>
    <cellStyle name="Input 31 5 6" xfId="29397"/>
    <cellStyle name="Input 31 5 7" xfId="29398"/>
    <cellStyle name="Input 31 6" xfId="29399"/>
    <cellStyle name="Input 31 6 2" xfId="29400"/>
    <cellStyle name="Input 31 6 2 2" xfId="29401"/>
    <cellStyle name="Input 31 6 3" xfId="29402"/>
    <cellStyle name="Input 31 6 3 2" xfId="29403"/>
    <cellStyle name="Input 31 6 4" xfId="29404"/>
    <cellStyle name="Input 31 6 5" xfId="29405"/>
    <cellStyle name="Input 31 6 6" xfId="29406"/>
    <cellStyle name="Input 31 7" xfId="29407"/>
    <cellStyle name="Input 31 7 2" xfId="29408"/>
    <cellStyle name="Input 31 8" xfId="29409"/>
    <cellStyle name="Input 31 8 2" xfId="29410"/>
    <cellStyle name="Input 31 9" xfId="29411"/>
    <cellStyle name="Input 32" xfId="29412"/>
    <cellStyle name="Input 32 10" xfId="29413"/>
    <cellStyle name="Input 32 2" xfId="29414"/>
    <cellStyle name="Input 32 2 10" xfId="29415"/>
    <cellStyle name="Input 32 2 2" xfId="29416"/>
    <cellStyle name="Input 32 2 2 2" xfId="29417"/>
    <cellStyle name="Input 32 2 2 2 2" xfId="29418"/>
    <cellStyle name="Input 32 2 2 2 2 2" xfId="29419"/>
    <cellStyle name="Input 32 2 2 2 2 2 2" xfId="29420"/>
    <cellStyle name="Input 32 2 2 2 2 3" xfId="29421"/>
    <cellStyle name="Input 32 2 2 2 2 3 2" xfId="29422"/>
    <cellStyle name="Input 32 2 2 2 2 4" xfId="29423"/>
    <cellStyle name="Input 32 2 2 2 2 5" xfId="29424"/>
    <cellStyle name="Input 32 2 2 2 2 6" xfId="29425"/>
    <cellStyle name="Input 32 2 2 2 3" xfId="29426"/>
    <cellStyle name="Input 32 2 2 2 3 2" xfId="29427"/>
    <cellStyle name="Input 32 2 2 2 4" xfId="29428"/>
    <cellStyle name="Input 32 2 2 2 4 2" xfId="29429"/>
    <cellStyle name="Input 32 2 2 2 5" xfId="29430"/>
    <cellStyle name="Input 32 2 2 2 6" xfId="29431"/>
    <cellStyle name="Input 32 2 2 2 7" xfId="29432"/>
    <cellStyle name="Input 32 2 2 3" xfId="29433"/>
    <cellStyle name="Input 32 2 2 3 2" xfId="29434"/>
    <cellStyle name="Input 32 2 2 3 2 2" xfId="29435"/>
    <cellStyle name="Input 32 2 2 3 3" xfId="29436"/>
    <cellStyle name="Input 32 2 2 3 3 2" xfId="29437"/>
    <cellStyle name="Input 32 2 2 3 4" xfId="29438"/>
    <cellStyle name="Input 32 2 2 3 5" xfId="29439"/>
    <cellStyle name="Input 32 2 2 3 6" xfId="29440"/>
    <cellStyle name="Input 32 2 2 4" xfId="29441"/>
    <cellStyle name="Input 32 2 2 4 2" xfId="29442"/>
    <cellStyle name="Input 32 2 2 5" xfId="29443"/>
    <cellStyle name="Input 32 2 2 5 2" xfId="29444"/>
    <cellStyle name="Input 32 2 2 6" xfId="29445"/>
    <cellStyle name="Input 32 2 2 7" xfId="29446"/>
    <cellStyle name="Input 32 2 2 8" xfId="29447"/>
    <cellStyle name="Input 32 2 3" xfId="29448"/>
    <cellStyle name="Input 32 2 3 2" xfId="29449"/>
    <cellStyle name="Input 32 2 3 2 2" xfId="29450"/>
    <cellStyle name="Input 32 2 3 2 2 2" xfId="29451"/>
    <cellStyle name="Input 32 2 3 2 2 2 2" xfId="29452"/>
    <cellStyle name="Input 32 2 3 2 2 3" xfId="29453"/>
    <cellStyle name="Input 32 2 3 2 2 3 2" xfId="29454"/>
    <cellStyle name="Input 32 2 3 2 2 4" xfId="29455"/>
    <cellStyle name="Input 32 2 3 2 2 5" xfId="29456"/>
    <cellStyle name="Input 32 2 3 2 2 6" xfId="29457"/>
    <cellStyle name="Input 32 2 3 2 3" xfId="29458"/>
    <cellStyle name="Input 32 2 3 2 3 2" xfId="29459"/>
    <cellStyle name="Input 32 2 3 2 4" xfId="29460"/>
    <cellStyle name="Input 32 2 3 2 4 2" xfId="29461"/>
    <cellStyle name="Input 32 2 3 2 5" xfId="29462"/>
    <cellStyle name="Input 32 2 3 2 6" xfId="29463"/>
    <cellStyle name="Input 32 2 3 2 7" xfId="29464"/>
    <cellStyle name="Input 32 2 3 3" xfId="29465"/>
    <cellStyle name="Input 32 2 3 3 2" xfId="29466"/>
    <cellStyle name="Input 32 2 3 3 2 2" xfId="29467"/>
    <cellStyle name="Input 32 2 3 3 3" xfId="29468"/>
    <cellStyle name="Input 32 2 3 3 3 2" xfId="29469"/>
    <cellStyle name="Input 32 2 3 3 4" xfId="29470"/>
    <cellStyle name="Input 32 2 3 3 5" xfId="29471"/>
    <cellStyle name="Input 32 2 3 3 6" xfId="29472"/>
    <cellStyle name="Input 32 2 3 4" xfId="29473"/>
    <cellStyle name="Input 32 2 3 4 2" xfId="29474"/>
    <cellStyle name="Input 32 2 3 5" xfId="29475"/>
    <cellStyle name="Input 32 2 3 5 2" xfId="29476"/>
    <cellStyle name="Input 32 2 3 6" xfId="29477"/>
    <cellStyle name="Input 32 2 3 7" xfId="29478"/>
    <cellStyle name="Input 32 2 3 8" xfId="29479"/>
    <cellStyle name="Input 32 2 4" xfId="29480"/>
    <cellStyle name="Input 32 2 4 2" xfId="29481"/>
    <cellStyle name="Input 32 2 4 2 2" xfId="29482"/>
    <cellStyle name="Input 32 2 4 2 2 2" xfId="29483"/>
    <cellStyle name="Input 32 2 4 2 3" xfId="29484"/>
    <cellStyle name="Input 32 2 4 2 3 2" xfId="29485"/>
    <cellStyle name="Input 32 2 4 2 4" xfId="29486"/>
    <cellStyle name="Input 32 2 4 2 5" xfId="29487"/>
    <cellStyle name="Input 32 2 4 2 6" xfId="29488"/>
    <cellStyle name="Input 32 2 4 3" xfId="29489"/>
    <cellStyle name="Input 32 2 4 3 2" xfId="29490"/>
    <cellStyle name="Input 32 2 4 4" xfId="29491"/>
    <cellStyle name="Input 32 2 4 4 2" xfId="29492"/>
    <cellStyle name="Input 32 2 4 5" xfId="29493"/>
    <cellStyle name="Input 32 2 4 6" xfId="29494"/>
    <cellStyle name="Input 32 2 4 7" xfId="29495"/>
    <cellStyle name="Input 32 2 5" xfId="29496"/>
    <cellStyle name="Input 32 2 5 2" xfId="29497"/>
    <cellStyle name="Input 32 2 5 2 2" xfId="29498"/>
    <cellStyle name="Input 32 2 5 3" xfId="29499"/>
    <cellStyle name="Input 32 2 5 3 2" xfId="29500"/>
    <cellStyle name="Input 32 2 5 4" xfId="29501"/>
    <cellStyle name="Input 32 2 5 5" xfId="29502"/>
    <cellStyle name="Input 32 2 5 6" xfId="29503"/>
    <cellStyle name="Input 32 2 6" xfId="29504"/>
    <cellStyle name="Input 32 2 6 2" xfId="29505"/>
    <cellStyle name="Input 32 2 7" xfId="29506"/>
    <cellStyle name="Input 32 2 7 2" xfId="29507"/>
    <cellStyle name="Input 32 2 8" xfId="29508"/>
    <cellStyle name="Input 32 2 9" xfId="29509"/>
    <cellStyle name="Input 32 3" xfId="29510"/>
    <cellStyle name="Input 32 3 2" xfId="29511"/>
    <cellStyle name="Input 32 3 2 2" xfId="29512"/>
    <cellStyle name="Input 32 3 2 2 2" xfId="29513"/>
    <cellStyle name="Input 32 3 2 2 2 2" xfId="29514"/>
    <cellStyle name="Input 32 3 2 2 3" xfId="29515"/>
    <cellStyle name="Input 32 3 2 2 3 2" xfId="29516"/>
    <cellStyle name="Input 32 3 2 2 4" xfId="29517"/>
    <cellStyle name="Input 32 3 2 2 5" xfId="29518"/>
    <cellStyle name="Input 32 3 2 2 6" xfId="29519"/>
    <cellStyle name="Input 32 3 2 3" xfId="29520"/>
    <cellStyle name="Input 32 3 2 3 2" xfId="29521"/>
    <cellStyle name="Input 32 3 2 4" xfId="29522"/>
    <cellStyle name="Input 32 3 2 4 2" xfId="29523"/>
    <cellStyle name="Input 32 3 2 5" xfId="29524"/>
    <cellStyle name="Input 32 3 2 6" xfId="29525"/>
    <cellStyle name="Input 32 3 2 7" xfId="29526"/>
    <cellStyle name="Input 32 3 3" xfId="29527"/>
    <cellStyle name="Input 32 3 3 2" xfId="29528"/>
    <cellStyle name="Input 32 3 3 2 2" xfId="29529"/>
    <cellStyle name="Input 32 3 3 3" xfId="29530"/>
    <cellStyle name="Input 32 3 3 3 2" xfId="29531"/>
    <cellStyle name="Input 32 3 3 4" xfId="29532"/>
    <cellStyle name="Input 32 3 3 5" xfId="29533"/>
    <cellStyle name="Input 32 3 3 6" xfId="29534"/>
    <cellStyle name="Input 32 3 4" xfId="29535"/>
    <cellStyle name="Input 32 3 4 2" xfId="29536"/>
    <cellStyle name="Input 32 3 5" xfId="29537"/>
    <cellStyle name="Input 32 3 5 2" xfId="29538"/>
    <cellStyle name="Input 32 3 6" xfId="29539"/>
    <cellStyle name="Input 32 3 7" xfId="29540"/>
    <cellStyle name="Input 32 3 8" xfId="29541"/>
    <cellStyle name="Input 32 4" xfId="29542"/>
    <cellStyle name="Input 32 4 2" xfId="29543"/>
    <cellStyle name="Input 32 4 2 2" xfId="29544"/>
    <cellStyle name="Input 32 4 2 2 2" xfId="29545"/>
    <cellStyle name="Input 32 4 2 3" xfId="29546"/>
    <cellStyle name="Input 32 4 2 3 2" xfId="29547"/>
    <cellStyle name="Input 32 4 2 4" xfId="29548"/>
    <cellStyle name="Input 32 4 2 5" xfId="29549"/>
    <cellStyle name="Input 32 4 2 6" xfId="29550"/>
    <cellStyle name="Input 32 4 3" xfId="29551"/>
    <cellStyle name="Input 32 4 3 2" xfId="29552"/>
    <cellStyle name="Input 32 4 4" xfId="29553"/>
    <cellStyle name="Input 32 4 4 2" xfId="29554"/>
    <cellStyle name="Input 32 4 5" xfId="29555"/>
    <cellStyle name="Input 32 4 6" xfId="29556"/>
    <cellStyle name="Input 32 4 7" xfId="29557"/>
    <cellStyle name="Input 32 5" xfId="29558"/>
    <cellStyle name="Input 32 5 2" xfId="29559"/>
    <cellStyle name="Input 32 5 2 2" xfId="29560"/>
    <cellStyle name="Input 32 5 3" xfId="29561"/>
    <cellStyle name="Input 32 5 3 2" xfId="29562"/>
    <cellStyle name="Input 32 5 4" xfId="29563"/>
    <cellStyle name="Input 32 5 5" xfId="29564"/>
    <cellStyle name="Input 32 5 6" xfId="29565"/>
    <cellStyle name="Input 32 6" xfId="29566"/>
    <cellStyle name="Input 32 6 2" xfId="29567"/>
    <cellStyle name="Input 32 7" xfId="29568"/>
    <cellStyle name="Input 32 7 2" xfId="29569"/>
    <cellStyle name="Input 32 8" xfId="29570"/>
    <cellStyle name="Input 32 9" xfId="29571"/>
    <cellStyle name="Input 33" xfId="29572"/>
    <cellStyle name="Input 33 10" xfId="29573"/>
    <cellStyle name="Input 33 2" xfId="29574"/>
    <cellStyle name="Input 33 2 2" xfId="29575"/>
    <cellStyle name="Input 33 2 2 2" xfId="29576"/>
    <cellStyle name="Input 33 2 2 2 2" xfId="29577"/>
    <cellStyle name="Input 33 2 2 2 2 2" xfId="29578"/>
    <cellStyle name="Input 33 2 2 2 3" xfId="29579"/>
    <cellStyle name="Input 33 2 2 2 3 2" xfId="29580"/>
    <cellStyle name="Input 33 2 2 2 4" xfId="29581"/>
    <cellStyle name="Input 33 2 2 2 5" xfId="29582"/>
    <cellStyle name="Input 33 2 2 2 6" xfId="29583"/>
    <cellStyle name="Input 33 2 2 3" xfId="29584"/>
    <cellStyle name="Input 33 2 2 3 2" xfId="29585"/>
    <cellStyle name="Input 33 2 2 4" xfId="29586"/>
    <cellStyle name="Input 33 2 2 4 2" xfId="29587"/>
    <cellStyle name="Input 33 2 2 5" xfId="29588"/>
    <cellStyle name="Input 33 2 2 6" xfId="29589"/>
    <cellStyle name="Input 33 2 2 7" xfId="29590"/>
    <cellStyle name="Input 33 2 3" xfId="29591"/>
    <cellStyle name="Input 33 2 3 2" xfId="29592"/>
    <cellStyle name="Input 33 2 3 2 2" xfId="29593"/>
    <cellStyle name="Input 33 2 3 3" xfId="29594"/>
    <cellStyle name="Input 33 2 3 3 2" xfId="29595"/>
    <cellStyle name="Input 33 2 3 4" xfId="29596"/>
    <cellStyle name="Input 33 2 3 5" xfId="29597"/>
    <cellStyle name="Input 33 2 3 6" xfId="29598"/>
    <cellStyle name="Input 33 2 4" xfId="29599"/>
    <cellStyle name="Input 33 2 4 2" xfId="29600"/>
    <cellStyle name="Input 33 2 5" xfId="29601"/>
    <cellStyle name="Input 33 2 5 2" xfId="29602"/>
    <cellStyle name="Input 33 2 6" xfId="29603"/>
    <cellStyle name="Input 33 2 7" xfId="29604"/>
    <cellStyle name="Input 33 2 8" xfId="29605"/>
    <cellStyle name="Input 33 3" xfId="29606"/>
    <cellStyle name="Input 33 3 2" xfId="29607"/>
    <cellStyle name="Input 33 3 2 2" xfId="29608"/>
    <cellStyle name="Input 33 3 2 2 2" xfId="29609"/>
    <cellStyle name="Input 33 3 2 2 2 2" xfId="29610"/>
    <cellStyle name="Input 33 3 2 2 3" xfId="29611"/>
    <cellStyle name="Input 33 3 2 2 3 2" xfId="29612"/>
    <cellStyle name="Input 33 3 2 2 4" xfId="29613"/>
    <cellStyle name="Input 33 3 2 2 5" xfId="29614"/>
    <cellStyle name="Input 33 3 2 2 6" xfId="29615"/>
    <cellStyle name="Input 33 3 2 3" xfId="29616"/>
    <cellStyle name="Input 33 3 2 3 2" xfId="29617"/>
    <cellStyle name="Input 33 3 2 4" xfId="29618"/>
    <cellStyle name="Input 33 3 2 4 2" xfId="29619"/>
    <cellStyle name="Input 33 3 2 5" xfId="29620"/>
    <cellStyle name="Input 33 3 2 6" xfId="29621"/>
    <cellStyle name="Input 33 3 2 7" xfId="29622"/>
    <cellStyle name="Input 33 3 3" xfId="29623"/>
    <cellStyle name="Input 33 3 3 2" xfId="29624"/>
    <cellStyle name="Input 33 3 3 2 2" xfId="29625"/>
    <cellStyle name="Input 33 3 3 3" xfId="29626"/>
    <cellStyle name="Input 33 3 3 3 2" xfId="29627"/>
    <cellStyle name="Input 33 3 3 4" xfId="29628"/>
    <cellStyle name="Input 33 3 3 5" xfId="29629"/>
    <cellStyle name="Input 33 3 3 6" xfId="29630"/>
    <cellStyle name="Input 33 3 4" xfId="29631"/>
    <cellStyle name="Input 33 3 4 2" xfId="29632"/>
    <cellStyle name="Input 33 3 5" xfId="29633"/>
    <cellStyle name="Input 33 3 5 2" xfId="29634"/>
    <cellStyle name="Input 33 3 6" xfId="29635"/>
    <cellStyle name="Input 33 3 7" xfId="29636"/>
    <cellStyle name="Input 33 3 8" xfId="29637"/>
    <cellStyle name="Input 33 4" xfId="29638"/>
    <cellStyle name="Input 33 4 2" xfId="29639"/>
    <cellStyle name="Input 33 4 2 2" xfId="29640"/>
    <cellStyle name="Input 33 4 2 2 2" xfId="29641"/>
    <cellStyle name="Input 33 4 2 3" xfId="29642"/>
    <cellStyle name="Input 33 4 2 3 2" xfId="29643"/>
    <cellStyle name="Input 33 4 2 4" xfId="29644"/>
    <cellStyle name="Input 33 4 2 5" xfId="29645"/>
    <cellStyle name="Input 33 4 2 6" xfId="29646"/>
    <cellStyle name="Input 33 4 3" xfId="29647"/>
    <cellStyle name="Input 33 4 3 2" xfId="29648"/>
    <cellStyle name="Input 33 4 4" xfId="29649"/>
    <cellStyle name="Input 33 4 4 2" xfId="29650"/>
    <cellStyle name="Input 33 4 5" xfId="29651"/>
    <cellStyle name="Input 33 4 6" xfId="29652"/>
    <cellStyle name="Input 33 4 7" xfId="29653"/>
    <cellStyle name="Input 33 5" xfId="29654"/>
    <cellStyle name="Input 33 5 2" xfId="29655"/>
    <cellStyle name="Input 33 5 2 2" xfId="29656"/>
    <cellStyle name="Input 33 5 3" xfId="29657"/>
    <cellStyle name="Input 33 5 3 2" xfId="29658"/>
    <cellStyle name="Input 33 5 4" xfId="29659"/>
    <cellStyle name="Input 33 5 5" xfId="29660"/>
    <cellStyle name="Input 33 5 6" xfId="29661"/>
    <cellStyle name="Input 33 6" xfId="29662"/>
    <cellStyle name="Input 33 6 2" xfId="29663"/>
    <cellStyle name="Input 33 7" xfId="29664"/>
    <cellStyle name="Input 33 7 2" xfId="29665"/>
    <cellStyle name="Input 33 8" xfId="29666"/>
    <cellStyle name="Input 33 9" xfId="29667"/>
    <cellStyle name="Input 34" xfId="29668"/>
    <cellStyle name="Input 34 10" xfId="29669"/>
    <cellStyle name="Input 34 2" xfId="29670"/>
    <cellStyle name="Input 34 2 10" xfId="29671"/>
    <cellStyle name="Input 34 2 2" xfId="29672"/>
    <cellStyle name="Input 34 2 2 2" xfId="29673"/>
    <cellStyle name="Input 34 2 2 2 2" xfId="29674"/>
    <cellStyle name="Input 34 2 2 2 2 2" xfId="29675"/>
    <cellStyle name="Input 34 2 2 2 2 2 2" xfId="29676"/>
    <cellStyle name="Input 34 2 2 2 2 3" xfId="29677"/>
    <cellStyle name="Input 34 2 2 2 2 3 2" xfId="29678"/>
    <cellStyle name="Input 34 2 2 2 2 4" xfId="29679"/>
    <cellStyle name="Input 34 2 2 2 2 5" xfId="29680"/>
    <cellStyle name="Input 34 2 2 2 2 6" xfId="29681"/>
    <cellStyle name="Input 34 2 2 2 3" xfId="29682"/>
    <cellStyle name="Input 34 2 2 2 3 2" xfId="29683"/>
    <cellStyle name="Input 34 2 2 2 4" xfId="29684"/>
    <cellStyle name="Input 34 2 2 2 4 2" xfId="29685"/>
    <cellStyle name="Input 34 2 2 2 5" xfId="29686"/>
    <cellStyle name="Input 34 2 2 2 6" xfId="29687"/>
    <cellStyle name="Input 34 2 2 2 7" xfId="29688"/>
    <cellStyle name="Input 34 2 2 3" xfId="29689"/>
    <cellStyle name="Input 34 2 2 3 2" xfId="29690"/>
    <cellStyle name="Input 34 2 2 3 2 2" xfId="29691"/>
    <cellStyle name="Input 34 2 2 3 3" xfId="29692"/>
    <cellStyle name="Input 34 2 2 3 3 2" xfId="29693"/>
    <cellStyle name="Input 34 2 2 3 4" xfId="29694"/>
    <cellStyle name="Input 34 2 2 3 5" xfId="29695"/>
    <cellStyle name="Input 34 2 2 3 6" xfId="29696"/>
    <cellStyle name="Input 34 2 2 4" xfId="29697"/>
    <cellStyle name="Input 34 2 2 4 2" xfId="29698"/>
    <cellStyle name="Input 34 2 2 5" xfId="29699"/>
    <cellStyle name="Input 34 2 2 5 2" xfId="29700"/>
    <cellStyle name="Input 34 2 2 6" xfId="29701"/>
    <cellStyle name="Input 34 2 2 7" xfId="29702"/>
    <cellStyle name="Input 34 2 2 8" xfId="29703"/>
    <cellStyle name="Input 34 2 3" xfId="29704"/>
    <cellStyle name="Input 34 2 3 2" xfId="29705"/>
    <cellStyle name="Input 34 2 3 2 2" xfId="29706"/>
    <cellStyle name="Input 34 2 3 2 2 2" xfId="29707"/>
    <cellStyle name="Input 34 2 3 2 2 2 2" xfId="29708"/>
    <cellStyle name="Input 34 2 3 2 2 3" xfId="29709"/>
    <cellStyle name="Input 34 2 3 2 2 3 2" xfId="29710"/>
    <cellStyle name="Input 34 2 3 2 2 4" xfId="29711"/>
    <cellStyle name="Input 34 2 3 2 2 5" xfId="29712"/>
    <cellStyle name="Input 34 2 3 2 2 6" xfId="29713"/>
    <cellStyle name="Input 34 2 3 2 3" xfId="29714"/>
    <cellStyle name="Input 34 2 3 2 3 2" xfId="29715"/>
    <cellStyle name="Input 34 2 3 2 4" xfId="29716"/>
    <cellStyle name="Input 34 2 3 2 4 2" xfId="29717"/>
    <cellStyle name="Input 34 2 3 2 5" xfId="29718"/>
    <cellStyle name="Input 34 2 3 2 6" xfId="29719"/>
    <cellStyle name="Input 34 2 3 2 7" xfId="29720"/>
    <cellStyle name="Input 34 2 3 3" xfId="29721"/>
    <cellStyle name="Input 34 2 3 3 2" xfId="29722"/>
    <cellStyle name="Input 34 2 3 3 2 2" xfId="29723"/>
    <cellStyle name="Input 34 2 3 3 3" xfId="29724"/>
    <cellStyle name="Input 34 2 3 3 3 2" xfId="29725"/>
    <cellStyle name="Input 34 2 3 3 4" xfId="29726"/>
    <cellStyle name="Input 34 2 3 3 5" xfId="29727"/>
    <cellStyle name="Input 34 2 3 3 6" xfId="29728"/>
    <cellStyle name="Input 34 2 3 4" xfId="29729"/>
    <cellStyle name="Input 34 2 3 4 2" xfId="29730"/>
    <cellStyle name="Input 34 2 3 5" xfId="29731"/>
    <cellStyle name="Input 34 2 3 5 2" xfId="29732"/>
    <cellStyle name="Input 34 2 3 6" xfId="29733"/>
    <cellStyle name="Input 34 2 3 7" xfId="29734"/>
    <cellStyle name="Input 34 2 3 8" xfId="29735"/>
    <cellStyle name="Input 34 2 4" xfId="29736"/>
    <cellStyle name="Input 34 2 4 2" xfId="29737"/>
    <cellStyle name="Input 34 2 4 2 2" xfId="29738"/>
    <cellStyle name="Input 34 2 4 2 2 2" xfId="29739"/>
    <cellStyle name="Input 34 2 4 2 3" xfId="29740"/>
    <cellStyle name="Input 34 2 4 2 3 2" xfId="29741"/>
    <cellStyle name="Input 34 2 4 2 4" xfId="29742"/>
    <cellStyle name="Input 34 2 4 2 5" xfId="29743"/>
    <cellStyle name="Input 34 2 4 2 6" xfId="29744"/>
    <cellStyle name="Input 34 2 4 3" xfId="29745"/>
    <cellStyle name="Input 34 2 4 3 2" xfId="29746"/>
    <cellStyle name="Input 34 2 4 4" xfId="29747"/>
    <cellStyle name="Input 34 2 4 4 2" xfId="29748"/>
    <cellStyle name="Input 34 2 4 5" xfId="29749"/>
    <cellStyle name="Input 34 2 4 6" xfId="29750"/>
    <cellStyle name="Input 34 2 4 7" xfId="29751"/>
    <cellStyle name="Input 34 2 5" xfId="29752"/>
    <cellStyle name="Input 34 2 5 2" xfId="29753"/>
    <cellStyle name="Input 34 2 5 2 2" xfId="29754"/>
    <cellStyle name="Input 34 2 5 3" xfId="29755"/>
    <cellStyle name="Input 34 2 5 3 2" xfId="29756"/>
    <cellStyle name="Input 34 2 5 4" xfId="29757"/>
    <cellStyle name="Input 34 2 5 5" xfId="29758"/>
    <cellStyle name="Input 34 2 5 6" xfId="29759"/>
    <cellStyle name="Input 34 2 6" xfId="29760"/>
    <cellStyle name="Input 34 2 6 2" xfId="29761"/>
    <cellStyle name="Input 34 2 7" xfId="29762"/>
    <cellStyle name="Input 34 2 7 2" xfId="29763"/>
    <cellStyle name="Input 34 2 8" xfId="29764"/>
    <cellStyle name="Input 34 2 9" xfId="29765"/>
    <cellStyle name="Input 34 3" xfId="29766"/>
    <cellStyle name="Input 34 3 2" xfId="29767"/>
    <cellStyle name="Input 34 3 2 2" xfId="29768"/>
    <cellStyle name="Input 34 3 2 2 2" xfId="29769"/>
    <cellStyle name="Input 34 3 2 2 2 2" xfId="29770"/>
    <cellStyle name="Input 34 3 2 2 3" xfId="29771"/>
    <cellStyle name="Input 34 3 2 2 3 2" xfId="29772"/>
    <cellStyle name="Input 34 3 2 2 4" xfId="29773"/>
    <cellStyle name="Input 34 3 2 2 5" xfId="29774"/>
    <cellStyle name="Input 34 3 2 2 6" xfId="29775"/>
    <cellStyle name="Input 34 3 2 3" xfId="29776"/>
    <cellStyle name="Input 34 3 2 3 2" xfId="29777"/>
    <cellStyle name="Input 34 3 2 4" xfId="29778"/>
    <cellStyle name="Input 34 3 2 4 2" xfId="29779"/>
    <cellStyle name="Input 34 3 2 5" xfId="29780"/>
    <cellStyle name="Input 34 3 2 6" xfId="29781"/>
    <cellStyle name="Input 34 3 2 7" xfId="29782"/>
    <cellStyle name="Input 34 3 3" xfId="29783"/>
    <cellStyle name="Input 34 3 3 2" xfId="29784"/>
    <cellStyle name="Input 34 3 3 2 2" xfId="29785"/>
    <cellStyle name="Input 34 3 3 3" xfId="29786"/>
    <cellStyle name="Input 34 3 3 3 2" xfId="29787"/>
    <cellStyle name="Input 34 3 3 4" xfId="29788"/>
    <cellStyle name="Input 34 3 3 5" xfId="29789"/>
    <cellStyle name="Input 34 3 3 6" xfId="29790"/>
    <cellStyle name="Input 34 3 4" xfId="29791"/>
    <cellStyle name="Input 34 3 4 2" xfId="29792"/>
    <cellStyle name="Input 34 3 5" xfId="29793"/>
    <cellStyle name="Input 34 3 5 2" xfId="29794"/>
    <cellStyle name="Input 34 3 6" xfId="29795"/>
    <cellStyle name="Input 34 3 7" xfId="29796"/>
    <cellStyle name="Input 34 3 8" xfId="29797"/>
    <cellStyle name="Input 34 4" xfId="29798"/>
    <cellStyle name="Input 34 4 2" xfId="29799"/>
    <cellStyle name="Input 34 4 2 2" xfId="29800"/>
    <cellStyle name="Input 34 4 2 2 2" xfId="29801"/>
    <cellStyle name="Input 34 4 2 3" xfId="29802"/>
    <cellStyle name="Input 34 4 2 3 2" xfId="29803"/>
    <cellStyle name="Input 34 4 2 4" xfId="29804"/>
    <cellStyle name="Input 34 4 2 5" xfId="29805"/>
    <cellStyle name="Input 34 4 2 6" xfId="29806"/>
    <cellStyle name="Input 34 4 3" xfId="29807"/>
    <cellStyle name="Input 34 4 3 2" xfId="29808"/>
    <cellStyle name="Input 34 4 4" xfId="29809"/>
    <cellStyle name="Input 34 4 4 2" xfId="29810"/>
    <cellStyle name="Input 34 4 5" xfId="29811"/>
    <cellStyle name="Input 34 4 6" xfId="29812"/>
    <cellStyle name="Input 34 4 7" xfId="29813"/>
    <cellStyle name="Input 34 5" xfId="29814"/>
    <cellStyle name="Input 34 5 2" xfId="29815"/>
    <cellStyle name="Input 34 5 2 2" xfId="29816"/>
    <cellStyle name="Input 34 5 3" xfId="29817"/>
    <cellStyle name="Input 34 5 3 2" xfId="29818"/>
    <cellStyle name="Input 34 5 4" xfId="29819"/>
    <cellStyle name="Input 34 5 5" xfId="29820"/>
    <cellStyle name="Input 34 5 6" xfId="29821"/>
    <cellStyle name="Input 34 6" xfId="29822"/>
    <cellStyle name="Input 34 6 2" xfId="29823"/>
    <cellStyle name="Input 34 7" xfId="29824"/>
    <cellStyle name="Input 34 7 2" xfId="29825"/>
    <cellStyle name="Input 34 8" xfId="29826"/>
    <cellStyle name="Input 34 9" xfId="29827"/>
    <cellStyle name="Input 35" xfId="29828"/>
    <cellStyle name="Input 35 10" xfId="29829"/>
    <cellStyle name="Input 35 2" xfId="29830"/>
    <cellStyle name="Input 35 2 2" xfId="29831"/>
    <cellStyle name="Input 35 2 2 2" xfId="29832"/>
    <cellStyle name="Input 35 2 2 2 2" xfId="29833"/>
    <cellStyle name="Input 35 2 2 2 2 2" xfId="29834"/>
    <cellStyle name="Input 35 2 2 2 3" xfId="29835"/>
    <cellStyle name="Input 35 2 2 2 3 2" xfId="29836"/>
    <cellStyle name="Input 35 2 2 2 4" xfId="29837"/>
    <cellStyle name="Input 35 2 2 2 5" xfId="29838"/>
    <cellStyle name="Input 35 2 2 2 6" xfId="29839"/>
    <cellStyle name="Input 35 2 2 3" xfId="29840"/>
    <cellStyle name="Input 35 2 2 3 2" xfId="29841"/>
    <cellStyle name="Input 35 2 2 4" xfId="29842"/>
    <cellStyle name="Input 35 2 2 4 2" xfId="29843"/>
    <cellStyle name="Input 35 2 2 5" xfId="29844"/>
    <cellStyle name="Input 35 2 2 6" xfId="29845"/>
    <cellStyle name="Input 35 2 2 7" xfId="29846"/>
    <cellStyle name="Input 35 2 3" xfId="29847"/>
    <cellStyle name="Input 35 2 3 2" xfId="29848"/>
    <cellStyle name="Input 35 2 3 2 2" xfId="29849"/>
    <cellStyle name="Input 35 2 3 3" xfId="29850"/>
    <cellStyle name="Input 35 2 3 3 2" xfId="29851"/>
    <cellStyle name="Input 35 2 3 4" xfId="29852"/>
    <cellStyle name="Input 35 2 3 5" xfId="29853"/>
    <cellStyle name="Input 35 2 3 6" xfId="29854"/>
    <cellStyle name="Input 35 2 4" xfId="29855"/>
    <cellStyle name="Input 35 2 4 2" xfId="29856"/>
    <cellStyle name="Input 35 2 5" xfId="29857"/>
    <cellStyle name="Input 35 2 5 2" xfId="29858"/>
    <cellStyle name="Input 35 2 6" xfId="29859"/>
    <cellStyle name="Input 35 2 7" xfId="29860"/>
    <cellStyle name="Input 35 2 8" xfId="29861"/>
    <cellStyle name="Input 35 3" xfId="29862"/>
    <cellStyle name="Input 35 3 2" xfId="29863"/>
    <cellStyle name="Input 35 3 2 2" xfId="29864"/>
    <cellStyle name="Input 35 3 2 2 2" xfId="29865"/>
    <cellStyle name="Input 35 3 2 2 2 2" xfId="29866"/>
    <cellStyle name="Input 35 3 2 2 3" xfId="29867"/>
    <cellStyle name="Input 35 3 2 2 3 2" xfId="29868"/>
    <cellStyle name="Input 35 3 2 2 4" xfId="29869"/>
    <cellStyle name="Input 35 3 2 2 5" xfId="29870"/>
    <cellStyle name="Input 35 3 2 2 6" xfId="29871"/>
    <cellStyle name="Input 35 3 2 3" xfId="29872"/>
    <cellStyle name="Input 35 3 2 3 2" xfId="29873"/>
    <cellStyle name="Input 35 3 2 4" xfId="29874"/>
    <cellStyle name="Input 35 3 2 4 2" xfId="29875"/>
    <cellStyle name="Input 35 3 2 5" xfId="29876"/>
    <cellStyle name="Input 35 3 2 6" xfId="29877"/>
    <cellStyle name="Input 35 3 2 7" xfId="29878"/>
    <cellStyle name="Input 35 3 3" xfId="29879"/>
    <cellStyle name="Input 35 3 3 2" xfId="29880"/>
    <cellStyle name="Input 35 3 3 2 2" xfId="29881"/>
    <cellStyle name="Input 35 3 3 3" xfId="29882"/>
    <cellStyle name="Input 35 3 3 3 2" xfId="29883"/>
    <cellStyle name="Input 35 3 3 4" xfId="29884"/>
    <cellStyle name="Input 35 3 3 5" xfId="29885"/>
    <cellStyle name="Input 35 3 3 6" xfId="29886"/>
    <cellStyle name="Input 35 3 4" xfId="29887"/>
    <cellStyle name="Input 35 3 4 2" xfId="29888"/>
    <cellStyle name="Input 35 3 5" xfId="29889"/>
    <cellStyle name="Input 35 3 5 2" xfId="29890"/>
    <cellStyle name="Input 35 3 6" xfId="29891"/>
    <cellStyle name="Input 35 3 7" xfId="29892"/>
    <cellStyle name="Input 35 3 8" xfId="29893"/>
    <cellStyle name="Input 35 4" xfId="29894"/>
    <cellStyle name="Input 35 4 2" xfId="29895"/>
    <cellStyle name="Input 35 4 2 2" xfId="29896"/>
    <cellStyle name="Input 35 4 2 2 2" xfId="29897"/>
    <cellStyle name="Input 35 4 2 3" xfId="29898"/>
    <cellStyle name="Input 35 4 2 3 2" xfId="29899"/>
    <cellStyle name="Input 35 4 2 4" xfId="29900"/>
    <cellStyle name="Input 35 4 2 5" xfId="29901"/>
    <cellStyle name="Input 35 4 2 6" xfId="29902"/>
    <cellStyle name="Input 35 4 3" xfId="29903"/>
    <cellStyle name="Input 35 4 3 2" xfId="29904"/>
    <cellStyle name="Input 35 4 4" xfId="29905"/>
    <cellStyle name="Input 35 4 4 2" xfId="29906"/>
    <cellStyle name="Input 35 4 5" xfId="29907"/>
    <cellStyle name="Input 35 4 6" xfId="29908"/>
    <cellStyle name="Input 35 4 7" xfId="29909"/>
    <cellStyle name="Input 35 5" xfId="29910"/>
    <cellStyle name="Input 35 5 2" xfId="29911"/>
    <cellStyle name="Input 35 5 2 2" xfId="29912"/>
    <cellStyle name="Input 35 5 3" xfId="29913"/>
    <cellStyle name="Input 35 5 3 2" xfId="29914"/>
    <cellStyle name="Input 35 5 4" xfId="29915"/>
    <cellStyle name="Input 35 5 5" xfId="29916"/>
    <cellStyle name="Input 35 5 6" xfId="29917"/>
    <cellStyle name="Input 35 6" xfId="29918"/>
    <cellStyle name="Input 35 6 2" xfId="29919"/>
    <cellStyle name="Input 35 7" xfId="29920"/>
    <cellStyle name="Input 35 7 2" xfId="29921"/>
    <cellStyle name="Input 35 8" xfId="29922"/>
    <cellStyle name="Input 35 9" xfId="29923"/>
    <cellStyle name="Input 36" xfId="29924"/>
    <cellStyle name="Input 36 10" xfId="29925"/>
    <cellStyle name="Input 36 2" xfId="29926"/>
    <cellStyle name="Input 36 2 2" xfId="29927"/>
    <cellStyle name="Input 36 2 2 2" xfId="29928"/>
    <cellStyle name="Input 36 2 2 2 2" xfId="29929"/>
    <cellStyle name="Input 36 2 2 2 2 2" xfId="29930"/>
    <cellStyle name="Input 36 2 2 2 3" xfId="29931"/>
    <cellStyle name="Input 36 2 2 2 3 2" xfId="29932"/>
    <cellStyle name="Input 36 2 2 2 4" xfId="29933"/>
    <cellStyle name="Input 36 2 2 2 5" xfId="29934"/>
    <cellStyle name="Input 36 2 2 2 6" xfId="29935"/>
    <cellStyle name="Input 36 2 2 3" xfId="29936"/>
    <cellStyle name="Input 36 2 2 3 2" xfId="29937"/>
    <cellStyle name="Input 36 2 2 4" xfId="29938"/>
    <cellStyle name="Input 36 2 2 4 2" xfId="29939"/>
    <cellStyle name="Input 36 2 2 5" xfId="29940"/>
    <cellStyle name="Input 36 2 2 6" xfId="29941"/>
    <cellStyle name="Input 36 2 2 7" xfId="29942"/>
    <cellStyle name="Input 36 2 3" xfId="29943"/>
    <cellStyle name="Input 36 2 3 2" xfId="29944"/>
    <cellStyle name="Input 36 2 3 2 2" xfId="29945"/>
    <cellStyle name="Input 36 2 3 3" xfId="29946"/>
    <cellStyle name="Input 36 2 3 3 2" xfId="29947"/>
    <cellStyle name="Input 36 2 3 4" xfId="29948"/>
    <cellStyle name="Input 36 2 3 5" xfId="29949"/>
    <cellStyle name="Input 36 2 3 6" xfId="29950"/>
    <cellStyle name="Input 36 2 4" xfId="29951"/>
    <cellStyle name="Input 36 2 4 2" xfId="29952"/>
    <cellStyle name="Input 36 2 5" xfId="29953"/>
    <cellStyle name="Input 36 2 5 2" xfId="29954"/>
    <cellStyle name="Input 36 2 6" xfId="29955"/>
    <cellStyle name="Input 36 2 7" xfId="29956"/>
    <cellStyle name="Input 36 2 8" xfId="29957"/>
    <cellStyle name="Input 36 3" xfId="29958"/>
    <cellStyle name="Input 36 3 2" xfId="29959"/>
    <cellStyle name="Input 36 3 2 2" xfId="29960"/>
    <cellStyle name="Input 36 3 2 2 2" xfId="29961"/>
    <cellStyle name="Input 36 3 2 2 2 2" xfId="29962"/>
    <cellStyle name="Input 36 3 2 2 3" xfId="29963"/>
    <cellStyle name="Input 36 3 2 2 3 2" xfId="29964"/>
    <cellStyle name="Input 36 3 2 2 4" xfId="29965"/>
    <cellStyle name="Input 36 3 2 2 5" xfId="29966"/>
    <cellStyle name="Input 36 3 2 2 6" xfId="29967"/>
    <cellStyle name="Input 36 3 2 3" xfId="29968"/>
    <cellStyle name="Input 36 3 2 3 2" xfId="29969"/>
    <cellStyle name="Input 36 3 2 4" xfId="29970"/>
    <cellStyle name="Input 36 3 2 4 2" xfId="29971"/>
    <cellStyle name="Input 36 3 2 5" xfId="29972"/>
    <cellStyle name="Input 36 3 2 6" xfId="29973"/>
    <cellStyle name="Input 36 3 2 7" xfId="29974"/>
    <cellStyle name="Input 36 3 3" xfId="29975"/>
    <cellStyle name="Input 36 3 3 2" xfId="29976"/>
    <cellStyle name="Input 36 3 3 2 2" xfId="29977"/>
    <cellStyle name="Input 36 3 3 3" xfId="29978"/>
    <cellStyle name="Input 36 3 3 3 2" xfId="29979"/>
    <cellStyle name="Input 36 3 3 4" xfId="29980"/>
    <cellStyle name="Input 36 3 3 5" xfId="29981"/>
    <cellStyle name="Input 36 3 3 6" xfId="29982"/>
    <cellStyle name="Input 36 3 4" xfId="29983"/>
    <cellStyle name="Input 36 3 4 2" xfId="29984"/>
    <cellStyle name="Input 36 3 5" xfId="29985"/>
    <cellStyle name="Input 36 3 5 2" xfId="29986"/>
    <cellStyle name="Input 36 3 6" xfId="29987"/>
    <cellStyle name="Input 36 3 7" xfId="29988"/>
    <cellStyle name="Input 36 3 8" xfId="29989"/>
    <cellStyle name="Input 36 4" xfId="29990"/>
    <cellStyle name="Input 36 4 2" xfId="29991"/>
    <cellStyle name="Input 36 4 2 2" xfId="29992"/>
    <cellStyle name="Input 36 4 2 2 2" xfId="29993"/>
    <cellStyle name="Input 36 4 2 3" xfId="29994"/>
    <cellStyle name="Input 36 4 2 3 2" xfId="29995"/>
    <cellStyle name="Input 36 4 2 4" xfId="29996"/>
    <cellStyle name="Input 36 4 2 5" xfId="29997"/>
    <cellStyle name="Input 36 4 2 6" xfId="29998"/>
    <cellStyle name="Input 36 4 3" xfId="29999"/>
    <cellStyle name="Input 36 4 3 2" xfId="30000"/>
    <cellStyle name="Input 36 4 4" xfId="30001"/>
    <cellStyle name="Input 36 4 4 2" xfId="30002"/>
    <cellStyle name="Input 36 4 5" xfId="30003"/>
    <cellStyle name="Input 36 4 6" xfId="30004"/>
    <cellStyle name="Input 36 4 7" xfId="30005"/>
    <cellStyle name="Input 36 5" xfId="30006"/>
    <cellStyle name="Input 36 5 2" xfId="30007"/>
    <cellStyle name="Input 36 5 2 2" xfId="30008"/>
    <cellStyle name="Input 36 5 3" xfId="30009"/>
    <cellStyle name="Input 36 5 3 2" xfId="30010"/>
    <cellStyle name="Input 36 5 4" xfId="30011"/>
    <cellStyle name="Input 36 5 5" xfId="30012"/>
    <cellStyle name="Input 36 5 6" xfId="30013"/>
    <cellStyle name="Input 36 6" xfId="30014"/>
    <cellStyle name="Input 36 6 2" xfId="30015"/>
    <cellStyle name="Input 36 7" xfId="30016"/>
    <cellStyle name="Input 36 7 2" xfId="30017"/>
    <cellStyle name="Input 36 8" xfId="30018"/>
    <cellStyle name="Input 36 9" xfId="30019"/>
    <cellStyle name="Input 37" xfId="30020"/>
    <cellStyle name="Input 37 10" xfId="30021"/>
    <cellStyle name="Input 37 2" xfId="30022"/>
    <cellStyle name="Input 37 2 2" xfId="30023"/>
    <cellStyle name="Input 37 2 2 2" xfId="30024"/>
    <cellStyle name="Input 37 2 2 2 2" xfId="30025"/>
    <cellStyle name="Input 37 2 2 2 2 2" xfId="30026"/>
    <cellStyle name="Input 37 2 2 2 3" xfId="30027"/>
    <cellStyle name="Input 37 2 2 2 3 2" xfId="30028"/>
    <cellStyle name="Input 37 2 2 2 4" xfId="30029"/>
    <cellStyle name="Input 37 2 2 2 5" xfId="30030"/>
    <cellStyle name="Input 37 2 2 2 6" xfId="30031"/>
    <cellStyle name="Input 37 2 2 3" xfId="30032"/>
    <cellStyle name="Input 37 2 2 3 2" xfId="30033"/>
    <cellStyle name="Input 37 2 2 4" xfId="30034"/>
    <cellStyle name="Input 37 2 2 4 2" xfId="30035"/>
    <cellStyle name="Input 37 2 2 5" xfId="30036"/>
    <cellStyle name="Input 37 2 2 6" xfId="30037"/>
    <cellStyle name="Input 37 2 2 7" xfId="30038"/>
    <cellStyle name="Input 37 2 3" xfId="30039"/>
    <cellStyle name="Input 37 2 3 2" xfId="30040"/>
    <cellStyle name="Input 37 2 3 2 2" xfId="30041"/>
    <cellStyle name="Input 37 2 3 3" xfId="30042"/>
    <cellStyle name="Input 37 2 3 3 2" xfId="30043"/>
    <cellStyle name="Input 37 2 3 4" xfId="30044"/>
    <cellStyle name="Input 37 2 3 5" xfId="30045"/>
    <cellStyle name="Input 37 2 3 6" xfId="30046"/>
    <cellStyle name="Input 37 2 4" xfId="30047"/>
    <cellStyle name="Input 37 2 4 2" xfId="30048"/>
    <cellStyle name="Input 37 2 5" xfId="30049"/>
    <cellStyle name="Input 37 2 5 2" xfId="30050"/>
    <cellStyle name="Input 37 2 6" xfId="30051"/>
    <cellStyle name="Input 37 2 7" xfId="30052"/>
    <cellStyle name="Input 37 2 8" xfId="30053"/>
    <cellStyle name="Input 37 3" xfId="30054"/>
    <cellStyle name="Input 37 3 2" xfId="30055"/>
    <cellStyle name="Input 37 3 2 2" xfId="30056"/>
    <cellStyle name="Input 37 3 2 2 2" xfId="30057"/>
    <cellStyle name="Input 37 3 2 2 2 2" xfId="30058"/>
    <cellStyle name="Input 37 3 2 2 3" xfId="30059"/>
    <cellStyle name="Input 37 3 2 2 3 2" xfId="30060"/>
    <cellStyle name="Input 37 3 2 2 4" xfId="30061"/>
    <cellStyle name="Input 37 3 2 2 5" xfId="30062"/>
    <cellStyle name="Input 37 3 2 2 6" xfId="30063"/>
    <cellStyle name="Input 37 3 2 3" xfId="30064"/>
    <cellStyle name="Input 37 3 2 3 2" xfId="30065"/>
    <cellStyle name="Input 37 3 2 4" xfId="30066"/>
    <cellStyle name="Input 37 3 2 4 2" xfId="30067"/>
    <cellStyle name="Input 37 3 2 5" xfId="30068"/>
    <cellStyle name="Input 37 3 2 6" xfId="30069"/>
    <cellStyle name="Input 37 3 2 7" xfId="30070"/>
    <cellStyle name="Input 37 3 3" xfId="30071"/>
    <cellStyle name="Input 37 3 3 2" xfId="30072"/>
    <cellStyle name="Input 37 3 3 2 2" xfId="30073"/>
    <cellStyle name="Input 37 3 3 3" xfId="30074"/>
    <cellStyle name="Input 37 3 3 3 2" xfId="30075"/>
    <cellStyle name="Input 37 3 3 4" xfId="30076"/>
    <cellStyle name="Input 37 3 3 5" xfId="30077"/>
    <cellStyle name="Input 37 3 3 6" xfId="30078"/>
    <cellStyle name="Input 37 3 4" xfId="30079"/>
    <cellStyle name="Input 37 3 4 2" xfId="30080"/>
    <cellStyle name="Input 37 3 5" xfId="30081"/>
    <cellStyle name="Input 37 3 5 2" xfId="30082"/>
    <cellStyle name="Input 37 3 6" xfId="30083"/>
    <cellStyle name="Input 37 3 7" xfId="30084"/>
    <cellStyle name="Input 37 3 8" xfId="30085"/>
    <cellStyle name="Input 37 4" xfId="30086"/>
    <cellStyle name="Input 37 4 2" xfId="30087"/>
    <cellStyle name="Input 37 4 2 2" xfId="30088"/>
    <cellStyle name="Input 37 4 2 2 2" xfId="30089"/>
    <cellStyle name="Input 37 4 2 3" xfId="30090"/>
    <cellStyle name="Input 37 4 2 3 2" xfId="30091"/>
    <cellStyle name="Input 37 4 2 4" xfId="30092"/>
    <cellStyle name="Input 37 4 2 5" xfId="30093"/>
    <cellStyle name="Input 37 4 2 6" xfId="30094"/>
    <cellStyle name="Input 37 4 3" xfId="30095"/>
    <cellStyle name="Input 37 4 3 2" xfId="30096"/>
    <cellStyle name="Input 37 4 4" xfId="30097"/>
    <cellStyle name="Input 37 4 4 2" xfId="30098"/>
    <cellStyle name="Input 37 4 5" xfId="30099"/>
    <cellStyle name="Input 37 4 6" xfId="30100"/>
    <cellStyle name="Input 37 4 7" xfId="30101"/>
    <cellStyle name="Input 37 5" xfId="30102"/>
    <cellStyle name="Input 37 5 2" xfId="30103"/>
    <cellStyle name="Input 37 5 2 2" xfId="30104"/>
    <cellStyle name="Input 37 5 3" xfId="30105"/>
    <cellStyle name="Input 37 5 3 2" xfId="30106"/>
    <cellStyle name="Input 37 5 4" xfId="30107"/>
    <cellStyle name="Input 37 5 5" xfId="30108"/>
    <cellStyle name="Input 37 5 6" xfId="30109"/>
    <cellStyle name="Input 37 6" xfId="30110"/>
    <cellStyle name="Input 37 6 2" xfId="30111"/>
    <cellStyle name="Input 37 7" xfId="30112"/>
    <cellStyle name="Input 37 7 2" xfId="30113"/>
    <cellStyle name="Input 37 8" xfId="30114"/>
    <cellStyle name="Input 37 9" xfId="30115"/>
    <cellStyle name="Input 38" xfId="30116"/>
    <cellStyle name="Input 38 10" xfId="30117"/>
    <cellStyle name="Input 38 2" xfId="30118"/>
    <cellStyle name="Input 38 2 2" xfId="30119"/>
    <cellStyle name="Input 38 2 2 2" xfId="30120"/>
    <cellStyle name="Input 38 2 2 2 2" xfId="30121"/>
    <cellStyle name="Input 38 2 2 2 2 2" xfId="30122"/>
    <cellStyle name="Input 38 2 2 2 3" xfId="30123"/>
    <cellStyle name="Input 38 2 2 2 3 2" xfId="30124"/>
    <cellStyle name="Input 38 2 2 2 4" xfId="30125"/>
    <cellStyle name="Input 38 2 2 2 5" xfId="30126"/>
    <cellStyle name="Input 38 2 2 2 6" xfId="30127"/>
    <cellStyle name="Input 38 2 2 3" xfId="30128"/>
    <cellStyle name="Input 38 2 2 3 2" xfId="30129"/>
    <cellStyle name="Input 38 2 2 4" xfId="30130"/>
    <cellStyle name="Input 38 2 2 4 2" xfId="30131"/>
    <cellStyle name="Input 38 2 2 5" xfId="30132"/>
    <cellStyle name="Input 38 2 2 6" xfId="30133"/>
    <cellStyle name="Input 38 2 2 7" xfId="30134"/>
    <cellStyle name="Input 38 2 3" xfId="30135"/>
    <cellStyle name="Input 38 2 3 2" xfId="30136"/>
    <cellStyle name="Input 38 2 3 2 2" xfId="30137"/>
    <cellStyle name="Input 38 2 3 3" xfId="30138"/>
    <cellStyle name="Input 38 2 3 3 2" xfId="30139"/>
    <cellStyle name="Input 38 2 3 4" xfId="30140"/>
    <cellStyle name="Input 38 2 3 5" xfId="30141"/>
    <cellStyle name="Input 38 2 3 6" xfId="30142"/>
    <cellStyle name="Input 38 2 4" xfId="30143"/>
    <cellStyle name="Input 38 2 4 2" xfId="30144"/>
    <cellStyle name="Input 38 2 5" xfId="30145"/>
    <cellStyle name="Input 38 2 5 2" xfId="30146"/>
    <cellStyle name="Input 38 2 6" xfId="30147"/>
    <cellStyle name="Input 38 2 7" xfId="30148"/>
    <cellStyle name="Input 38 2 8" xfId="30149"/>
    <cellStyle name="Input 38 3" xfId="30150"/>
    <cellStyle name="Input 38 3 2" xfId="30151"/>
    <cellStyle name="Input 38 3 2 2" xfId="30152"/>
    <cellStyle name="Input 38 3 2 2 2" xfId="30153"/>
    <cellStyle name="Input 38 3 2 2 2 2" xfId="30154"/>
    <cellStyle name="Input 38 3 2 2 3" xfId="30155"/>
    <cellStyle name="Input 38 3 2 2 3 2" xfId="30156"/>
    <cellStyle name="Input 38 3 2 2 4" xfId="30157"/>
    <cellStyle name="Input 38 3 2 2 5" xfId="30158"/>
    <cellStyle name="Input 38 3 2 2 6" xfId="30159"/>
    <cellStyle name="Input 38 3 2 3" xfId="30160"/>
    <cellStyle name="Input 38 3 2 3 2" xfId="30161"/>
    <cellStyle name="Input 38 3 2 4" xfId="30162"/>
    <cellStyle name="Input 38 3 2 4 2" xfId="30163"/>
    <cellStyle name="Input 38 3 2 5" xfId="30164"/>
    <cellStyle name="Input 38 3 2 6" xfId="30165"/>
    <cellStyle name="Input 38 3 2 7" xfId="30166"/>
    <cellStyle name="Input 38 3 3" xfId="30167"/>
    <cellStyle name="Input 38 3 3 2" xfId="30168"/>
    <cellStyle name="Input 38 3 3 2 2" xfId="30169"/>
    <cellStyle name="Input 38 3 3 3" xfId="30170"/>
    <cellStyle name="Input 38 3 3 3 2" xfId="30171"/>
    <cellStyle name="Input 38 3 3 4" xfId="30172"/>
    <cellStyle name="Input 38 3 3 5" xfId="30173"/>
    <cellStyle name="Input 38 3 3 6" xfId="30174"/>
    <cellStyle name="Input 38 3 4" xfId="30175"/>
    <cellStyle name="Input 38 3 4 2" xfId="30176"/>
    <cellStyle name="Input 38 3 5" xfId="30177"/>
    <cellStyle name="Input 38 3 5 2" xfId="30178"/>
    <cellStyle name="Input 38 3 6" xfId="30179"/>
    <cellStyle name="Input 38 3 7" xfId="30180"/>
    <cellStyle name="Input 38 3 8" xfId="30181"/>
    <cellStyle name="Input 38 4" xfId="30182"/>
    <cellStyle name="Input 38 4 2" xfId="30183"/>
    <cellStyle name="Input 38 4 2 2" xfId="30184"/>
    <cellStyle name="Input 38 4 2 2 2" xfId="30185"/>
    <cellStyle name="Input 38 4 2 3" xfId="30186"/>
    <cellStyle name="Input 38 4 2 3 2" xfId="30187"/>
    <cellStyle name="Input 38 4 2 4" xfId="30188"/>
    <cellStyle name="Input 38 4 2 5" xfId="30189"/>
    <cellStyle name="Input 38 4 2 6" xfId="30190"/>
    <cellStyle name="Input 38 4 3" xfId="30191"/>
    <cellStyle name="Input 38 4 3 2" xfId="30192"/>
    <cellStyle name="Input 38 4 4" xfId="30193"/>
    <cellStyle name="Input 38 4 4 2" xfId="30194"/>
    <cellStyle name="Input 38 4 5" xfId="30195"/>
    <cellStyle name="Input 38 4 6" xfId="30196"/>
    <cellStyle name="Input 38 4 7" xfId="30197"/>
    <cellStyle name="Input 38 5" xfId="30198"/>
    <cellStyle name="Input 38 5 2" xfId="30199"/>
    <cellStyle name="Input 38 5 2 2" xfId="30200"/>
    <cellStyle name="Input 38 5 3" xfId="30201"/>
    <cellStyle name="Input 38 5 3 2" xfId="30202"/>
    <cellStyle name="Input 38 5 4" xfId="30203"/>
    <cellStyle name="Input 38 5 5" xfId="30204"/>
    <cellStyle name="Input 38 5 6" xfId="30205"/>
    <cellStyle name="Input 38 6" xfId="30206"/>
    <cellStyle name="Input 38 6 2" xfId="30207"/>
    <cellStyle name="Input 38 7" xfId="30208"/>
    <cellStyle name="Input 38 7 2" xfId="30209"/>
    <cellStyle name="Input 38 8" xfId="30210"/>
    <cellStyle name="Input 38 9" xfId="30211"/>
    <cellStyle name="Input 39" xfId="30212"/>
    <cellStyle name="Input 39 2" xfId="30213"/>
    <cellStyle name="Input 39 2 2" xfId="30214"/>
    <cellStyle name="Input 39 2 2 2" xfId="30215"/>
    <cellStyle name="Input 39 2 2 2 2" xfId="30216"/>
    <cellStyle name="Input 39 2 2 3" xfId="30217"/>
    <cellStyle name="Input 39 2 2 3 2" xfId="30218"/>
    <cellStyle name="Input 39 2 2 4" xfId="30219"/>
    <cellStyle name="Input 39 2 2 5" xfId="30220"/>
    <cellStyle name="Input 39 2 2 6" xfId="30221"/>
    <cellStyle name="Input 39 2 3" xfId="30222"/>
    <cellStyle name="Input 39 2 3 2" xfId="30223"/>
    <cellStyle name="Input 39 2 4" xfId="30224"/>
    <cellStyle name="Input 39 2 4 2" xfId="30225"/>
    <cellStyle name="Input 39 2 5" xfId="30226"/>
    <cellStyle name="Input 39 2 6" xfId="30227"/>
    <cellStyle name="Input 39 2 7" xfId="30228"/>
    <cellStyle name="Input 39 3" xfId="30229"/>
    <cellStyle name="Input 39 3 2" xfId="30230"/>
    <cellStyle name="Input 39 3 2 2" xfId="30231"/>
    <cellStyle name="Input 39 3 3" xfId="30232"/>
    <cellStyle name="Input 39 3 3 2" xfId="30233"/>
    <cellStyle name="Input 39 3 4" xfId="30234"/>
    <cellStyle name="Input 39 3 5" xfId="30235"/>
    <cellStyle name="Input 39 3 6" xfId="30236"/>
    <cellStyle name="Input 39 4" xfId="30237"/>
    <cellStyle name="Input 39 4 2" xfId="30238"/>
    <cellStyle name="Input 39 5" xfId="30239"/>
    <cellStyle name="Input 39 5 2" xfId="30240"/>
    <cellStyle name="Input 39 6" xfId="30241"/>
    <cellStyle name="Input 39 7" xfId="30242"/>
    <cellStyle name="Input 39 8" xfId="30243"/>
    <cellStyle name="Input 4" xfId="30244"/>
    <cellStyle name="Input 4 10" xfId="30245"/>
    <cellStyle name="Input 4 11" xfId="30246"/>
    <cellStyle name="Input 4 2" xfId="30247"/>
    <cellStyle name="Input 4 2 10" xfId="30248"/>
    <cellStyle name="Input 4 2 11" xfId="30249"/>
    <cellStyle name="Input 4 2 12" xfId="30250"/>
    <cellStyle name="Input 4 2 2" xfId="30251"/>
    <cellStyle name="Input 4 2 2 10" xfId="30252"/>
    <cellStyle name="Input 4 2 2 11" xfId="30253"/>
    <cellStyle name="Input 4 2 2 12" xfId="30254"/>
    <cellStyle name="Input 4 2 2 2" xfId="30255"/>
    <cellStyle name="Input 4 2 2 2 10" xfId="30256"/>
    <cellStyle name="Input 4 2 2 2 11" xfId="30257"/>
    <cellStyle name="Input 4 2 2 2 2" xfId="30258"/>
    <cellStyle name="Input 4 2 2 2 2 10" xfId="30259"/>
    <cellStyle name="Input 4 2 2 2 2 2" xfId="30260"/>
    <cellStyle name="Input 4 2 2 2 2 2 2" xfId="30261"/>
    <cellStyle name="Input 4 2 2 2 2 2 2 2" xfId="30262"/>
    <cellStyle name="Input 4 2 2 2 2 2 2 2 2" xfId="30263"/>
    <cellStyle name="Input 4 2 2 2 2 2 2 2 2 2" xfId="30264"/>
    <cellStyle name="Input 4 2 2 2 2 2 2 2 3" xfId="30265"/>
    <cellStyle name="Input 4 2 2 2 2 2 2 2 3 2" xfId="30266"/>
    <cellStyle name="Input 4 2 2 2 2 2 2 2 4" xfId="30267"/>
    <cellStyle name="Input 4 2 2 2 2 2 2 2 5" xfId="30268"/>
    <cellStyle name="Input 4 2 2 2 2 2 2 2 6" xfId="30269"/>
    <cellStyle name="Input 4 2 2 2 2 2 2 3" xfId="30270"/>
    <cellStyle name="Input 4 2 2 2 2 2 2 3 2" xfId="30271"/>
    <cellStyle name="Input 4 2 2 2 2 2 2 4" xfId="30272"/>
    <cellStyle name="Input 4 2 2 2 2 2 2 4 2" xfId="30273"/>
    <cellStyle name="Input 4 2 2 2 2 2 2 5" xfId="30274"/>
    <cellStyle name="Input 4 2 2 2 2 2 2 6" xfId="30275"/>
    <cellStyle name="Input 4 2 2 2 2 2 2 7" xfId="30276"/>
    <cellStyle name="Input 4 2 2 2 2 2 3" xfId="30277"/>
    <cellStyle name="Input 4 2 2 2 2 2 3 2" xfId="30278"/>
    <cellStyle name="Input 4 2 2 2 2 2 3 2 2" xfId="30279"/>
    <cellStyle name="Input 4 2 2 2 2 2 3 3" xfId="30280"/>
    <cellStyle name="Input 4 2 2 2 2 2 3 3 2" xfId="30281"/>
    <cellStyle name="Input 4 2 2 2 2 2 3 4" xfId="30282"/>
    <cellStyle name="Input 4 2 2 2 2 2 3 5" xfId="30283"/>
    <cellStyle name="Input 4 2 2 2 2 2 3 6" xfId="30284"/>
    <cellStyle name="Input 4 2 2 2 2 2 4" xfId="30285"/>
    <cellStyle name="Input 4 2 2 2 2 2 4 2" xfId="30286"/>
    <cellStyle name="Input 4 2 2 2 2 2 5" xfId="30287"/>
    <cellStyle name="Input 4 2 2 2 2 2 5 2" xfId="30288"/>
    <cellStyle name="Input 4 2 2 2 2 2 6" xfId="30289"/>
    <cellStyle name="Input 4 2 2 2 2 2 7" xfId="30290"/>
    <cellStyle name="Input 4 2 2 2 2 2 8" xfId="30291"/>
    <cellStyle name="Input 4 2 2 2 2 3" xfId="30292"/>
    <cellStyle name="Input 4 2 2 2 2 3 2" xfId="30293"/>
    <cellStyle name="Input 4 2 2 2 2 3 2 2" xfId="30294"/>
    <cellStyle name="Input 4 2 2 2 2 3 2 2 2" xfId="30295"/>
    <cellStyle name="Input 4 2 2 2 2 3 2 2 2 2" xfId="30296"/>
    <cellStyle name="Input 4 2 2 2 2 3 2 2 3" xfId="30297"/>
    <cellStyle name="Input 4 2 2 2 2 3 2 2 3 2" xfId="30298"/>
    <cellStyle name="Input 4 2 2 2 2 3 2 2 4" xfId="30299"/>
    <cellStyle name="Input 4 2 2 2 2 3 2 2 5" xfId="30300"/>
    <cellStyle name="Input 4 2 2 2 2 3 2 2 6" xfId="30301"/>
    <cellStyle name="Input 4 2 2 2 2 3 2 3" xfId="30302"/>
    <cellStyle name="Input 4 2 2 2 2 3 2 3 2" xfId="30303"/>
    <cellStyle name="Input 4 2 2 2 2 3 2 4" xfId="30304"/>
    <cellStyle name="Input 4 2 2 2 2 3 2 4 2" xfId="30305"/>
    <cellStyle name="Input 4 2 2 2 2 3 2 5" xfId="30306"/>
    <cellStyle name="Input 4 2 2 2 2 3 2 6" xfId="30307"/>
    <cellStyle name="Input 4 2 2 2 2 3 2 7" xfId="30308"/>
    <cellStyle name="Input 4 2 2 2 2 3 3" xfId="30309"/>
    <cellStyle name="Input 4 2 2 2 2 3 3 2" xfId="30310"/>
    <cellStyle name="Input 4 2 2 2 2 3 3 2 2" xfId="30311"/>
    <cellStyle name="Input 4 2 2 2 2 3 3 3" xfId="30312"/>
    <cellStyle name="Input 4 2 2 2 2 3 3 3 2" xfId="30313"/>
    <cellStyle name="Input 4 2 2 2 2 3 3 4" xfId="30314"/>
    <cellStyle name="Input 4 2 2 2 2 3 3 5" xfId="30315"/>
    <cellStyle name="Input 4 2 2 2 2 3 3 6" xfId="30316"/>
    <cellStyle name="Input 4 2 2 2 2 3 4" xfId="30317"/>
    <cellStyle name="Input 4 2 2 2 2 3 4 2" xfId="30318"/>
    <cellStyle name="Input 4 2 2 2 2 3 5" xfId="30319"/>
    <cellStyle name="Input 4 2 2 2 2 3 5 2" xfId="30320"/>
    <cellStyle name="Input 4 2 2 2 2 3 6" xfId="30321"/>
    <cellStyle name="Input 4 2 2 2 2 3 7" xfId="30322"/>
    <cellStyle name="Input 4 2 2 2 2 3 8" xfId="30323"/>
    <cellStyle name="Input 4 2 2 2 2 4" xfId="30324"/>
    <cellStyle name="Input 4 2 2 2 2 4 2" xfId="30325"/>
    <cellStyle name="Input 4 2 2 2 2 4 2 2" xfId="30326"/>
    <cellStyle name="Input 4 2 2 2 2 4 2 2 2" xfId="30327"/>
    <cellStyle name="Input 4 2 2 2 2 4 2 3" xfId="30328"/>
    <cellStyle name="Input 4 2 2 2 2 4 2 3 2" xfId="30329"/>
    <cellStyle name="Input 4 2 2 2 2 4 2 4" xfId="30330"/>
    <cellStyle name="Input 4 2 2 2 2 4 2 5" xfId="30331"/>
    <cellStyle name="Input 4 2 2 2 2 4 2 6" xfId="30332"/>
    <cellStyle name="Input 4 2 2 2 2 4 3" xfId="30333"/>
    <cellStyle name="Input 4 2 2 2 2 4 3 2" xfId="30334"/>
    <cellStyle name="Input 4 2 2 2 2 4 4" xfId="30335"/>
    <cellStyle name="Input 4 2 2 2 2 4 4 2" xfId="30336"/>
    <cellStyle name="Input 4 2 2 2 2 4 5" xfId="30337"/>
    <cellStyle name="Input 4 2 2 2 2 4 6" xfId="30338"/>
    <cellStyle name="Input 4 2 2 2 2 4 7" xfId="30339"/>
    <cellStyle name="Input 4 2 2 2 2 5" xfId="30340"/>
    <cellStyle name="Input 4 2 2 2 2 5 2" xfId="30341"/>
    <cellStyle name="Input 4 2 2 2 2 5 2 2" xfId="30342"/>
    <cellStyle name="Input 4 2 2 2 2 5 3" xfId="30343"/>
    <cellStyle name="Input 4 2 2 2 2 5 3 2" xfId="30344"/>
    <cellStyle name="Input 4 2 2 2 2 5 4" xfId="30345"/>
    <cellStyle name="Input 4 2 2 2 2 5 5" xfId="30346"/>
    <cellStyle name="Input 4 2 2 2 2 5 6" xfId="30347"/>
    <cellStyle name="Input 4 2 2 2 2 6" xfId="30348"/>
    <cellStyle name="Input 4 2 2 2 2 6 2" xfId="30349"/>
    <cellStyle name="Input 4 2 2 2 2 7" xfId="30350"/>
    <cellStyle name="Input 4 2 2 2 2 7 2" xfId="30351"/>
    <cellStyle name="Input 4 2 2 2 2 8" xfId="30352"/>
    <cellStyle name="Input 4 2 2 2 2 9" xfId="30353"/>
    <cellStyle name="Input 4 2 2 2 3" xfId="30354"/>
    <cellStyle name="Input 4 2 2 2 3 2" xfId="30355"/>
    <cellStyle name="Input 4 2 2 2 3 2 2" xfId="30356"/>
    <cellStyle name="Input 4 2 2 2 3 2 2 2" xfId="30357"/>
    <cellStyle name="Input 4 2 2 2 3 2 2 2 2" xfId="30358"/>
    <cellStyle name="Input 4 2 2 2 3 2 2 3" xfId="30359"/>
    <cellStyle name="Input 4 2 2 2 3 2 2 3 2" xfId="30360"/>
    <cellStyle name="Input 4 2 2 2 3 2 2 4" xfId="30361"/>
    <cellStyle name="Input 4 2 2 2 3 2 2 5" xfId="30362"/>
    <cellStyle name="Input 4 2 2 2 3 2 2 6" xfId="30363"/>
    <cellStyle name="Input 4 2 2 2 3 2 3" xfId="30364"/>
    <cellStyle name="Input 4 2 2 2 3 2 3 2" xfId="30365"/>
    <cellStyle name="Input 4 2 2 2 3 2 4" xfId="30366"/>
    <cellStyle name="Input 4 2 2 2 3 2 4 2" xfId="30367"/>
    <cellStyle name="Input 4 2 2 2 3 2 5" xfId="30368"/>
    <cellStyle name="Input 4 2 2 2 3 2 6" xfId="30369"/>
    <cellStyle name="Input 4 2 2 2 3 2 7" xfId="30370"/>
    <cellStyle name="Input 4 2 2 2 3 3" xfId="30371"/>
    <cellStyle name="Input 4 2 2 2 3 3 2" xfId="30372"/>
    <cellStyle name="Input 4 2 2 2 3 3 2 2" xfId="30373"/>
    <cellStyle name="Input 4 2 2 2 3 3 3" xfId="30374"/>
    <cellStyle name="Input 4 2 2 2 3 3 3 2" xfId="30375"/>
    <cellStyle name="Input 4 2 2 2 3 3 4" xfId="30376"/>
    <cellStyle name="Input 4 2 2 2 3 3 5" xfId="30377"/>
    <cellStyle name="Input 4 2 2 2 3 3 6" xfId="30378"/>
    <cellStyle name="Input 4 2 2 2 3 4" xfId="30379"/>
    <cellStyle name="Input 4 2 2 2 3 4 2" xfId="30380"/>
    <cellStyle name="Input 4 2 2 2 3 5" xfId="30381"/>
    <cellStyle name="Input 4 2 2 2 3 5 2" xfId="30382"/>
    <cellStyle name="Input 4 2 2 2 3 6" xfId="30383"/>
    <cellStyle name="Input 4 2 2 2 3 7" xfId="30384"/>
    <cellStyle name="Input 4 2 2 2 3 8" xfId="30385"/>
    <cellStyle name="Input 4 2 2 2 4" xfId="30386"/>
    <cellStyle name="Input 4 2 2 2 4 2" xfId="30387"/>
    <cellStyle name="Input 4 2 2 2 4 2 2" xfId="30388"/>
    <cellStyle name="Input 4 2 2 2 4 2 2 2" xfId="30389"/>
    <cellStyle name="Input 4 2 2 2 4 2 2 2 2" xfId="30390"/>
    <cellStyle name="Input 4 2 2 2 4 2 2 3" xfId="30391"/>
    <cellStyle name="Input 4 2 2 2 4 2 2 3 2" xfId="30392"/>
    <cellStyle name="Input 4 2 2 2 4 2 2 4" xfId="30393"/>
    <cellStyle name="Input 4 2 2 2 4 2 2 5" xfId="30394"/>
    <cellStyle name="Input 4 2 2 2 4 2 2 6" xfId="30395"/>
    <cellStyle name="Input 4 2 2 2 4 2 3" xfId="30396"/>
    <cellStyle name="Input 4 2 2 2 4 2 3 2" xfId="30397"/>
    <cellStyle name="Input 4 2 2 2 4 2 4" xfId="30398"/>
    <cellStyle name="Input 4 2 2 2 4 2 4 2" xfId="30399"/>
    <cellStyle name="Input 4 2 2 2 4 2 5" xfId="30400"/>
    <cellStyle name="Input 4 2 2 2 4 2 6" xfId="30401"/>
    <cellStyle name="Input 4 2 2 2 4 2 7" xfId="30402"/>
    <cellStyle name="Input 4 2 2 2 4 3" xfId="30403"/>
    <cellStyle name="Input 4 2 2 2 4 3 2" xfId="30404"/>
    <cellStyle name="Input 4 2 2 2 4 3 2 2" xfId="30405"/>
    <cellStyle name="Input 4 2 2 2 4 3 3" xfId="30406"/>
    <cellStyle name="Input 4 2 2 2 4 3 3 2" xfId="30407"/>
    <cellStyle name="Input 4 2 2 2 4 3 4" xfId="30408"/>
    <cellStyle name="Input 4 2 2 2 4 3 5" xfId="30409"/>
    <cellStyle name="Input 4 2 2 2 4 3 6" xfId="30410"/>
    <cellStyle name="Input 4 2 2 2 4 4" xfId="30411"/>
    <cellStyle name="Input 4 2 2 2 4 4 2" xfId="30412"/>
    <cellStyle name="Input 4 2 2 2 4 5" xfId="30413"/>
    <cellStyle name="Input 4 2 2 2 4 5 2" xfId="30414"/>
    <cellStyle name="Input 4 2 2 2 4 6" xfId="30415"/>
    <cellStyle name="Input 4 2 2 2 4 7" xfId="30416"/>
    <cellStyle name="Input 4 2 2 2 4 8" xfId="30417"/>
    <cellStyle name="Input 4 2 2 2 5" xfId="30418"/>
    <cellStyle name="Input 4 2 2 2 5 2" xfId="30419"/>
    <cellStyle name="Input 4 2 2 2 5 2 2" xfId="30420"/>
    <cellStyle name="Input 4 2 2 2 5 2 2 2" xfId="30421"/>
    <cellStyle name="Input 4 2 2 2 5 2 3" xfId="30422"/>
    <cellStyle name="Input 4 2 2 2 5 2 3 2" xfId="30423"/>
    <cellStyle name="Input 4 2 2 2 5 2 4" xfId="30424"/>
    <cellStyle name="Input 4 2 2 2 5 2 5" xfId="30425"/>
    <cellStyle name="Input 4 2 2 2 5 2 6" xfId="30426"/>
    <cellStyle name="Input 4 2 2 2 5 3" xfId="30427"/>
    <cellStyle name="Input 4 2 2 2 5 3 2" xfId="30428"/>
    <cellStyle name="Input 4 2 2 2 5 4" xfId="30429"/>
    <cellStyle name="Input 4 2 2 2 5 4 2" xfId="30430"/>
    <cellStyle name="Input 4 2 2 2 5 5" xfId="30431"/>
    <cellStyle name="Input 4 2 2 2 5 6" xfId="30432"/>
    <cellStyle name="Input 4 2 2 2 5 7" xfId="30433"/>
    <cellStyle name="Input 4 2 2 2 6" xfId="30434"/>
    <cellStyle name="Input 4 2 2 2 6 2" xfId="30435"/>
    <cellStyle name="Input 4 2 2 2 6 2 2" xfId="30436"/>
    <cellStyle name="Input 4 2 2 2 6 3" xfId="30437"/>
    <cellStyle name="Input 4 2 2 2 6 3 2" xfId="30438"/>
    <cellStyle name="Input 4 2 2 2 6 4" xfId="30439"/>
    <cellStyle name="Input 4 2 2 2 6 5" xfId="30440"/>
    <cellStyle name="Input 4 2 2 2 6 6" xfId="30441"/>
    <cellStyle name="Input 4 2 2 2 7" xfId="30442"/>
    <cellStyle name="Input 4 2 2 2 7 2" xfId="30443"/>
    <cellStyle name="Input 4 2 2 2 8" xfId="30444"/>
    <cellStyle name="Input 4 2 2 2 8 2" xfId="30445"/>
    <cellStyle name="Input 4 2 2 2 9" xfId="30446"/>
    <cellStyle name="Input 4 2 2 3" xfId="30447"/>
    <cellStyle name="Input 4 2 2 3 10" xfId="30448"/>
    <cellStyle name="Input 4 2 2 3 2" xfId="30449"/>
    <cellStyle name="Input 4 2 2 3 2 10" xfId="30450"/>
    <cellStyle name="Input 4 2 2 3 2 2" xfId="30451"/>
    <cellStyle name="Input 4 2 2 3 2 2 2" xfId="30452"/>
    <cellStyle name="Input 4 2 2 3 2 2 2 2" xfId="30453"/>
    <cellStyle name="Input 4 2 2 3 2 2 2 2 2" xfId="30454"/>
    <cellStyle name="Input 4 2 2 3 2 2 2 2 2 2" xfId="30455"/>
    <cellStyle name="Input 4 2 2 3 2 2 2 2 3" xfId="30456"/>
    <cellStyle name="Input 4 2 2 3 2 2 2 2 3 2" xfId="30457"/>
    <cellStyle name="Input 4 2 2 3 2 2 2 2 4" xfId="30458"/>
    <cellStyle name="Input 4 2 2 3 2 2 2 2 5" xfId="30459"/>
    <cellStyle name="Input 4 2 2 3 2 2 2 2 6" xfId="30460"/>
    <cellStyle name="Input 4 2 2 3 2 2 2 3" xfId="30461"/>
    <cellStyle name="Input 4 2 2 3 2 2 2 3 2" xfId="30462"/>
    <cellStyle name="Input 4 2 2 3 2 2 2 4" xfId="30463"/>
    <cellStyle name="Input 4 2 2 3 2 2 2 4 2" xfId="30464"/>
    <cellStyle name="Input 4 2 2 3 2 2 2 5" xfId="30465"/>
    <cellStyle name="Input 4 2 2 3 2 2 2 6" xfId="30466"/>
    <cellStyle name="Input 4 2 2 3 2 2 2 7" xfId="30467"/>
    <cellStyle name="Input 4 2 2 3 2 2 3" xfId="30468"/>
    <cellStyle name="Input 4 2 2 3 2 2 3 2" xfId="30469"/>
    <cellStyle name="Input 4 2 2 3 2 2 3 2 2" xfId="30470"/>
    <cellStyle name="Input 4 2 2 3 2 2 3 3" xfId="30471"/>
    <cellStyle name="Input 4 2 2 3 2 2 3 3 2" xfId="30472"/>
    <cellStyle name="Input 4 2 2 3 2 2 3 4" xfId="30473"/>
    <cellStyle name="Input 4 2 2 3 2 2 3 5" xfId="30474"/>
    <cellStyle name="Input 4 2 2 3 2 2 3 6" xfId="30475"/>
    <cellStyle name="Input 4 2 2 3 2 2 4" xfId="30476"/>
    <cellStyle name="Input 4 2 2 3 2 2 4 2" xfId="30477"/>
    <cellStyle name="Input 4 2 2 3 2 2 5" xfId="30478"/>
    <cellStyle name="Input 4 2 2 3 2 2 5 2" xfId="30479"/>
    <cellStyle name="Input 4 2 2 3 2 2 6" xfId="30480"/>
    <cellStyle name="Input 4 2 2 3 2 2 7" xfId="30481"/>
    <cellStyle name="Input 4 2 2 3 2 2 8" xfId="30482"/>
    <cellStyle name="Input 4 2 2 3 2 3" xfId="30483"/>
    <cellStyle name="Input 4 2 2 3 2 3 2" xfId="30484"/>
    <cellStyle name="Input 4 2 2 3 2 3 2 2" xfId="30485"/>
    <cellStyle name="Input 4 2 2 3 2 3 2 2 2" xfId="30486"/>
    <cellStyle name="Input 4 2 2 3 2 3 2 2 2 2" xfId="30487"/>
    <cellStyle name="Input 4 2 2 3 2 3 2 2 3" xfId="30488"/>
    <cellStyle name="Input 4 2 2 3 2 3 2 2 3 2" xfId="30489"/>
    <cellStyle name="Input 4 2 2 3 2 3 2 2 4" xfId="30490"/>
    <cellStyle name="Input 4 2 2 3 2 3 2 2 5" xfId="30491"/>
    <cellStyle name="Input 4 2 2 3 2 3 2 2 6" xfId="30492"/>
    <cellStyle name="Input 4 2 2 3 2 3 2 3" xfId="30493"/>
    <cellStyle name="Input 4 2 2 3 2 3 2 3 2" xfId="30494"/>
    <cellStyle name="Input 4 2 2 3 2 3 2 4" xfId="30495"/>
    <cellStyle name="Input 4 2 2 3 2 3 2 4 2" xfId="30496"/>
    <cellStyle name="Input 4 2 2 3 2 3 2 5" xfId="30497"/>
    <cellStyle name="Input 4 2 2 3 2 3 2 6" xfId="30498"/>
    <cellStyle name="Input 4 2 2 3 2 3 2 7" xfId="30499"/>
    <cellStyle name="Input 4 2 2 3 2 3 3" xfId="30500"/>
    <cellStyle name="Input 4 2 2 3 2 3 3 2" xfId="30501"/>
    <cellStyle name="Input 4 2 2 3 2 3 3 2 2" xfId="30502"/>
    <cellStyle name="Input 4 2 2 3 2 3 3 3" xfId="30503"/>
    <cellStyle name="Input 4 2 2 3 2 3 3 3 2" xfId="30504"/>
    <cellStyle name="Input 4 2 2 3 2 3 3 4" xfId="30505"/>
    <cellStyle name="Input 4 2 2 3 2 3 3 5" xfId="30506"/>
    <cellStyle name="Input 4 2 2 3 2 3 3 6" xfId="30507"/>
    <cellStyle name="Input 4 2 2 3 2 3 4" xfId="30508"/>
    <cellStyle name="Input 4 2 2 3 2 3 4 2" xfId="30509"/>
    <cellStyle name="Input 4 2 2 3 2 3 5" xfId="30510"/>
    <cellStyle name="Input 4 2 2 3 2 3 5 2" xfId="30511"/>
    <cellStyle name="Input 4 2 2 3 2 3 6" xfId="30512"/>
    <cellStyle name="Input 4 2 2 3 2 3 7" xfId="30513"/>
    <cellStyle name="Input 4 2 2 3 2 3 8" xfId="30514"/>
    <cellStyle name="Input 4 2 2 3 2 4" xfId="30515"/>
    <cellStyle name="Input 4 2 2 3 2 4 2" xfId="30516"/>
    <cellStyle name="Input 4 2 2 3 2 4 2 2" xfId="30517"/>
    <cellStyle name="Input 4 2 2 3 2 4 2 2 2" xfId="30518"/>
    <cellStyle name="Input 4 2 2 3 2 4 2 3" xfId="30519"/>
    <cellStyle name="Input 4 2 2 3 2 4 2 3 2" xfId="30520"/>
    <cellStyle name="Input 4 2 2 3 2 4 2 4" xfId="30521"/>
    <cellStyle name="Input 4 2 2 3 2 4 2 5" xfId="30522"/>
    <cellStyle name="Input 4 2 2 3 2 4 2 6" xfId="30523"/>
    <cellStyle name="Input 4 2 2 3 2 4 3" xfId="30524"/>
    <cellStyle name="Input 4 2 2 3 2 4 3 2" xfId="30525"/>
    <cellStyle name="Input 4 2 2 3 2 4 4" xfId="30526"/>
    <cellStyle name="Input 4 2 2 3 2 4 4 2" xfId="30527"/>
    <cellStyle name="Input 4 2 2 3 2 4 5" xfId="30528"/>
    <cellStyle name="Input 4 2 2 3 2 4 6" xfId="30529"/>
    <cellStyle name="Input 4 2 2 3 2 4 7" xfId="30530"/>
    <cellStyle name="Input 4 2 2 3 2 5" xfId="30531"/>
    <cellStyle name="Input 4 2 2 3 2 5 2" xfId="30532"/>
    <cellStyle name="Input 4 2 2 3 2 5 2 2" xfId="30533"/>
    <cellStyle name="Input 4 2 2 3 2 5 3" xfId="30534"/>
    <cellStyle name="Input 4 2 2 3 2 5 3 2" xfId="30535"/>
    <cellStyle name="Input 4 2 2 3 2 5 4" xfId="30536"/>
    <cellStyle name="Input 4 2 2 3 2 5 5" xfId="30537"/>
    <cellStyle name="Input 4 2 2 3 2 5 6" xfId="30538"/>
    <cellStyle name="Input 4 2 2 3 2 6" xfId="30539"/>
    <cellStyle name="Input 4 2 2 3 2 6 2" xfId="30540"/>
    <cellStyle name="Input 4 2 2 3 2 7" xfId="30541"/>
    <cellStyle name="Input 4 2 2 3 2 7 2" xfId="30542"/>
    <cellStyle name="Input 4 2 2 3 2 8" xfId="30543"/>
    <cellStyle name="Input 4 2 2 3 2 9" xfId="30544"/>
    <cellStyle name="Input 4 2 2 3 3" xfId="30545"/>
    <cellStyle name="Input 4 2 2 3 3 2" xfId="30546"/>
    <cellStyle name="Input 4 2 2 3 3 2 2" xfId="30547"/>
    <cellStyle name="Input 4 2 2 3 3 2 2 2" xfId="30548"/>
    <cellStyle name="Input 4 2 2 3 3 2 2 2 2" xfId="30549"/>
    <cellStyle name="Input 4 2 2 3 3 2 2 3" xfId="30550"/>
    <cellStyle name="Input 4 2 2 3 3 2 2 3 2" xfId="30551"/>
    <cellStyle name="Input 4 2 2 3 3 2 2 4" xfId="30552"/>
    <cellStyle name="Input 4 2 2 3 3 2 2 5" xfId="30553"/>
    <cellStyle name="Input 4 2 2 3 3 2 2 6" xfId="30554"/>
    <cellStyle name="Input 4 2 2 3 3 2 3" xfId="30555"/>
    <cellStyle name="Input 4 2 2 3 3 2 3 2" xfId="30556"/>
    <cellStyle name="Input 4 2 2 3 3 2 4" xfId="30557"/>
    <cellStyle name="Input 4 2 2 3 3 2 4 2" xfId="30558"/>
    <cellStyle name="Input 4 2 2 3 3 2 5" xfId="30559"/>
    <cellStyle name="Input 4 2 2 3 3 2 6" xfId="30560"/>
    <cellStyle name="Input 4 2 2 3 3 2 7" xfId="30561"/>
    <cellStyle name="Input 4 2 2 3 3 3" xfId="30562"/>
    <cellStyle name="Input 4 2 2 3 3 3 2" xfId="30563"/>
    <cellStyle name="Input 4 2 2 3 3 3 2 2" xfId="30564"/>
    <cellStyle name="Input 4 2 2 3 3 3 3" xfId="30565"/>
    <cellStyle name="Input 4 2 2 3 3 3 3 2" xfId="30566"/>
    <cellStyle name="Input 4 2 2 3 3 3 4" xfId="30567"/>
    <cellStyle name="Input 4 2 2 3 3 3 5" xfId="30568"/>
    <cellStyle name="Input 4 2 2 3 3 3 6" xfId="30569"/>
    <cellStyle name="Input 4 2 2 3 3 4" xfId="30570"/>
    <cellStyle name="Input 4 2 2 3 3 4 2" xfId="30571"/>
    <cellStyle name="Input 4 2 2 3 3 5" xfId="30572"/>
    <cellStyle name="Input 4 2 2 3 3 5 2" xfId="30573"/>
    <cellStyle name="Input 4 2 2 3 3 6" xfId="30574"/>
    <cellStyle name="Input 4 2 2 3 3 7" xfId="30575"/>
    <cellStyle name="Input 4 2 2 3 3 8" xfId="30576"/>
    <cellStyle name="Input 4 2 2 3 4" xfId="30577"/>
    <cellStyle name="Input 4 2 2 3 4 2" xfId="30578"/>
    <cellStyle name="Input 4 2 2 3 4 2 2" xfId="30579"/>
    <cellStyle name="Input 4 2 2 3 4 2 2 2" xfId="30580"/>
    <cellStyle name="Input 4 2 2 3 4 2 3" xfId="30581"/>
    <cellStyle name="Input 4 2 2 3 4 2 3 2" xfId="30582"/>
    <cellStyle name="Input 4 2 2 3 4 2 4" xfId="30583"/>
    <cellStyle name="Input 4 2 2 3 4 2 5" xfId="30584"/>
    <cellStyle name="Input 4 2 2 3 4 2 6" xfId="30585"/>
    <cellStyle name="Input 4 2 2 3 4 3" xfId="30586"/>
    <cellStyle name="Input 4 2 2 3 4 3 2" xfId="30587"/>
    <cellStyle name="Input 4 2 2 3 4 4" xfId="30588"/>
    <cellStyle name="Input 4 2 2 3 4 4 2" xfId="30589"/>
    <cellStyle name="Input 4 2 2 3 4 5" xfId="30590"/>
    <cellStyle name="Input 4 2 2 3 4 6" xfId="30591"/>
    <cellStyle name="Input 4 2 2 3 4 7" xfId="30592"/>
    <cellStyle name="Input 4 2 2 3 5" xfId="30593"/>
    <cellStyle name="Input 4 2 2 3 5 2" xfId="30594"/>
    <cellStyle name="Input 4 2 2 3 5 2 2" xfId="30595"/>
    <cellStyle name="Input 4 2 2 3 5 3" xfId="30596"/>
    <cellStyle name="Input 4 2 2 3 5 3 2" xfId="30597"/>
    <cellStyle name="Input 4 2 2 3 5 4" xfId="30598"/>
    <cellStyle name="Input 4 2 2 3 5 5" xfId="30599"/>
    <cellStyle name="Input 4 2 2 3 5 6" xfId="30600"/>
    <cellStyle name="Input 4 2 2 3 6" xfId="30601"/>
    <cellStyle name="Input 4 2 2 3 6 2" xfId="30602"/>
    <cellStyle name="Input 4 2 2 3 7" xfId="30603"/>
    <cellStyle name="Input 4 2 2 3 7 2" xfId="30604"/>
    <cellStyle name="Input 4 2 2 3 8" xfId="30605"/>
    <cellStyle name="Input 4 2 2 3 9" xfId="30606"/>
    <cellStyle name="Input 4 2 2 4" xfId="30607"/>
    <cellStyle name="Input 4 2 2 4 10" xfId="30608"/>
    <cellStyle name="Input 4 2 2 4 2" xfId="30609"/>
    <cellStyle name="Input 4 2 2 4 2 2" xfId="30610"/>
    <cellStyle name="Input 4 2 2 4 2 2 2" xfId="30611"/>
    <cellStyle name="Input 4 2 2 4 2 2 2 2" xfId="30612"/>
    <cellStyle name="Input 4 2 2 4 2 2 2 2 2" xfId="30613"/>
    <cellStyle name="Input 4 2 2 4 2 2 2 3" xfId="30614"/>
    <cellStyle name="Input 4 2 2 4 2 2 2 3 2" xfId="30615"/>
    <cellStyle name="Input 4 2 2 4 2 2 2 4" xfId="30616"/>
    <cellStyle name="Input 4 2 2 4 2 2 2 5" xfId="30617"/>
    <cellStyle name="Input 4 2 2 4 2 2 2 6" xfId="30618"/>
    <cellStyle name="Input 4 2 2 4 2 2 3" xfId="30619"/>
    <cellStyle name="Input 4 2 2 4 2 2 3 2" xfId="30620"/>
    <cellStyle name="Input 4 2 2 4 2 2 4" xfId="30621"/>
    <cellStyle name="Input 4 2 2 4 2 2 4 2" xfId="30622"/>
    <cellStyle name="Input 4 2 2 4 2 2 5" xfId="30623"/>
    <cellStyle name="Input 4 2 2 4 2 2 6" xfId="30624"/>
    <cellStyle name="Input 4 2 2 4 2 2 7" xfId="30625"/>
    <cellStyle name="Input 4 2 2 4 2 3" xfId="30626"/>
    <cellStyle name="Input 4 2 2 4 2 3 2" xfId="30627"/>
    <cellStyle name="Input 4 2 2 4 2 3 2 2" xfId="30628"/>
    <cellStyle name="Input 4 2 2 4 2 3 3" xfId="30629"/>
    <cellStyle name="Input 4 2 2 4 2 3 3 2" xfId="30630"/>
    <cellStyle name="Input 4 2 2 4 2 3 4" xfId="30631"/>
    <cellStyle name="Input 4 2 2 4 2 3 5" xfId="30632"/>
    <cellStyle name="Input 4 2 2 4 2 3 6" xfId="30633"/>
    <cellStyle name="Input 4 2 2 4 2 4" xfId="30634"/>
    <cellStyle name="Input 4 2 2 4 2 4 2" xfId="30635"/>
    <cellStyle name="Input 4 2 2 4 2 5" xfId="30636"/>
    <cellStyle name="Input 4 2 2 4 2 5 2" xfId="30637"/>
    <cellStyle name="Input 4 2 2 4 2 6" xfId="30638"/>
    <cellStyle name="Input 4 2 2 4 2 7" xfId="30639"/>
    <cellStyle name="Input 4 2 2 4 2 8" xfId="30640"/>
    <cellStyle name="Input 4 2 2 4 3" xfId="30641"/>
    <cellStyle name="Input 4 2 2 4 3 2" xfId="30642"/>
    <cellStyle name="Input 4 2 2 4 3 2 2" xfId="30643"/>
    <cellStyle name="Input 4 2 2 4 3 2 2 2" xfId="30644"/>
    <cellStyle name="Input 4 2 2 4 3 2 2 2 2" xfId="30645"/>
    <cellStyle name="Input 4 2 2 4 3 2 2 3" xfId="30646"/>
    <cellStyle name="Input 4 2 2 4 3 2 2 3 2" xfId="30647"/>
    <cellStyle name="Input 4 2 2 4 3 2 2 4" xfId="30648"/>
    <cellStyle name="Input 4 2 2 4 3 2 2 5" xfId="30649"/>
    <cellStyle name="Input 4 2 2 4 3 2 2 6" xfId="30650"/>
    <cellStyle name="Input 4 2 2 4 3 2 3" xfId="30651"/>
    <cellStyle name="Input 4 2 2 4 3 2 3 2" xfId="30652"/>
    <cellStyle name="Input 4 2 2 4 3 2 4" xfId="30653"/>
    <cellStyle name="Input 4 2 2 4 3 2 4 2" xfId="30654"/>
    <cellStyle name="Input 4 2 2 4 3 2 5" xfId="30655"/>
    <cellStyle name="Input 4 2 2 4 3 2 6" xfId="30656"/>
    <cellStyle name="Input 4 2 2 4 3 2 7" xfId="30657"/>
    <cellStyle name="Input 4 2 2 4 3 3" xfId="30658"/>
    <cellStyle name="Input 4 2 2 4 3 3 2" xfId="30659"/>
    <cellStyle name="Input 4 2 2 4 3 3 2 2" xfId="30660"/>
    <cellStyle name="Input 4 2 2 4 3 3 3" xfId="30661"/>
    <cellStyle name="Input 4 2 2 4 3 3 3 2" xfId="30662"/>
    <cellStyle name="Input 4 2 2 4 3 3 4" xfId="30663"/>
    <cellStyle name="Input 4 2 2 4 3 3 5" xfId="30664"/>
    <cellStyle name="Input 4 2 2 4 3 3 6" xfId="30665"/>
    <cellStyle name="Input 4 2 2 4 3 4" xfId="30666"/>
    <cellStyle name="Input 4 2 2 4 3 4 2" xfId="30667"/>
    <cellStyle name="Input 4 2 2 4 3 5" xfId="30668"/>
    <cellStyle name="Input 4 2 2 4 3 5 2" xfId="30669"/>
    <cellStyle name="Input 4 2 2 4 3 6" xfId="30670"/>
    <cellStyle name="Input 4 2 2 4 3 7" xfId="30671"/>
    <cellStyle name="Input 4 2 2 4 3 8" xfId="30672"/>
    <cellStyle name="Input 4 2 2 4 4" xfId="30673"/>
    <cellStyle name="Input 4 2 2 4 4 2" xfId="30674"/>
    <cellStyle name="Input 4 2 2 4 4 2 2" xfId="30675"/>
    <cellStyle name="Input 4 2 2 4 4 2 2 2" xfId="30676"/>
    <cellStyle name="Input 4 2 2 4 4 2 3" xfId="30677"/>
    <cellStyle name="Input 4 2 2 4 4 2 3 2" xfId="30678"/>
    <cellStyle name="Input 4 2 2 4 4 2 4" xfId="30679"/>
    <cellStyle name="Input 4 2 2 4 4 2 5" xfId="30680"/>
    <cellStyle name="Input 4 2 2 4 4 2 6" xfId="30681"/>
    <cellStyle name="Input 4 2 2 4 4 3" xfId="30682"/>
    <cellStyle name="Input 4 2 2 4 4 3 2" xfId="30683"/>
    <cellStyle name="Input 4 2 2 4 4 4" xfId="30684"/>
    <cellStyle name="Input 4 2 2 4 4 4 2" xfId="30685"/>
    <cellStyle name="Input 4 2 2 4 4 5" xfId="30686"/>
    <cellStyle name="Input 4 2 2 4 4 6" xfId="30687"/>
    <cellStyle name="Input 4 2 2 4 4 7" xfId="30688"/>
    <cellStyle name="Input 4 2 2 4 5" xfId="30689"/>
    <cellStyle name="Input 4 2 2 4 5 2" xfId="30690"/>
    <cellStyle name="Input 4 2 2 4 5 2 2" xfId="30691"/>
    <cellStyle name="Input 4 2 2 4 5 3" xfId="30692"/>
    <cellStyle name="Input 4 2 2 4 5 3 2" xfId="30693"/>
    <cellStyle name="Input 4 2 2 4 5 4" xfId="30694"/>
    <cellStyle name="Input 4 2 2 4 5 5" xfId="30695"/>
    <cellStyle name="Input 4 2 2 4 5 6" xfId="30696"/>
    <cellStyle name="Input 4 2 2 4 6" xfId="30697"/>
    <cellStyle name="Input 4 2 2 4 6 2" xfId="30698"/>
    <cellStyle name="Input 4 2 2 4 7" xfId="30699"/>
    <cellStyle name="Input 4 2 2 4 7 2" xfId="30700"/>
    <cellStyle name="Input 4 2 2 4 8" xfId="30701"/>
    <cellStyle name="Input 4 2 2 4 9" xfId="30702"/>
    <cellStyle name="Input 4 2 2 5" xfId="30703"/>
    <cellStyle name="Input 4 2 2 5 2" xfId="30704"/>
    <cellStyle name="Input 4 2 2 5 2 2" xfId="30705"/>
    <cellStyle name="Input 4 2 2 5 2 2 2" xfId="30706"/>
    <cellStyle name="Input 4 2 2 5 2 2 2 2" xfId="30707"/>
    <cellStyle name="Input 4 2 2 5 2 2 3" xfId="30708"/>
    <cellStyle name="Input 4 2 2 5 2 2 3 2" xfId="30709"/>
    <cellStyle name="Input 4 2 2 5 2 2 4" xfId="30710"/>
    <cellStyle name="Input 4 2 2 5 2 2 5" xfId="30711"/>
    <cellStyle name="Input 4 2 2 5 2 2 6" xfId="30712"/>
    <cellStyle name="Input 4 2 2 5 2 3" xfId="30713"/>
    <cellStyle name="Input 4 2 2 5 2 3 2" xfId="30714"/>
    <cellStyle name="Input 4 2 2 5 2 4" xfId="30715"/>
    <cellStyle name="Input 4 2 2 5 2 4 2" xfId="30716"/>
    <cellStyle name="Input 4 2 2 5 2 5" xfId="30717"/>
    <cellStyle name="Input 4 2 2 5 2 6" xfId="30718"/>
    <cellStyle name="Input 4 2 2 5 2 7" xfId="30719"/>
    <cellStyle name="Input 4 2 2 5 3" xfId="30720"/>
    <cellStyle name="Input 4 2 2 5 3 2" xfId="30721"/>
    <cellStyle name="Input 4 2 2 5 3 2 2" xfId="30722"/>
    <cellStyle name="Input 4 2 2 5 3 3" xfId="30723"/>
    <cellStyle name="Input 4 2 2 5 3 3 2" xfId="30724"/>
    <cellStyle name="Input 4 2 2 5 3 4" xfId="30725"/>
    <cellStyle name="Input 4 2 2 5 3 5" xfId="30726"/>
    <cellStyle name="Input 4 2 2 5 3 6" xfId="30727"/>
    <cellStyle name="Input 4 2 2 5 4" xfId="30728"/>
    <cellStyle name="Input 4 2 2 5 4 2" xfId="30729"/>
    <cellStyle name="Input 4 2 2 5 5" xfId="30730"/>
    <cellStyle name="Input 4 2 2 5 5 2" xfId="30731"/>
    <cellStyle name="Input 4 2 2 5 6" xfId="30732"/>
    <cellStyle name="Input 4 2 2 5 7" xfId="30733"/>
    <cellStyle name="Input 4 2 2 5 8" xfId="30734"/>
    <cellStyle name="Input 4 2 2 6" xfId="30735"/>
    <cellStyle name="Input 4 2 2 6 2" xfId="30736"/>
    <cellStyle name="Input 4 2 2 6 2 2" xfId="30737"/>
    <cellStyle name="Input 4 2 2 6 2 2 2" xfId="30738"/>
    <cellStyle name="Input 4 2 2 6 2 3" xfId="30739"/>
    <cellStyle name="Input 4 2 2 6 2 3 2" xfId="30740"/>
    <cellStyle name="Input 4 2 2 6 2 4" xfId="30741"/>
    <cellStyle name="Input 4 2 2 6 2 5" xfId="30742"/>
    <cellStyle name="Input 4 2 2 6 2 6" xfId="30743"/>
    <cellStyle name="Input 4 2 2 6 3" xfId="30744"/>
    <cellStyle name="Input 4 2 2 6 3 2" xfId="30745"/>
    <cellStyle name="Input 4 2 2 6 4" xfId="30746"/>
    <cellStyle name="Input 4 2 2 6 4 2" xfId="30747"/>
    <cellStyle name="Input 4 2 2 6 5" xfId="30748"/>
    <cellStyle name="Input 4 2 2 6 6" xfId="30749"/>
    <cellStyle name="Input 4 2 2 6 7" xfId="30750"/>
    <cellStyle name="Input 4 2 2 7" xfId="30751"/>
    <cellStyle name="Input 4 2 2 7 2" xfId="30752"/>
    <cellStyle name="Input 4 2 2 7 2 2" xfId="30753"/>
    <cellStyle name="Input 4 2 2 7 3" xfId="30754"/>
    <cellStyle name="Input 4 2 2 7 3 2" xfId="30755"/>
    <cellStyle name="Input 4 2 2 7 4" xfId="30756"/>
    <cellStyle name="Input 4 2 2 7 5" xfId="30757"/>
    <cellStyle name="Input 4 2 2 7 6" xfId="30758"/>
    <cellStyle name="Input 4 2 2 8" xfId="30759"/>
    <cellStyle name="Input 4 2 2 8 2" xfId="30760"/>
    <cellStyle name="Input 4 2 2 9" xfId="30761"/>
    <cellStyle name="Input 4 2 2 9 2" xfId="30762"/>
    <cellStyle name="Input 4 2 3" xfId="30763"/>
    <cellStyle name="Input 4 2 3 10" xfId="30764"/>
    <cellStyle name="Input 4 2 3 11" xfId="30765"/>
    <cellStyle name="Input 4 2 3 12" xfId="30766"/>
    <cellStyle name="Input 4 2 3 2" xfId="30767"/>
    <cellStyle name="Input 4 2 3 2 10" xfId="30768"/>
    <cellStyle name="Input 4 2 3 2 11" xfId="30769"/>
    <cellStyle name="Input 4 2 3 2 2" xfId="30770"/>
    <cellStyle name="Input 4 2 3 2 2 10" xfId="30771"/>
    <cellStyle name="Input 4 2 3 2 2 2" xfId="30772"/>
    <cellStyle name="Input 4 2 3 2 2 2 2" xfId="30773"/>
    <cellStyle name="Input 4 2 3 2 2 2 2 2" xfId="30774"/>
    <cellStyle name="Input 4 2 3 2 2 2 2 2 2" xfId="30775"/>
    <cellStyle name="Input 4 2 3 2 2 2 2 2 2 2" xfId="30776"/>
    <cellStyle name="Input 4 2 3 2 2 2 2 2 3" xfId="30777"/>
    <cellStyle name="Input 4 2 3 2 2 2 2 2 3 2" xfId="30778"/>
    <cellStyle name="Input 4 2 3 2 2 2 2 2 4" xfId="30779"/>
    <cellStyle name="Input 4 2 3 2 2 2 2 2 5" xfId="30780"/>
    <cellStyle name="Input 4 2 3 2 2 2 2 2 6" xfId="30781"/>
    <cellStyle name="Input 4 2 3 2 2 2 2 3" xfId="30782"/>
    <cellStyle name="Input 4 2 3 2 2 2 2 3 2" xfId="30783"/>
    <cellStyle name="Input 4 2 3 2 2 2 2 4" xfId="30784"/>
    <cellStyle name="Input 4 2 3 2 2 2 2 4 2" xfId="30785"/>
    <cellStyle name="Input 4 2 3 2 2 2 2 5" xfId="30786"/>
    <cellStyle name="Input 4 2 3 2 2 2 2 6" xfId="30787"/>
    <cellStyle name="Input 4 2 3 2 2 2 2 7" xfId="30788"/>
    <cellStyle name="Input 4 2 3 2 2 2 3" xfId="30789"/>
    <cellStyle name="Input 4 2 3 2 2 2 3 2" xfId="30790"/>
    <cellStyle name="Input 4 2 3 2 2 2 3 2 2" xfId="30791"/>
    <cellStyle name="Input 4 2 3 2 2 2 3 3" xfId="30792"/>
    <cellStyle name="Input 4 2 3 2 2 2 3 3 2" xfId="30793"/>
    <cellStyle name="Input 4 2 3 2 2 2 3 4" xfId="30794"/>
    <cellStyle name="Input 4 2 3 2 2 2 3 5" xfId="30795"/>
    <cellStyle name="Input 4 2 3 2 2 2 3 6" xfId="30796"/>
    <cellStyle name="Input 4 2 3 2 2 2 4" xfId="30797"/>
    <cellStyle name="Input 4 2 3 2 2 2 4 2" xfId="30798"/>
    <cellStyle name="Input 4 2 3 2 2 2 5" xfId="30799"/>
    <cellStyle name="Input 4 2 3 2 2 2 5 2" xfId="30800"/>
    <cellStyle name="Input 4 2 3 2 2 2 6" xfId="30801"/>
    <cellStyle name="Input 4 2 3 2 2 2 7" xfId="30802"/>
    <cellStyle name="Input 4 2 3 2 2 2 8" xfId="30803"/>
    <cellStyle name="Input 4 2 3 2 2 3" xfId="30804"/>
    <cellStyle name="Input 4 2 3 2 2 3 2" xfId="30805"/>
    <cellStyle name="Input 4 2 3 2 2 3 2 2" xfId="30806"/>
    <cellStyle name="Input 4 2 3 2 2 3 2 2 2" xfId="30807"/>
    <cellStyle name="Input 4 2 3 2 2 3 2 2 2 2" xfId="30808"/>
    <cellStyle name="Input 4 2 3 2 2 3 2 2 3" xfId="30809"/>
    <cellStyle name="Input 4 2 3 2 2 3 2 2 3 2" xfId="30810"/>
    <cellStyle name="Input 4 2 3 2 2 3 2 2 4" xfId="30811"/>
    <cellStyle name="Input 4 2 3 2 2 3 2 2 5" xfId="30812"/>
    <cellStyle name="Input 4 2 3 2 2 3 2 2 6" xfId="30813"/>
    <cellStyle name="Input 4 2 3 2 2 3 2 3" xfId="30814"/>
    <cellStyle name="Input 4 2 3 2 2 3 2 3 2" xfId="30815"/>
    <cellStyle name="Input 4 2 3 2 2 3 2 4" xfId="30816"/>
    <cellStyle name="Input 4 2 3 2 2 3 2 4 2" xfId="30817"/>
    <cellStyle name="Input 4 2 3 2 2 3 2 5" xfId="30818"/>
    <cellStyle name="Input 4 2 3 2 2 3 2 6" xfId="30819"/>
    <cellStyle name="Input 4 2 3 2 2 3 2 7" xfId="30820"/>
    <cellStyle name="Input 4 2 3 2 2 3 3" xfId="30821"/>
    <cellStyle name="Input 4 2 3 2 2 3 3 2" xfId="30822"/>
    <cellStyle name="Input 4 2 3 2 2 3 3 2 2" xfId="30823"/>
    <cellStyle name="Input 4 2 3 2 2 3 3 3" xfId="30824"/>
    <cellStyle name="Input 4 2 3 2 2 3 3 3 2" xfId="30825"/>
    <cellStyle name="Input 4 2 3 2 2 3 3 4" xfId="30826"/>
    <cellStyle name="Input 4 2 3 2 2 3 3 5" xfId="30827"/>
    <cellStyle name="Input 4 2 3 2 2 3 3 6" xfId="30828"/>
    <cellStyle name="Input 4 2 3 2 2 3 4" xfId="30829"/>
    <cellStyle name="Input 4 2 3 2 2 3 4 2" xfId="30830"/>
    <cellStyle name="Input 4 2 3 2 2 3 5" xfId="30831"/>
    <cellStyle name="Input 4 2 3 2 2 3 5 2" xfId="30832"/>
    <cellStyle name="Input 4 2 3 2 2 3 6" xfId="30833"/>
    <cellStyle name="Input 4 2 3 2 2 3 7" xfId="30834"/>
    <cellStyle name="Input 4 2 3 2 2 3 8" xfId="30835"/>
    <cellStyle name="Input 4 2 3 2 2 4" xfId="30836"/>
    <cellStyle name="Input 4 2 3 2 2 4 2" xfId="30837"/>
    <cellStyle name="Input 4 2 3 2 2 4 2 2" xfId="30838"/>
    <cellStyle name="Input 4 2 3 2 2 4 2 2 2" xfId="30839"/>
    <cellStyle name="Input 4 2 3 2 2 4 2 3" xfId="30840"/>
    <cellStyle name="Input 4 2 3 2 2 4 2 3 2" xfId="30841"/>
    <cellStyle name="Input 4 2 3 2 2 4 2 4" xfId="30842"/>
    <cellStyle name="Input 4 2 3 2 2 4 2 5" xfId="30843"/>
    <cellStyle name="Input 4 2 3 2 2 4 2 6" xfId="30844"/>
    <cellStyle name="Input 4 2 3 2 2 4 3" xfId="30845"/>
    <cellStyle name="Input 4 2 3 2 2 4 3 2" xfId="30846"/>
    <cellStyle name="Input 4 2 3 2 2 4 4" xfId="30847"/>
    <cellStyle name="Input 4 2 3 2 2 4 4 2" xfId="30848"/>
    <cellStyle name="Input 4 2 3 2 2 4 5" xfId="30849"/>
    <cellStyle name="Input 4 2 3 2 2 4 6" xfId="30850"/>
    <cellStyle name="Input 4 2 3 2 2 4 7" xfId="30851"/>
    <cellStyle name="Input 4 2 3 2 2 5" xfId="30852"/>
    <cellStyle name="Input 4 2 3 2 2 5 2" xfId="30853"/>
    <cellStyle name="Input 4 2 3 2 2 5 2 2" xfId="30854"/>
    <cellStyle name="Input 4 2 3 2 2 5 3" xfId="30855"/>
    <cellStyle name="Input 4 2 3 2 2 5 3 2" xfId="30856"/>
    <cellStyle name="Input 4 2 3 2 2 5 4" xfId="30857"/>
    <cellStyle name="Input 4 2 3 2 2 5 5" xfId="30858"/>
    <cellStyle name="Input 4 2 3 2 2 5 6" xfId="30859"/>
    <cellStyle name="Input 4 2 3 2 2 6" xfId="30860"/>
    <cellStyle name="Input 4 2 3 2 2 6 2" xfId="30861"/>
    <cellStyle name="Input 4 2 3 2 2 7" xfId="30862"/>
    <cellStyle name="Input 4 2 3 2 2 7 2" xfId="30863"/>
    <cellStyle name="Input 4 2 3 2 2 8" xfId="30864"/>
    <cellStyle name="Input 4 2 3 2 2 9" xfId="30865"/>
    <cellStyle name="Input 4 2 3 2 3" xfId="30866"/>
    <cellStyle name="Input 4 2 3 2 3 2" xfId="30867"/>
    <cellStyle name="Input 4 2 3 2 3 2 2" xfId="30868"/>
    <cellStyle name="Input 4 2 3 2 3 2 2 2" xfId="30869"/>
    <cellStyle name="Input 4 2 3 2 3 2 2 2 2" xfId="30870"/>
    <cellStyle name="Input 4 2 3 2 3 2 2 3" xfId="30871"/>
    <cellStyle name="Input 4 2 3 2 3 2 2 3 2" xfId="30872"/>
    <cellStyle name="Input 4 2 3 2 3 2 2 4" xfId="30873"/>
    <cellStyle name="Input 4 2 3 2 3 2 2 5" xfId="30874"/>
    <cellStyle name="Input 4 2 3 2 3 2 2 6" xfId="30875"/>
    <cellStyle name="Input 4 2 3 2 3 2 3" xfId="30876"/>
    <cellStyle name="Input 4 2 3 2 3 2 3 2" xfId="30877"/>
    <cellStyle name="Input 4 2 3 2 3 2 4" xfId="30878"/>
    <cellStyle name="Input 4 2 3 2 3 2 4 2" xfId="30879"/>
    <cellStyle name="Input 4 2 3 2 3 2 5" xfId="30880"/>
    <cellStyle name="Input 4 2 3 2 3 2 6" xfId="30881"/>
    <cellStyle name="Input 4 2 3 2 3 2 7" xfId="30882"/>
    <cellStyle name="Input 4 2 3 2 3 3" xfId="30883"/>
    <cellStyle name="Input 4 2 3 2 3 3 2" xfId="30884"/>
    <cellStyle name="Input 4 2 3 2 3 3 2 2" xfId="30885"/>
    <cellStyle name="Input 4 2 3 2 3 3 3" xfId="30886"/>
    <cellStyle name="Input 4 2 3 2 3 3 3 2" xfId="30887"/>
    <cellStyle name="Input 4 2 3 2 3 3 4" xfId="30888"/>
    <cellStyle name="Input 4 2 3 2 3 3 5" xfId="30889"/>
    <cellStyle name="Input 4 2 3 2 3 3 6" xfId="30890"/>
    <cellStyle name="Input 4 2 3 2 3 4" xfId="30891"/>
    <cellStyle name="Input 4 2 3 2 3 4 2" xfId="30892"/>
    <cellStyle name="Input 4 2 3 2 3 5" xfId="30893"/>
    <cellStyle name="Input 4 2 3 2 3 5 2" xfId="30894"/>
    <cellStyle name="Input 4 2 3 2 3 6" xfId="30895"/>
    <cellStyle name="Input 4 2 3 2 3 7" xfId="30896"/>
    <cellStyle name="Input 4 2 3 2 3 8" xfId="30897"/>
    <cellStyle name="Input 4 2 3 2 4" xfId="30898"/>
    <cellStyle name="Input 4 2 3 2 4 2" xfId="30899"/>
    <cellStyle name="Input 4 2 3 2 4 2 2" xfId="30900"/>
    <cellStyle name="Input 4 2 3 2 4 2 2 2" xfId="30901"/>
    <cellStyle name="Input 4 2 3 2 4 2 2 2 2" xfId="30902"/>
    <cellStyle name="Input 4 2 3 2 4 2 2 3" xfId="30903"/>
    <cellStyle name="Input 4 2 3 2 4 2 2 3 2" xfId="30904"/>
    <cellStyle name="Input 4 2 3 2 4 2 2 4" xfId="30905"/>
    <cellStyle name="Input 4 2 3 2 4 2 2 5" xfId="30906"/>
    <cellStyle name="Input 4 2 3 2 4 2 2 6" xfId="30907"/>
    <cellStyle name="Input 4 2 3 2 4 2 3" xfId="30908"/>
    <cellStyle name="Input 4 2 3 2 4 2 3 2" xfId="30909"/>
    <cellStyle name="Input 4 2 3 2 4 2 4" xfId="30910"/>
    <cellStyle name="Input 4 2 3 2 4 2 4 2" xfId="30911"/>
    <cellStyle name="Input 4 2 3 2 4 2 5" xfId="30912"/>
    <cellStyle name="Input 4 2 3 2 4 2 6" xfId="30913"/>
    <cellStyle name="Input 4 2 3 2 4 2 7" xfId="30914"/>
    <cellStyle name="Input 4 2 3 2 4 3" xfId="30915"/>
    <cellStyle name="Input 4 2 3 2 4 3 2" xfId="30916"/>
    <cellStyle name="Input 4 2 3 2 4 3 2 2" xfId="30917"/>
    <cellStyle name="Input 4 2 3 2 4 3 3" xfId="30918"/>
    <cellStyle name="Input 4 2 3 2 4 3 3 2" xfId="30919"/>
    <cellStyle name="Input 4 2 3 2 4 3 4" xfId="30920"/>
    <cellStyle name="Input 4 2 3 2 4 3 5" xfId="30921"/>
    <cellStyle name="Input 4 2 3 2 4 3 6" xfId="30922"/>
    <cellStyle name="Input 4 2 3 2 4 4" xfId="30923"/>
    <cellStyle name="Input 4 2 3 2 4 4 2" xfId="30924"/>
    <cellStyle name="Input 4 2 3 2 4 5" xfId="30925"/>
    <cellStyle name="Input 4 2 3 2 4 5 2" xfId="30926"/>
    <cellStyle name="Input 4 2 3 2 4 6" xfId="30927"/>
    <cellStyle name="Input 4 2 3 2 4 7" xfId="30928"/>
    <cellStyle name="Input 4 2 3 2 4 8" xfId="30929"/>
    <cellStyle name="Input 4 2 3 2 5" xfId="30930"/>
    <cellStyle name="Input 4 2 3 2 5 2" xfId="30931"/>
    <cellStyle name="Input 4 2 3 2 5 2 2" xfId="30932"/>
    <cellStyle name="Input 4 2 3 2 5 2 2 2" xfId="30933"/>
    <cellStyle name="Input 4 2 3 2 5 2 3" xfId="30934"/>
    <cellStyle name="Input 4 2 3 2 5 2 3 2" xfId="30935"/>
    <cellStyle name="Input 4 2 3 2 5 2 4" xfId="30936"/>
    <cellStyle name="Input 4 2 3 2 5 2 5" xfId="30937"/>
    <cellStyle name="Input 4 2 3 2 5 2 6" xfId="30938"/>
    <cellStyle name="Input 4 2 3 2 5 3" xfId="30939"/>
    <cellStyle name="Input 4 2 3 2 5 3 2" xfId="30940"/>
    <cellStyle name="Input 4 2 3 2 5 4" xfId="30941"/>
    <cellStyle name="Input 4 2 3 2 5 4 2" xfId="30942"/>
    <cellStyle name="Input 4 2 3 2 5 5" xfId="30943"/>
    <cellStyle name="Input 4 2 3 2 5 6" xfId="30944"/>
    <cellStyle name="Input 4 2 3 2 5 7" xfId="30945"/>
    <cellStyle name="Input 4 2 3 2 6" xfId="30946"/>
    <cellStyle name="Input 4 2 3 2 6 2" xfId="30947"/>
    <cellStyle name="Input 4 2 3 2 6 2 2" xfId="30948"/>
    <cellStyle name="Input 4 2 3 2 6 3" xfId="30949"/>
    <cellStyle name="Input 4 2 3 2 6 3 2" xfId="30950"/>
    <cellStyle name="Input 4 2 3 2 6 4" xfId="30951"/>
    <cellStyle name="Input 4 2 3 2 6 5" xfId="30952"/>
    <cellStyle name="Input 4 2 3 2 6 6" xfId="30953"/>
    <cellStyle name="Input 4 2 3 2 7" xfId="30954"/>
    <cellStyle name="Input 4 2 3 2 7 2" xfId="30955"/>
    <cellStyle name="Input 4 2 3 2 8" xfId="30956"/>
    <cellStyle name="Input 4 2 3 2 8 2" xfId="30957"/>
    <cellStyle name="Input 4 2 3 2 9" xfId="30958"/>
    <cellStyle name="Input 4 2 3 3" xfId="30959"/>
    <cellStyle name="Input 4 2 3 3 10" xfId="30960"/>
    <cellStyle name="Input 4 2 3 3 2" xfId="30961"/>
    <cellStyle name="Input 4 2 3 3 2 10" xfId="30962"/>
    <cellStyle name="Input 4 2 3 3 2 2" xfId="30963"/>
    <cellStyle name="Input 4 2 3 3 2 2 2" xfId="30964"/>
    <cellStyle name="Input 4 2 3 3 2 2 2 2" xfId="30965"/>
    <cellStyle name="Input 4 2 3 3 2 2 2 2 2" xfId="30966"/>
    <cellStyle name="Input 4 2 3 3 2 2 2 2 2 2" xfId="30967"/>
    <cellStyle name="Input 4 2 3 3 2 2 2 2 3" xfId="30968"/>
    <cellStyle name="Input 4 2 3 3 2 2 2 2 3 2" xfId="30969"/>
    <cellStyle name="Input 4 2 3 3 2 2 2 2 4" xfId="30970"/>
    <cellStyle name="Input 4 2 3 3 2 2 2 2 5" xfId="30971"/>
    <cellStyle name="Input 4 2 3 3 2 2 2 2 6" xfId="30972"/>
    <cellStyle name="Input 4 2 3 3 2 2 2 3" xfId="30973"/>
    <cellStyle name="Input 4 2 3 3 2 2 2 3 2" xfId="30974"/>
    <cellStyle name="Input 4 2 3 3 2 2 2 4" xfId="30975"/>
    <cellStyle name="Input 4 2 3 3 2 2 2 4 2" xfId="30976"/>
    <cellStyle name="Input 4 2 3 3 2 2 2 5" xfId="30977"/>
    <cellStyle name="Input 4 2 3 3 2 2 2 6" xfId="30978"/>
    <cellStyle name="Input 4 2 3 3 2 2 2 7" xfId="30979"/>
    <cellStyle name="Input 4 2 3 3 2 2 3" xfId="30980"/>
    <cellStyle name="Input 4 2 3 3 2 2 3 2" xfId="30981"/>
    <cellStyle name="Input 4 2 3 3 2 2 3 2 2" xfId="30982"/>
    <cellStyle name="Input 4 2 3 3 2 2 3 3" xfId="30983"/>
    <cellStyle name="Input 4 2 3 3 2 2 3 3 2" xfId="30984"/>
    <cellStyle name="Input 4 2 3 3 2 2 3 4" xfId="30985"/>
    <cellStyle name="Input 4 2 3 3 2 2 3 5" xfId="30986"/>
    <cellStyle name="Input 4 2 3 3 2 2 3 6" xfId="30987"/>
    <cellStyle name="Input 4 2 3 3 2 2 4" xfId="30988"/>
    <cellStyle name="Input 4 2 3 3 2 2 4 2" xfId="30989"/>
    <cellStyle name="Input 4 2 3 3 2 2 5" xfId="30990"/>
    <cellStyle name="Input 4 2 3 3 2 2 5 2" xfId="30991"/>
    <cellStyle name="Input 4 2 3 3 2 2 6" xfId="30992"/>
    <cellStyle name="Input 4 2 3 3 2 2 7" xfId="30993"/>
    <cellStyle name="Input 4 2 3 3 2 2 8" xfId="30994"/>
    <cellStyle name="Input 4 2 3 3 2 3" xfId="30995"/>
    <cellStyle name="Input 4 2 3 3 2 3 2" xfId="30996"/>
    <cellStyle name="Input 4 2 3 3 2 3 2 2" xfId="30997"/>
    <cellStyle name="Input 4 2 3 3 2 3 2 2 2" xfId="30998"/>
    <cellStyle name="Input 4 2 3 3 2 3 2 2 2 2" xfId="30999"/>
    <cellStyle name="Input 4 2 3 3 2 3 2 2 3" xfId="31000"/>
    <cellStyle name="Input 4 2 3 3 2 3 2 2 3 2" xfId="31001"/>
    <cellStyle name="Input 4 2 3 3 2 3 2 2 4" xfId="31002"/>
    <cellStyle name="Input 4 2 3 3 2 3 2 2 5" xfId="31003"/>
    <cellStyle name="Input 4 2 3 3 2 3 2 2 6" xfId="31004"/>
    <cellStyle name="Input 4 2 3 3 2 3 2 3" xfId="31005"/>
    <cellStyle name="Input 4 2 3 3 2 3 2 3 2" xfId="31006"/>
    <cellStyle name="Input 4 2 3 3 2 3 2 4" xfId="31007"/>
    <cellStyle name="Input 4 2 3 3 2 3 2 4 2" xfId="31008"/>
    <cellStyle name="Input 4 2 3 3 2 3 2 5" xfId="31009"/>
    <cellStyle name="Input 4 2 3 3 2 3 2 6" xfId="31010"/>
    <cellStyle name="Input 4 2 3 3 2 3 2 7" xfId="31011"/>
    <cellStyle name="Input 4 2 3 3 2 3 3" xfId="31012"/>
    <cellStyle name="Input 4 2 3 3 2 3 3 2" xfId="31013"/>
    <cellStyle name="Input 4 2 3 3 2 3 3 2 2" xfId="31014"/>
    <cellStyle name="Input 4 2 3 3 2 3 3 3" xfId="31015"/>
    <cellStyle name="Input 4 2 3 3 2 3 3 3 2" xfId="31016"/>
    <cellStyle name="Input 4 2 3 3 2 3 3 4" xfId="31017"/>
    <cellStyle name="Input 4 2 3 3 2 3 3 5" xfId="31018"/>
    <cellStyle name="Input 4 2 3 3 2 3 3 6" xfId="31019"/>
    <cellStyle name="Input 4 2 3 3 2 3 4" xfId="31020"/>
    <cellStyle name="Input 4 2 3 3 2 3 4 2" xfId="31021"/>
    <cellStyle name="Input 4 2 3 3 2 3 5" xfId="31022"/>
    <cellStyle name="Input 4 2 3 3 2 3 5 2" xfId="31023"/>
    <cellStyle name="Input 4 2 3 3 2 3 6" xfId="31024"/>
    <cellStyle name="Input 4 2 3 3 2 3 7" xfId="31025"/>
    <cellStyle name="Input 4 2 3 3 2 3 8" xfId="31026"/>
    <cellStyle name="Input 4 2 3 3 2 4" xfId="31027"/>
    <cellStyle name="Input 4 2 3 3 2 4 2" xfId="31028"/>
    <cellStyle name="Input 4 2 3 3 2 4 2 2" xfId="31029"/>
    <cellStyle name="Input 4 2 3 3 2 4 2 2 2" xfId="31030"/>
    <cellStyle name="Input 4 2 3 3 2 4 2 3" xfId="31031"/>
    <cellStyle name="Input 4 2 3 3 2 4 2 3 2" xfId="31032"/>
    <cellStyle name="Input 4 2 3 3 2 4 2 4" xfId="31033"/>
    <cellStyle name="Input 4 2 3 3 2 4 2 5" xfId="31034"/>
    <cellStyle name="Input 4 2 3 3 2 4 2 6" xfId="31035"/>
    <cellStyle name="Input 4 2 3 3 2 4 3" xfId="31036"/>
    <cellStyle name="Input 4 2 3 3 2 4 3 2" xfId="31037"/>
    <cellStyle name="Input 4 2 3 3 2 4 4" xfId="31038"/>
    <cellStyle name="Input 4 2 3 3 2 4 4 2" xfId="31039"/>
    <cellStyle name="Input 4 2 3 3 2 4 5" xfId="31040"/>
    <cellStyle name="Input 4 2 3 3 2 4 6" xfId="31041"/>
    <cellStyle name="Input 4 2 3 3 2 4 7" xfId="31042"/>
    <cellStyle name="Input 4 2 3 3 2 5" xfId="31043"/>
    <cellStyle name="Input 4 2 3 3 2 5 2" xfId="31044"/>
    <cellStyle name="Input 4 2 3 3 2 5 2 2" xfId="31045"/>
    <cellStyle name="Input 4 2 3 3 2 5 3" xfId="31046"/>
    <cellStyle name="Input 4 2 3 3 2 5 3 2" xfId="31047"/>
    <cellStyle name="Input 4 2 3 3 2 5 4" xfId="31048"/>
    <cellStyle name="Input 4 2 3 3 2 5 5" xfId="31049"/>
    <cellStyle name="Input 4 2 3 3 2 5 6" xfId="31050"/>
    <cellStyle name="Input 4 2 3 3 2 6" xfId="31051"/>
    <cellStyle name="Input 4 2 3 3 2 6 2" xfId="31052"/>
    <cellStyle name="Input 4 2 3 3 2 7" xfId="31053"/>
    <cellStyle name="Input 4 2 3 3 2 7 2" xfId="31054"/>
    <cellStyle name="Input 4 2 3 3 2 8" xfId="31055"/>
    <cellStyle name="Input 4 2 3 3 2 9" xfId="31056"/>
    <cellStyle name="Input 4 2 3 3 3" xfId="31057"/>
    <cellStyle name="Input 4 2 3 3 3 2" xfId="31058"/>
    <cellStyle name="Input 4 2 3 3 3 2 2" xfId="31059"/>
    <cellStyle name="Input 4 2 3 3 3 2 2 2" xfId="31060"/>
    <cellStyle name="Input 4 2 3 3 3 2 2 2 2" xfId="31061"/>
    <cellStyle name="Input 4 2 3 3 3 2 2 3" xfId="31062"/>
    <cellStyle name="Input 4 2 3 3 3 2 2 3 2" xfId="31063"/>
    <cellStyle name="Input 4 2 3 3 3 2 2 4" xfId="31064"/>
    <cellStyle name="Input 4 2 3 3 3 2 2 5" xfId="31065"/>
    <cellStyle name="Input 4 2 3 3 3 2 2 6" xfId="31066"/>
    <cellStyle name="Input 4 2 3 3 3 2 3" xfId="31067"/>
    <cellStyle name="Input 4 2 3 3 3 2 3 2" xfId="31068"/>
    <cellStyle name="Input 4 2 3 3 3 2 4" xfId="31069"/>
    <cellStyle name="Input 4 2 3 3 3 2 4 2" xfId="31070"/>
    <cellStyle name="Input 4 2 3 3 3 2 5" xfId="31071"/>
    <cellStyle name="Input 4 2 3 3 3 2 6" xfId="31072"/>
    <cellStyle name="Input 4 2 3 3 3 2 7" xfId="31073"/>
    <cellStyle name="Input 4 2 3 3 3 3" xfId="31074"/>
    <cellStyle name="Input 4 2 3 3 3 3 2" xfId="31075"/>
    <cellStyle name="Input 4 2 3 3 3 3 2 2" xfId="31076"/>
    <cellStyle name="Input 4 2 3 3 3 3 3" xfId="31077"/>
    <cellStyle name="Input 4 2 3 3 3 3 3 2" xfId="31078"/>
    <cellStyle name="Input 4 2 3 3 3 3 4" xfId="31079"/>
    <cellStyle name="Input 4 2 3 3 3 3 5" xfId="31080"/>
    <cellStyle name="Input 4 2 3 3 3 3 6" xfId="31081"/>
    <cellStyle name="Input 4 2 3 3 3 4" xfId="31082"/>
    <cellStyle name="Input 4 2 3 3 3 4 2" xfId="31083"/>
    <cellStyle name="Input 4 2 3 3 3 5" xfId="31084"/>
    <cellStyle name="Input 4 2 3 3 3 5 2" xfId="31085"/>
    <cellStyle name="Input 4 2 3 3 3 6" xfId="31086"/>
    <cellStyle name="Input 4 2 3 3 3 7" xfId="31087"/>
    <cellStyle name="Input 4 2 3 3 3 8" xfId="31088"/>
    <cellStyle name="Input 4 2 3 3 4" xfId="31089"/>
    <cellStyle name="Input 4 2 3 3 4 2" xfId="31090"/>
    <cellStyle name="Input 4 2 3 3 4 2 2" xfId="31091"/>
    <cellStyle name="Input 4 2 3 3 4 2 2 2" xfId="31092"/>
    <cellStyle name="Input 4 2 3 3 4 2 3" xfId="31093"/>
    <cellStyle name="Input 4 2 3 3 4 2 3 2" xfId="31094"/>
    <cellStyle name="Input 4 2 3 3 4 2 4" xfId="31095"/>
    <cellStyle name="Input 4 2 3 3 4 2 5" xfId="31096"/>
    <cellStyle name="Input 4 2 3 3 4 2 6" xfId="31097"/>
    <cellStyle name="Input 4 2 3 3 4 3" xfId="31098"/>
    <cellStyle name="Input 4 2 3 3 4 3 2" xfId="31099"/>
    <cellStyle name="Input 4 2 3 3 4 4" xfId="31100"/>
    <cellStyle name="Input 4 2 3 3 4 4 2" xfId="31101"/>
    <cellStyle name="Input 4 2 3 3 4 5" xfId="31102"/>
    <cellStyle name="Input 4 2 3 3 4 6" xfId="31103"/>
    <cellStyle name="Input 4 2 3 3 4 7" xfId="31104"/>
    <cellStyle name="Input 4 2 3 3 5" xfId="31105"/>
    <cellStyle name="Input 4 2 3 3 5 2" xfId="31106"/>
    <cellStyle name="Input 4 2 3 3 5 2 2" xfId="31107"/>
    <cellStyle name="Input 4 2 3 3 5 3" xfId="31108"/>
    <cellStyle name="Input 4 2 3 3 5 3 2" xfId="31109"/>
    <cellStyle name="Input 4 2 3 3 5 4" xfId="31110"/>
    <cellStyle name="Input 4 2 3 3 5 5" xfId="31111"/>
    <cellStyle name="Input 4 2 3 3 5 6" xfId="31112"/>
    <cellStyle name="Input 4 2 3 3 6" xfId="31113"/>
    <cellStyle name="Input 4 2 3 3 6 2" xfId="31114"/>
    <cellStyle name="Input 4 2 3 3 7" xfId="31115"/>
    <cellStyle name="Input 4 2 3 3 7 2" xfId="31116"/>
    <cellStyle name="Input 4 2 3 3 8" xfId="31117"/>
    <cellStyle name="Input 4 2 3 3 9" xfId="31118"/>
    <cellStyle name="Input 4 2 3 4" xfId="31119"/>
    <cellStyle name="Input 4 2 3 4 10" xfId="31120"/>
    <cellStyle name="Input 4 2 3 4 2" xfId="31121"/>
    <cellStyle name="Input 4 2 3 4 2 2" xfId="31122"/>
    <cellStyle name="Input 4 2 3 4 2 2 2" xfId="31123"/>
    <cellStyle name="Input 4 2 3 4 2 2 2 2" xfId="31124"/>
    <cellStyle name="Input 4 2 3 4 2 2 2 2 2" xfId="31125"/>
    <cellStyle name="Input 4 2 3 4 2 2 2 3" xfId="31126"/>
    <cellStyle name="Input 4 2 3 4 2 2 2 3 2" xfId="31127"/>
    <cellStyle name="Input 4 2 3 4 2 2 2 4" xfId="31128"/>
    <cellStyle name="Input 4 2 3 4 2 2 2 5" xfId="31129"/>
    <cellStyle name="Input 4 2 3 4 2 2 2 6" xfId="31130"/>
    <cellStyle name="Input 4 2 3 4 2 2 3" xfId="31131"/>
    <cellStyle name="Input 4 2 3 4 2 2 3 2" xfId="31132"/>
    <cellStyle name="Input 4 2 3 4 2 2 4" xfId="31133"/>
    <cellStyle name="Input 4 2 3 4 2 2 4 2" xfId="31134"/>
    <cellStyle name="Input 4 2 3 4 2 2 5" xfId="31135"/>
    <cellStyle name="Input 4 2 3 4 2 2 6" xfId="31136"/>
    <cellStyle name="Input 4 2 3 4 2 2 7" xfId="31137"/>
    <cellStyle name="Input 4 2 3 4 2 3" xfId="31138"/>
    <cellStyle name="Input 4 2 3 4 2 3 2" xfId="31139"/>
    <cellStyle name="Input 4 2 3 4 2 3 2 2" xfId="31140"/>
    <cellStyle name="Input 4 2 3 4 2 3 3" xfId="31141"/>
    <cellStyle name="Input 4 2 3 4 2 3 3 2" xfId="31142"/>
    <cellStyle name="Input 4 2 3 4 2 3 4" xfId="31143"/>
    <cellStyle name="Input 4 2 3 4 2 3 5" xfId="31144"/>
    <cellStyle name="Input 4 2 3 4 2 3 6" xfId="31145"/>
    <cellStyle name="Input 4 2 3 4 2 4" xfId="31146"/>
    <cellStyle name="Input 4 2 3 4 2 4 2" xfId="31147"/>
    <cellStyle name="Input 4 2 3 4 2 5" xfId="31148"/>
    <cellStyle name="Input 4 2 3 4 2 5 2" xfId="31149"/>
    <cellStyle name="Input 4 2 3 4 2 6" xfId="31150"/>
    <cellStyle name="Input 4 2 3 4 2 7" xfId="31151"/>
    <cellStyle name="Input 4 2 3 4 2 8" xfId="31152"/>
    <cellStyle name="Input 4 2 3 4 3" xfId="31153"/>
    <cellStyle name="Input 4 2 3 4 3 2" xfId="31154"/>
    <cellStyle name="Input 4 2 3 4 3 2 2" xfId="31155"/>
    <cellStyle name="Input 4 2 3 4 3 2 2 2" xfId="31156"/>
    <cellStyle name="Input 4 2 3 4 3 2 2 2 2" xfId="31157"/>
    <cellStyle name="Input 4 2 3 4 3 2 2 3" xfId="31158"/>
    <cellStyle name="Input 4 2 3 4 3 2 2 3 2" xfId="31159"/>
    <cellStyle name="Input 4 2 3 4 3 2 2 4" xfId="31160"/>
    <cellStyle name="Input 4 2 3 4 3 2 2 5" xfId="31161"/>
    <cellStyle name="Input 4 2 3 4 3 2 2 6" xfId="31162"/>
    <cellStyle name="Input 4 2 3 4 3 2 3" xfId="31163"/>
    <cellStyle name="Input 4 2 3 4 3 2 3 2" xfId="31164"/>
    <cellStyle name="Input 4 2 3 4 3 2 4" xfId="31165"/>
    <cellStyle name="Input 4 2 3 4 3 2 4 2" xfId="31166"/>
    <cellStyle name="Input 4 2 3 4 3 2 5" xfId="31167"/>
    <cellStyle name="Input 4 2 3 4 3 2 6" xfId="31168"/>
    <cellStyle name="Input 4 2 3 4 3 2 7" xfId="31169"/>
    <cellStyle name="Input 4 2 3 4 3 3" xfId="31170"/>
    <cellStyle name="Input 4 2 3 4 3 3 2" xfId="31171"/>
    <cellStyle name="Input 4 2 3 4 3 3 2 2" xfId="31172"/>
    <cellStyle name="Input 4 2 3 4 3 3 3" xfId="31173"/>
    <cellStyle name="Input 4 2 3 4 3 3 3 2" xfId="31174"/>
    <cellStyle name="Input 4 2 3 4 3 3 4" xfId="31175"/>
    <cellStyle name="Input 4 2 3 4 3 3 5" xfId="31176"/>
    <cellStyle name="Input 4 2 3 4 3 3 6" xfId="31177"/>
    <cellStyle name="Input 4 2 3 4 3 4" xfId="31178"/>
    <cellStyle name="Input 4 2 3 4 3 4 2" xfId="31179"/>
    <cellStyle name="Input 4 2 3 4 3 5" xfId="31180"/>
    <cellStyle name="Input 4 2 3 4 3 5 2" xfId="31181"/>
    <cellStyle name="Input 4 2 3 4 3 6" xfId="31182"/>
    <cellStyle name="Input 4 2 3 4 3 7" xfId="31183"/>
    <cellStyle name="Input 4 2 3 4 3 8" xfId="31184"/>
    <cellStyle name="Input 4 2 3 4 4" xfId="31185"/>
    <cellStyle name="Input 4 2 3 4 4 2" xfId="31186"/>
    <cellStyle name="Input 4 2 3 4 4 2 2" xfId="31187"/>
    <cellStyle name="Input 4 2 3 4 4 2 2 2" xfId="31188"/>
    <cellStyle name="Input 4 2 3 4 4 2 3" xfId="31189"/>
    <cellStyle name="Input 4 2 3 4 4 2 3 2" xfId="31190"/>
    <cellStyle name="Input 4 2 3 4 4 2 4" xfId="31191"/>
    <cellStyle name="Input 4 2 3 4 4 2 5" xfId="31192"/>
    <cellStyle name="Input 4 2 3 4 4 2 6" xfId="31193"/>
    <cellStyle name="Input 4 2 3 4 4 3" xfId="31194"/>
    <cellStyle name="Input 4 2 3 4 4 3 2" xfId="31195"/>
    <cellStyle name="Input 4 2 3 4 4 4" xfId="31196"/>
    <cellStyle name="Input 4 2 3 4 4 4 2" xfId="31197"/>
    <cellStyle name="Input 4 2 3 4 4 5" xfId="31198"/>
    <cellStyle name="Input 4 2 3 4 4 6" xfId="31199"/>
    <cellStyle name="Input 4 2 3 4 4 7" xfId="31200"/>
    <cellStyle name="Input 4 2 3 4 5" xfId="31201"/>
    <cellStyle name="Input 4 2 3 4 5 2" xfId="31202"/>
    <cellStyle name="Input 4 2 3 4 5 2 2" xfId="31203"/>
    <cellStyle name="Input 4 2 3 4 5 3" xfId="31204"/>
    <cellStyle name="Input 4 2 3 4 5 3 2" xfId="31205"/>
    <cellStyle name="Input 4 2 3 4 5 4" xfId="31206"/>
    <cellStyle name="Input 4 2 3 4 5 5" xfId="31207"/>
    <cellStyle name="Input 4 2 3 4 5 6" xfId="31208"/>
    <cellStyle name="Input 4 2 3 4 6" xfId="31209"/>
    <cellStyle name="Input 4 2 3 4 6 2" xfId="31210"/>
    <cellStyle name="Input 4 2 3 4 7" xfId="31211"/>
    <cellStyle name="Input 4 2 3 4 7 2" xfId="31212"/>
    <cellStyle name="Input 4 2 3 4 8" xfId="31213"/>
    <cellStyle name="Input 4 2 3 4 9" xfId="31214"/>
    <cellStyle name="Input 4 2 3 5" xfId="31215"/>
    <cellStyle name="Input 4 2 3 5 2" xfId="31216"/>
    <cellStyle name="Input 4 2 3 5 2 2" xfId="31217"/>
    <cellStyle name="Input 4 2 3 5 2 2 2" xfId="31218"/>
    <cellStyle name="Input 4 2 3 5 2 2 2 2" xfId="31219"/>
    <cellStyle name="Input 4 2 3 5 2 2 3" xfId="31220"/>
    <cellStyle name="Input 4 2 3 5 2 2 3 2" xfId="31221"/>
    <cellStyle name="Input 4 2 3 5 2 2 4" xfId="31222"/>
    <cellStyle name="Input 4 2 3 5 2 2 5" xfId="31223"/>
    <cellStyle name="Input 4 2 3 5 2 2 6" xfId="31224"/>
    <cellStyle name="Input 4 2 3 5 2 3" xfId="31225"/>
    <cellStyle name="Input 4 2 3 5 2 3 2" xfId="31226"/>
    <cellStyle name="Input 4 2 3 5 2 4" xfId="31227"/>
    <cellStyle name="Input 4 2 3 5 2 4 2" xfId="31228"/>
    <cellStyle name="Input 4 2 3 5 2 5" xfId="31229"/>
    <cellStyle name="Input 4 2 3 5 2 6" xfId="31230"/>
    <cellStyle name="Input 4 2 3 5 2 7" xfId="31231"/>
    <cellStyle name="Input 4 2 3 5 3" xfId="31232"/>
    <cellStyle name="Input 4 2 3 5 3 2" xfId="31233"/>
    <cellStyle name="Input 4 2 3 5 3 2 2" xfId="31234"/>
    <cellStyle name="Input 4 2 3 5 3 3" xfId="31235"/>
    <cellStyle name="Input 4 2 3 5 3 3 2" xfId="31236"/>
    <cellStyle name="Input 4 2 3 5 3 4" xfId="31237"/>
    <cellStyle name="Input 4 2 3 5 3 5" xfId="31238"/>
    <cellStyle name="Input 4 2 3 5 3 6" xfId="31239"/>
    <cellStyle name="Input 4 2 3 5 4" xfId="31240"/>
    <cellStyle name="Input 4 2 3 5 4 2" xfId="31241"/>
    <cellStyle name="Input 4 2 3 5 5" xfId="31242"/>
    <cellStyle name="Input 4 2 3 5 5 2" xfId="31243"/>
    <cellStyle name="Input 4 2 3 5 6" xfId="31244"/>
    <cellStyle name="Input 4 2 3 5 7" xfId="31245"/>
    <cellStyle name="Input 4 2 3 5 8" xfId="31246"/>
    <cellStyle name="Input 4 2 3 6" xfId="31247"/>
    <cellStyle name="Input 4 2 3 6 2" xfId="31248"/>
    <cellStyle name="Input 4 2 3 6 2 2" xfId="31249"/>
    <cellStyle name="Input 4 2 3 6 2 2 2" xfId="31250"/>
    <cellStyle name="Input 4 2 3 6 2 3" xfId="31251"/>
    <cellStyle name="Input 4 2 3 6 2 3 2" xfId="31252"/>
    <cellStyle name="Input 4 2 3 6 2 4" xfId="31253"/>
    <cellStyle name="Input 4 2 3 6 2 5" xfId="31254"/>
    <cellStyle name="Input 4 2 3 6 2 6" xfId="31255"/>
    <cellStyle name="Input 4 2 3 6 3" xfId="31256"/>
    <cellStyle name="Input 4 2 3 6 3 2" xfId="31257"/>
    <cellStyle name="Input 4 2 3 6 4" xfId="31258"/>
    <cellStyle name="Input 4 2 3 6 4 2" xfId="31259"/>
    <cellStyle name="Input 4 2 3 6 5" xfId="31260"/>
    <cellStyle name="Input 4 2 3 6 6" xfId="31261"/>
    <cellStyle name="Input 4 2 3 6 7" xfId="31262"/>
    <cellStyle name="Input 4 2 3 7" xfId="31263"/>
    <cellStyle name="Input 4 2 3 7 2" xfId="31264"/>
    <cellStyle name="Input 4 2 3 7 2 2" xfId="31265"/>
    <cellStyle name="Input 4 2 3 7 3" xfId="31266"/>
    <cellStyle name="Input 4 2 3 7 3 2" xfId="31267"/>
    <cellStyle name="Input 4 2 3 7 4" xfId="31268"/>
    <cellStyle name="Input 4 2 3 7 5" xfId="31269"/>
    <cellStyle name="Input 4 2 3 7 6" xfId="31270"/>
    <cellStyle name="Input 4 2 3 8" xfId="31271"/>
    <cellStyle name="Input 4 2 3 8 2" xfId="31272"/>
    <cellStyle name="Input 4 2 3 9" xfId="31273"/>
    <cellStyle name="Input 4 2 3 9 2" xfId="31274"/>
    <cellStyle name="Input 4 2 4" xfId="31275"/>
    <cellStyle name="Input 4 2 4 10" xfId="31276"/>
    <cellStyle name="Input 4 2 4 11" xfId="31277"/>
    <cellStyle name="Input 4 2 4 2" xfId="31278"/>
    <cellStyle name="Input 4 2 4 2 10" xfId="31279"/>
    <cellStyle name="Input 4 2 4 2 2" xfId="31280"/>
    <cellStyle name="Input 4 2 4 2 2 10" xfId="31281"/>
    <cellStyle name="Input 4 2 4 2 2 2" xfId="31282"/>
    <cellStyle name="Input 4 2 4 2 2 2 2" xfId="31283"/>
    <cellStyle name="Input 4 2 4 2 2 2 2 2" xfId="31284"/>
    <cellStyle name="Input 4 2 4 2 2 2 2 2 2" xfId="31285"/>
    <cellStyle name="Input 4 2 4 2 2 2 2 2 2 2" xfId="31286"/>
    <cellStyle name="Input 4 2 4 2 2 2 2 2 3" xfId="31287"/>
    <cellStyle name="Input 4 2 4 2 2 2 2 2 3 2" xfId="31288"/>
    <cellStyle name="Input 4 2 4 2 2 2 2 2 4" xfId="31289"/>
    <cellStyle name="Input 4 2 4 2 2 2 2 2 5" xfId="31290"/>
    <cellStyle name="Input 4 2 4 2 2 2 2 2 6" xfId="31291"/>
    <cellStyle name="Input 4 2 4 2 2 2 2 3" xfId="31292"/>
    <cellStyle name="Input 4 2 4 2 2 2 2 3 2" xfId="31293"/>
    <cellStyle name="Input 4 2 4 2 2 2 2 4" xfId="31294"/>
    <cellStyle name="Input 4 2 4 2 2 2 2 4 2" xfId="31295"/>
    <cellStyle name="Input 4 2 4 2 2 2 2 5" xfId="31296"/>
    <cellStyle name="Input 4 2 4 2 2 2 2 6" xfId="31297"/>
    <cellStyle name="Input 4 2 4 2 2 2 2 7" xfId="31298"/>
    <cellStyle name="Input 4 2 4 2 2 2 3" xfId="31299"/>
    <cellStyle name="Input 4 2 4 2 2 2 3 2" xfId="31300"/>
    <cellStyle name="Input 4 2 4 2 2 2 3 2 2" xfId="31301"/>
    <cellStyle name="Input 4 2 4 2 2 2 3 3" xfId="31302"/>
    <cellStyle name="Input 4 2 4 2 2 2 3 3 2" xfId="31303"/>
    <cellStyle name="Input 4 2 4 2 2 2 3 4" xfId="31304"/>
    <cellStyle name="Input 4 2 4 2 2 2 3 5" xfId="31305"/>
    <cellStyle name="Input 4 2 4 2 2 2 3 6" xfId="31306"/>
    <cellStyle name="Input 4 2 4 2 2 2 4" xfId="31307"/>
    <cellStyle name="Input 4 2 4 2 2 2 4 2" xfId="31308"/>
    <cellStyle name="Input 4 2 4 2 2 2 5" xfId="31309"/>
    <cellStyle name="Input 4 2 4 2 2 2 5 2" xfId="31310"/>
    <cellStyle name="Input 4 2 4 2 2 2 6" xfId="31311"/>
    <cellStyle name="Input 4 2 4 2 2 2 7" xfId="31312"/>
    <cellStyle name="Input 4 2 4 2 2 2 8" xfId="31313"/>
    <cellStyle name="Input 4 2 4 2 2 3" xfId="31314"/>
    <cellStyle name="Input 4 2 4 2 2 3 2" xfId="31315"/>
    <cellStyle name="Input 4 2 4 2 2 3 2 2" xfId="31316"/>
    <cellStyle name="Input 4 2 4 2 2 3 2 2 2" xfId="31317"/>
    <cellStyle name="Input 4 2 4 2 2 3 2 2 2 2" xfId="31318"/>
    <cellStyle name="Input 4 2 4 2 2 3 2 2 3" xfId="31319"/>
    <cellStyle name="Input 4 2 4 2 2 3 2 2 3 2" xfId="31320"/>
    <cellStyle name="Input 4 2 4 2 2 3 2 2 4" xfId="31321"/>
    <cellStyle name="Input 4 2 4 2 2 3 2 2 5" xfId="31322"/>
    <cellStyle name="Input 4 2 4 2 2 3 2 2 6" xfId="31323"/>
    <cellStyle name="Input 4 2 4 2 2 3 2 3" xfId="31324"/>
    <cellStyle name="Input 4 2 4 2 2 3 2 3 2" xfId="31325"/>
    <cellStyle name="Input 4 2 4 2 2 3 2 4" xfId="31326"/>
    <cellStyle name="Input 4 2 4 2 2 3 2 4 2" xfId="31327"/>
    <cellStyle name="Input 4 2 4 2 2 3 2 5" xfId="31328"/>
    <cellStyle name="Input 4 2 4 2 2 3 2 6" xfId="31329"/>
    <cellStyle name="Input 4 2 4 2 2 3 2 7" xfId="31330"/>
    <cellStyle name="Input 4 2 4 2 2 3 3" xfId="31331"/>
    <cellStyle name="Input 4 2 4 2 2 3 3 2" xfId="31332"/>
    <cellStyle name="Input 4 2 4 2 2 3 3 2 2" xfId="31333"/>
    <cellStyle name="Input 4 2 4 2 2 3 3 3" xfId="31334"/>
    <cellStyle name="Input 4 2 4 2 2 3 3 3 2" xfId="31335"/>
    <cellStyle name="Input 4 2 4 2 2 3 3 4" xfId="31336"/>
    <cellStyle name="Input 4 2 4 2 2 3 3 5" xfId="31337"/>
    <cellStyle name="Input 4 2 4 2 2 3 3 6" xfId="31338"/>
    <cellStyle name="Input 4 2 4 2 2 3 4" xfId="31339"/>
    <cellStyle name="Input 4 2 4 2 2 3 4 2" xfId="31340"/>
    <cellStyle name="Input 4 2 4 2 2 3 5" xfId="31341"/>
    <cellStyle name="Input 4 2 4 2 2 3 5 2" xfId="31342"/>
    <cellStyle name="Input 4 2 4 2 2 3 6" xfId="31343"/>
    <cellStyle name="Input 4 2 4 2 2 3 7" xfId="31344"/>
    <cellStyle name="Input 4 2 4 2 2 3 8" xfId="31345"/>
    <cellStyle name="Input 4 2 4 2 2 4" xfId="31346"/>
    <cellStyle name="Input 4 2 4 2 2 4 2" xfId="31347"/>
    <cellStyle name="Input 4 2 4 2 2 4 2 2" xfId="31348"/>
    <cellStyle name="Input 4 2 4 2 2 4 2 2 2" xfId="31349"/>
    <cellStyle name="Input 4 2 4 2 2 4 2 3" xfId="31350"/>
    <cellStyle name="Input 4 2 4 2 2 4 2 3 2" xfId="31351"/>
    <cellStyle name="Input 4 2 4 2 2 4 2 4" xfId="31352"/>
    <cellStyle name="Input 4 2 4 2 2 4 2 5" xfId="31353"/>
    <cellStyle name="Input 4 2 4 2 2 4 2 6" xfId="31354"/>
    <cellStyle name="Input 4 2 4 2 2 4 3" xfId="31355"/>
    <cellStyle name="Input 4 2 4 2 2 4 3 2" xfId="31356"/>
    <cellStyle name="Input 4 2 4 2 2 4 4" xfId="31357"/>
    <cellStyle name="Input 4 2 4 2 2 4 4 2" xfId="31358"/>
    <cellStyle name="Input 4 2 4 2 2 4 5" xfId="31359"/>
    <cellStyle name="Input 4 2 4 2 2 4 6" xfId="31360"/>
    <cellStyle name="Input 4 2 4 2 2 4 7" xfId="31361"/>
    <cellStyle name="Input 4 2 4 2 2 5" xfId="31362"/>
    <cellStyle name="Input 4 2 4 2 2 5 2" xfId="31363"/>
    <cellStyle name="Input 4 2 4 2 2 5 2 2" xfId="31364"/>
    <cellStyle name="Input 4 2 4 2 2 5 3" xfId="31365"/>
    <cellStyle name="Input 4 2 4 2 2 5 3 2" xfId="31366"/>
    <cellStyle name="Input 4 2 4 2 2 5 4" xfId="31367"/>
    <cellStyle name="Input 4 2 4 2 2 5 5" xfId="31368"/>
    <cellStyle name="Input 4 2 4 2 2 5 6" xfId="31369"/>
    <cellStyle name="Input 4 2 4 2 2 6" xfId="31370"/>
    <cellStyle name="Input 4 2 4 2 2 6 2" xfId="31371"/>
    <cellStyle name="Input 4 2 4 2 2 7" xfId="31372"/>
    <cellStyle name="Input 4 2 4 2 2 7 2" xfId="31373"/>
    <cellStyle name="Input 4 2 4 2 2 8" xfId="31374"/>
    <cellStyle name="Input 4 2 4 2 2 9" xfId="31375"/>
    <cellStyle name="Input 4 2 4 2 3" xfId="31376"/>
    <cellStyle name="Input 4 2 4 2 3 2" xfId="31377"/>
    <cellStyle name="Input 4 2 4 2 3 2 2" xfId="31378"/>
    <cellStyle name="Input 4 2 4 2 3 2 2 2" xfId="31379"/>
    <cellStyle name="Input 4 2 4 2 3 2 2 2 2" xfId="31380"/>
    <cellStyle name="Input 4 2 4 2 3 2 2 3" xfId="31381"/>
    <cellStyle name="Input 4 2 4 2 3 2 2 3 2" xfId="31382"/>
    <cellStyle name="Input 4 2 4 2 3 2 2 4" xfId="31383"/>
    <cellStyle name="Input 4 2 4 2 3 2 2 5" xfId="31384"/>
    <cellStyle name="Input 4 2 4 2 3 2 2 6" xfId="31385"/>
    <cellStyle name="Input 4 2 4 2 3 2 3" xfId="31386"/>
    <cellStyle name="Input 4 2 4 2 3 2 3 2" xfId="31387"/>
    <cellStyle name="Input 4 2 4 2 3 2 4" xfId="31388"/>
    <cellStyle name="Input 4 2 4 2 3 2 4 2" xfId="31389"/>
    <cellStyle name="Input 4 2 4 2 3 2 5" xfId="31390"/>
    <cellStyle name="Input 4 2 4 2 3 2 6" xfId="31391"/>
    <cellStyle name="Input 4 2 4 2 3 2 7" xfId="31392"/>
    <cellStyle name="Input 4 2 4 2 3 3" xfId="31393"/>
    <cellStyle name="Input 4 2 4 2 3 3 2" xfId="31394"/>
    <cellStyle name="Input 4 2 4 2 3 3 2 2" xfId="31395"/>
    <cellStyle name="Input 4 2 4 2 3 3 3" xfId="31396"/>
    <cellStyle name="Input 4 2 4 2 3 3 3 2" xfId="31397"/>
    <cellStyle name="Input 4 2 4 2 3 3 4" xfId="31398"/>
    <cellStyle name="Input 4 2 4 2 3 3 5" xfId="31399"/>
    <cellStyle name="Input 4 2 4 2 3 3 6" xfId="31400"/>
    <cellStyle name="Input 4 2 4 2 3 4" xfId="31401"/>
    <cellStyle name="Input 4 2 4 2 3 4 2" xfId="31402"/>
    <cellStyle name="Input 4 2 4 2 3 5" xfId="31403"/>
    <cellStyle name="Input 4 2 4 2 3 5 2" xfId="31404"/>
    <cellStyle name="Input 4 2 4 2 3 6" xfId="31405"/>
    <cellStyle name="Input 4 2 4 2 3 7" xfId="31406"/>
    <cellStyle name="Input 4 2 4 2 3 8" xfId="31407"/>
    <cellStyle name="Input 4 2 4 2 4" xfId="31408"/>
    <cellStyle name="Input 4 2 4 2 4 2" xfId="31409"/>
    <cellStyle name="Input 4 2 4 2 4 2 2" xfId="31410"/>
    <cellStyle name="Input 4 2 4 2 4 2 2 2" xfId="31411"/>
    <cellStyle name="Input 4 2 4 2 4 2 3" xfId="31412"/>
    <cellStyle name="Input 4 2 4 2 4 2 3 2" xfId="31413"/>
    <cellStyle name="Input 4 2 4 2 4 2 4" xfId="31414"/>
    <cellStyle name="Input 4 2 4 2 4 2 5" xfId="31415"/>
    <cellStyle name="Input 4 2 4 2 4 2 6" xfId="31416"/>
    <cellStyle name="Input 4 2 4 2 4 3" xfId="31417"/>
    <cellStyle name="Input 4 2 4 2 4 3 2" xfId="31418"/>
    <cellStyle name="Input 4 2 4 2 4 4" xfId="31419"/>
    <cellStyle name="Input 4 2 4 2 4 4 2" xfId="31420"/>
    <cellStyle name="Input 4 2 4 2 4 5" xfId="31421"/>
    <cellStyle name="Input 4 2 4 2 4 6" xfId="31422"/>
    <cellStyle name="Input 4 2 4 2 4 7" xfId="31423"/>
    <cellStyle name="Input 4 2 4 2 5" xfId="31424"/>
    <cellStyle name="Input 4 2 4 2 5 2" xfId="31425"/>
    <cellStyle name="Input 4 2 4 2 5 2 2" xfId="31426"/>
    <cellStyle name="Input 4 2 4 2 5 3" xfId="31427"/>
    <cellStyle name="Input 4 2 4 2 5 3 2" xfId="31428"/>
    <cellStyle name="Input 4 2 4 2 5 4" xfId="31429"/>
    <cellStyle name="Input 4 2 4 2 5 5" xfId="31430"/>
    <cellStyle name="Input 4 2 4 2 5 6" xfId="31431"/>
    <cellStyle name="Input 4 2 4 2 6" xfId="31432"/>
    <cellStyle name="Input 4 2 4 2 6 2" xfId="31433"/>
    <cellStyle name="Input 4 2 4 2 7" xfId="31434"/>
    <cellStyle name="Input 4 2 4 2 7 2" xfId="31435"/>
    <cellStyle name="Input 4 2 4 2 8" xfId="31436"/>
    <cellStyle name="Input 4 2 4 2 9" xfId="31437"/>
    <cellStyle name="Input 4 2 4 3" xfId="31438"/>
    <cellStyle name="Input 4 2 4 3 10" xfId="31439"/>
    <cellStyle name="Input 4 2 4 3 2" xfId="31440"/>
    <cellStyle name="Input 4 2 4 3 2 2" xfId="31441"/>
    <cellStyle name="Input 4 2 4 3 2 2 2" xfId="31442"/>
    <cellStyle name="Input 4 2 4 3 2 2 2 2" xfId="31443"/>
    <cellStyle name="Input 4 2 4 3 2 2 2 2 2" xfId="31444"/>
    <cellStyle name="Input 4 2 4 3 2 2 2 3" xfId="31445"/>
    <cellStyle name="Input 4 2 4 3 2 2 2 3 2" xfId="31446"/>
    <cellStyle name="Input 4 2 4 3 2 2 2 4" xfId="31447"/>
    <cellStyle name="Input 4 2 4 3 2 2 2 5" xfId="31448"/>
    <cellStyle name="Input 4 2 4 3 2 2 2 6" xfId="31449"/>
    <cellStyle name="Input 4 2 4 3 2 2 3" xfId="31450"/>
    <cellStyle name="Input 4 2 4 3 2 2 3 2" xfId="31451"/>
    <cellStyle name="Input 4 2 4 3 2 2 4" xfId="31452"/>
    <cellStyle name="Input 4 2 4 3 2 2 4 2" xfId="31453"/>
    <cellStyle name="Input 4 2 4 3 2 2 5" xfId="31454"/>
    <cellStyle name="Input 4 2 4 3 2 2 6" xfId="31455"/>
    <cellStyle name="Input 4 2 4 3 2 2 7" xfId="31456"/>
    <cellStyle name="Input 4 2 4 3 2 3" xfId="31457"/>
    <cellStyle name="Input 4 2 4 3 2 3 2" xfId="31458"/>
    <cellStyle name="Input 4 2 4 3 2 3 2 2" xfId="31459"/>
    <cellStyle name="Input 4 2 4 3 2 3 3" xfId="31460"/>
    <cellStyle name="Input 4 2 4 3 2 3 3 2" xfId="31461"/>
    <cellStyle name="Input 4 2 4 3 2 3 4" xfId="31462"/>
    <cellStyle name="Input 4 2 4 3 2 3 5" xfId="31463"/>
    <cellStyle name="Input 4 2 4 3 2 3 6" xfId="31464"/>
    <cellStyle name="Input 4 2 4 3 2 4" xfId="31465"/>
    <cellStyle name="Input 4 2 4 3 2 4 2" xfId="31466"/>
    <cellStyle name="Input 4 2 4 3 2 5" xfId="31467"/>
    <cellStyle name="Input 4 2 4 3 2 5 2" xfId="31468"/>
    <cellStyle name="Input 4 2 4 3 2 6" xfId="31469"/>
    <cellStyle name="Input 4 2 4 3 2 7" xfId="31470"/>
    <cellStyle name="Input 4 2 4 3 2 8" xfId="31471"/>
    <cellStyle name="Input 4 2 4 3 3" xfId="31472"/>
    <cellStyle name="Input 4 2 4 3 3 2" xfId="31473"/>
    <cellStyle name="Input 4 2 4 3 3 2 2" xfId="31474"/>
    <cellStyle name="Input 4 2 4 3 3 2 2 2" xfId="31475"/>
    <cellStyle name="Input 4 2 4 3 3 2 2 2 2" xfId="31476"/>
    <cellStyle name="Input 4 2 4 3 3 2 2 3" xfId="31477"/>
    <cellStyle name="Input 4 2 4 3 3 2 2 3 2" xfId="31478"/>
    <cellStyle name="Input 4 2 4 3 3 2 2 4" xfId="31479"/>
    <cellStyle name="Input 4 2 4 3 3 2 2 5" xfId="31480"/>
    <cellStyle name="Input 4 2 4 3 3 2 2 6" xfId="31481"/>
    <cellStyle name="Input 4 2 4 3 3 2 3" xfId="31482"/>
    <cellStyle name="Input 4 2 4 3 3 2 3 2" xfId="31483"/>
    <cellStyle name="Input 4 2 4 3 3 2 4" xfId="31484"/>
    <cellStyle name="Input 4 2 4 3 3 2 4 2" xfId="31485"/>
    <cellStyle name="Input 4 2 4 3 3 2 5" xfId="31486"/>
    <cellStyle name="Input 4 2 4 3 3 2 6" xfId="31487"/>
    <cellStyle name="Input 4 2 4 3 3 2 7" xfId="31488"/>
    <cellStyle name="Input 4 2 4 3 3 3" xfId="31489"/>
    <cellStyle name="Input 4 2 4 3 3 3 2" xfId="31490"/>
    <cellStyle name="Input 4 2 4 3 3 3 2 2" xfId="31491"/>
    <cellStyle name="Input 4 2 4 3 3 3 3" xfId="31492"/>
    <cellStyle name="Input 4 2 4 3 3 3 3 2" xfId="31493"/>
    <cellStyle name="Input 4 2 4 3 3 3 4" xfId="31494"/>
    <cellStyle name="Input 4 2 4 3 3 3 5" xfId="31495"/>
    <cellStyle name="Input 4 2 4 3 3 3 6" xfId="31496"/>
    <cellStyle name="Input 4 2 4 3 3 4" xfId="31497"/>
    <cellStyle name="Input 4 2 4 3 3 4 2" xfId="31498"/>
    <cellStyle name="Input 4 2 4 3 3 5" xfId="31499"/>
    <cellStyle name="Input 4 2 4 3 3 5 2" xfId="31500"/>
    <cellStyle name="Input 4 2 4 3 3 6" xfId="31501"/>
    <cellStyle name="Input 4 2 4 3 3 7" xfId="31502"/>
    <cellStyle name="Input 4 2 4 3 3 8" xfId="31503"/>
    <cellStyle name="Input 4 2 4 3 4" xfId="31504"/>
    <cellStyle name="Input 4 2 4 3 4 2" xfId="31505"/>
    <cellStyle name="Input 4 2 4 3 4 2 2" xfId="31506"/>
    <cellStyle name="Input 4 2 4 3 4 2 2 2" xfId="31507"/>
    <cellStyle name="Input 4 2 4 3 4 2 3" xfId="31508"/>
    <cellStyle name="Input 4 2 4 3 4 2 3 2" xfId="31509"/>
    <cellStyle name="Input 4 2 4 3 4 2 4" xfId="31510"/>
    <cellStyle name="Input 4 2 4 3 4 2 5" xfId="31511"/>
    <cellStyle name="Input 4 2 4 3 4 2 6" xfId="31512"/>
    <cellStyle name="Input 4 2 4 3 4 3" xfId="31513"/>
    <cellStyle name="Input 4 2 4 3 4 3 2" xfId="31514"/>
    <cellStyle name="Input 4 2 4 3 4 4" xfId="31515"/>
    <cellStyle name="Input 4 2 4 3 4 4 2" xfId="31516"/>
    <cellStyle name="Input 4 2 4 3 4 5" xfId="31517"/>
    <cellStyle name="Input 4 2 4 3 4 6" xfId="31518"/>
    <cellStyle name="Input 4 2 4 3 4 7" xfId="31519"/>
    <cellStyle name="Input 4 2 4 3 5" xfId="31520"/>
    <cellStyle name="Input 4 2 4 3 5 2" xfId="31521"/>
    <cellStyle name="Input 4 2 4 3 5 2 2" xfId="31522"/>
    <cellStyle name="Input 4 2 4 3 5 3" xfId="31523"/>
    <cellStyle name="Input 4 2 4 3 5 3 2" xfId="31524"/>
    <cellStyle name="Input 4 2 4 3 5 4" xfId="31525"/>
    <cellStyle name="Input 4 2 4 3 5 5" xfId="31526"/>
    <cellStyle name="Input 4 2 4 3 5 6" xfId="31527"/>
    <cellStyle name="Input 4 2 4 3 6" xfId="31528"/>
    <cellStyle name="Input 4 2 4 3 6 2" xfId="31529"/>
    <cellStyle name="Input 4 2 4 3 7" xfId="31530"/>
    <cellStyle name="Input 4 2 4 3 7 2" xfId="31531"/>
    <cellStyle name="Input 4 2 4 3 8" xfId="31532"/>
    <cellStyle name="Input 4 2 4 3 9" xfId="31533"/>
    <cellStyle name="Input 4 2 4 4" xfId="31534"/>
    <cellStyle name="Input 4 2 4 4 2" xfId="31535"/>
    <cellStyle name="Input 4 2 4 4 2 2" xfId="31536"/>
    <cellStyle name="Input 4 2 4 4 2 2 2" xfId="31537"/>
    <cellStyle name="Input 4 2 4 4 2 2 2 2" xfId="31538"/>
    <cellStyle name="Input 4 2 4 4 2 2 3" xfId="31539"/>
    <cellStyle name="Input 4 2 4 4 2 2 3 2" xfId="31540"/>
    <cellStyle name="Input 4 2 4 4 2 2 4" xfId="31541"/>
    <cellStyle name="Input 4 2 4 4 2 2 5" xfId="31542"/>
    <cellStyle name="Input 4 2 4 4 2 2 6" xfId="31543"/>
    <cellStyle name="Input 4 2 4 4 2 3" xfId="31544"/>
    <cellStyle name="Input 4 2 4 4 2 3 2" xfId="31545"/>
    <cellStyle name="Input 4 2 4 4 2 4" xfId="31546"/>
    <cellStyle name="Input 4 2 4 4 2 4 2" xfId="31547"/>
    <cellStyle name="Input 4 2 4 4 2 5" xfId="31548"/>
    <cellStyle name="Input 4 2 4 4 2 6" xfId="31549"/>
    <cellStyle name="Input 4 2 4 4 2 7" xfId="31550"/>
    <cellStyle name="Input 4 2 4 4 3" xfId="31551"/>
    <cellStyle name="Input 4 2 4 4 3 2" xfId="31552"/>
    <cellStyle name="Input 4 2 4 4 3 2 2" xfId="31553"/>
    <cellStyle name="Input 4 2 4 4 3 3" xfId="31554"/>
    <cellStyle name="Input 4 2 4 4 3 3 2" xfId="31555"/>
    <cellStyle name="Input 4 2 4 4 3 4" xfId="31556"/>
    <cellStyle name="Input 4 2 4 4 3 5" xfId="31557"/>
    <cellStyle name="Input 4 2 4 4 3 6" xfId="31558"/>
    <cellStyle name="Input 4 2 4 4 4" xfId="31559"/>
    <cellStyle name="Input 4 2 4 4 4 2" xfId="31560"/>
    <cellStyle name="Input 4 2 4 4 5" xfId="31561"/>
    <cellStyle name="Input 4 2 4 4 5 2" xfId="31562"/>
    <cellStyle name="Input 4 2 4 4 6" xfId="31563"/>
    <cellStyle name="Input 4 2 4 4 7" xfId="31564"/>
    <cellStyle name="Input 4 2 4 4 8" xfId="31565"/>
    <cellStyle name="Input 4 2 4 5" xfId="31566"/>
    <cellStyle name="Input 4 2 4 5 2" xfId="31567"/>
    <cellStyle name="Input 4 2 4 5 2 2" xfId="31568"/>
    <cellStyle name="Input 4 2 4 5 2 2 2" xfId="31569"/>
    <cellStyle name="Input 4 2 4 5 2 3" xfId="31570"/>
    <cellStyle name="Input 4 2 4 5 2 3 2" xfId="31571"/>
    <cellStyle name="Input 4 2 4 5 2 4" xfId="31572"/>
    <cellStyle name="Input 4 2 4 5 2 5" xfId="31573"/>
    <cellStyle name="Input 4 2 4 5 2 6" xfId="31574"/>
    <cellStyle name="Input 4 2 4 5 3" xfId="31575"/>
    <cellStyle name="Input 4 2 4 5 3 2" xfId="31576"/>
    <cellStyle name="Input 4 2 4 5 4" xfId="31577"/>
    <cellStyle name="Input 4 2 4 5 4 2" xfId="31578"/>
    <cellStyle name="Input 4 2 4 5 5" xfId="31579"/>
    <cellStyle name="Input 4 2 4 5 6" xfId="31580"/>
    <cellStyle name="Input 4 2 4 5 7" xfId="31581"/>
    <cellStyle name="Input 4 2 4 6" xfId="31582"/>
    <cellStyle name="Input 4 2 4 6 2" xfId="31583"/>
    <cellStyle name="Input 4 2 4 6 2 2" xfId="31584"/>
    <cellStyle name="Input 4 2 4 6 3" xfId="31585"/>
    <cellStyle name="Input 4 2 4 6 3 2" xfId="31586"/>
    <cellStyle name="Input 4 2 4 6 4" xfId="31587"/>
    <cellStyle name="Input 4 2 4 6 5" xfId="31588"/>
    <cellStyle name="Input 4 2 4 6 6" xfId="31589"/>
    <cellStyle name="Input 4 2 4 7" xfId="31590"/>
    <cellStyle name="Input 4 2 4 7 2" xfId="31591"/>
    <cellStyle name="Input 4 2 4 8" xfId="31592"/>
    <cellStyle name="Input 4 2 4 8 2" xfId="31593"/>
    <cellStyle name="Input 4 2 4 9" xfId="31594"/>
    <cellStyle name="Input 4 2 5" xfId="31595"/>
    <cellStyle name="Input 4 2 5 10" xfId="31596"/>
    <cellStyle name="Input 4 2 5 2" xfId="31597"/>
    <cellStyle name="Input 4 2 5 2 2" xfId="31598"/>
    <cellStyle name="Input 4 2 5 2 2 2" xfId="31599"/>
    <cellStyle name="Input 4 2 5 2 2 2 2" xfId="31600"/>
    <cellStyle name="Input 4 2 5 2 2 2 2 2" xfId="31601"/>
    <cellStyle name="Input 4 2 5 2 2 2 3" xfId="31602"/>
    <cellStyle name="Input 4 2 5 2 2 2 3 2" xfId="31603"/>
    <cellStyle name="Input 4 2 5 2 2 2 4" xfId="31604"/>
    <cellStyle name="Input 4 2 5 2 2 2 5" xfId="31605"/>
    <cellStyle name="Input 4 2 5 2 2 2 6" xfId="31606"/>
    <cellStyle name="Input 4 2 5 2 2 3" xfId="31607"/>
    <cellStyle name="Input 4 2 5 2 2 3 2" xfId="31608"/>
    <cellStyle name="Input 4 2 5 2 2 4" xfId="31609"/>
    <cellStyle name="Input 4 2 5 2 2 4 2" xfId="31610"/>
    <cellStyle name="Input 4 2 5 2 2 5" xfId="31611"/>
    <cellStyle name="Input 4 2 5 2 2 6" xfId="31612"/>
    <cellStyle name="Input 4 2 5 2 2 7" xfId="31613"/>
    <cellStyle name="Input 4 2 5 2 3" xfId="31614"/>
    <cellStyle name="Input 4 2 5 2 3 2" xfId="31615"/>
    <cellStyle name="Input 4 2 5 2 3 2 2" xfId="31616"/>
    <cellStyle name="Input 4 2 5 2 3 3" xfId="31617"/>
    <cellStyle name="Input 4 2 5 2 3 3 2" xfId="31618"/>
    <cellStyle name="Input 4 2 5 2 3 4" xfId="31619"/>
    <cellStyle name="Input 4 2 5 2 3 5" xfId="31620"/>
    <cellStyle name="Input 4 2 5 2 3 6" xfId="31621"/>
    <cellStyle name="Input 4 2 5 2 4" xfId="31622"/>
    <cellStyle name="Input 4 2 5 2 4 2" xfId="31623"/>
    <cellStyle name="Input 4 2 5 2 5" xfId="31624"/>
    <cellStyle name="Input 4 2 5 2 5 2" xfId="31625"/>
    <cellStyle name="Input 4 2 5 2 6" xfId="31626"/>
    <cellStyle name="Input 4 2 5 2 7" xfId="31627"/>
    <cellStyle name="Input 4 2 5 2 8" xfId="31628"/>
    <cellStyle name="Input 4 2 5 3" xfId="31629"/>
    <cellStyle name="Input 4 2 5 3 2" xfId="31630"/>
    <cellStyle name="Input 4 2 5 3 2 2" xfId="31631"/>
    <cellStyle name="Input 4 2 5 3 2 2 2" xfId="31632"/>
    <cellStyle name="Input 4 2 5 3 2 2 2 2" xfId="31633"/>
    <cellStyle name="Input 4 2 5 3 2 2 3" xfId="31634"/>
    <cellStyle name="Input 4 2 5 3 2 2 3 2" xfId="31635"/>
    <cellStyle name="Input 4 2 5 3 2 2 4" xfId="31636"/>
    <cellStyle name="Input 4 2 5 3 2 2 5" xfId="31637"/>
    <cellStyle name="Input 4 2 5 3 2 2 6" xfId="31638"/>
    <cellStyle name="Input 4 2 5 3 2 3" xfId="31639"/>
    <cellStyle name="Input 4 2 5 3 2 3 2" xfId="31640"/>
    <cellStyle name="Input 4 2 5 3 2 4" xfId="31641"/>
    <cellStyle name="Input 4 2 5 3 2 4 2" xfId="31642"/>
    <cellStyle name="Input 4 2 5 3 2 5" xfId="31643"/>
    <cellStyle name="Input 4 2 5 3 2 6" xfId="31644"/>
    <cellStyle name="Input 4 2 5 3 2 7" xfId="31645"/>
    <cellStyle name="Input 4 2 5 3 3" xfId="31646"/>
    <cellStyle name="Input 4 2 5 3 3 2" xfId="31647"/>
    <cellStyle name="Input 4 2 5 3 3 2 2" xfId="31648"/>
    <cellStyle name="Input 4 2 5 3 3 3" xfId="31649"/>
    <cellStyle name="Input 4 2 5 3 3 3 2" xfId="31650"/>
    <cellStyle name="Input 4 2 5 3 3 4" xfId="31651"/>
    <cellStyle name="Input 4 2 5 3 3 5" xfId="31652"/>
    <cellStyle name="Input 4 2 5 3 3 6" xfId="31653"/>
    <cellStyle name="Input 4 2 5 3 4" xfId="31654"/>
    <cellStyle name="Input 4 2 5 3 4 2" xfId="31655"/>
    <cellStyle name="Input 4 2 5 3 5" xfId="31656"/>
    <cellStyle name="Input 4 2 5 3 5 2" xfId="31657"/>
    <cellStyle name="Input 4 2 5 3 6" xfId="31658"/>
    <cellStyle name="Input 4 2 5 3 7" xfId="31659"/>
    <cellStyle name="Input 4 2 5 3 8" xfId="31660"/>
    <cellStyle name="Input 4 2 5 4" xfId="31661"/>
    <cellStyle name="Input 4 2 5 4 2" xfId="31662"/>
    <cellStyle name="Input 4 2 5 4 2 2" xfId="31663"/>
    <cellStyle name="Input 4 2 5 4 2 2 2" xfId="31664"/>
    <cellStyle name="Input 4 2 5 4 2 3" xfId="31665"/>
    <cellStyle name="Input 4 2 5 4 2 3 2" xfId="31666"/>
    <cellStyle name="Input 4 2 5 4 2 4" xfId="31667"/>
    <cellStyle name="Input 4 2 5 4 2 5" xfId="31668"/>
    <cellStyle name="Input 4 2 5 4 2 6" xfId="31669"/>
    <cellStyle name="Input 4 2 5 4 3" xfId="31670"/>
    <cellStyle name="Input 4 2 5 4 3 2" xfId="31671"/>
    <cellStyle name="Input 4 2 5 4 4" xfId="31672"/>
    <cellStyle name="Input 4 2 5 4 4 2" xfId="31673"/>
    <cellStyle name="Input 4 2 5 4 5" xfId="31674"/>
    <cellStyle name="Input 4 2 5 4 6" xfId="31675"/>
    <cellStyle name="Input 4 2 5 4 7" xfId="31676"/>
    <cellStyle name="Input 4 2 5 5" xfId="31677"/>
    <cellStyle name="Input 4 2 5 5 2" xfId="31678"/>
    <cellStyle name="Input 4 2 5 5 2 2" xfId="31679"/>
    <cellStyle name="Input 4 2 5 5 3" xfId="31680"/>
    <cellStyle name="Input 4 2 5 5 3 2" xfId="31681"/>
    <cellStyle name="Input 4 2 5 5 4" xfId="31682"/>
    <cellStyle name="Input 4 2 5 5 5" xfId="31683"/>
    <cellStyle name="Input 4 2 5 5 6" xfId="31684"/>
    <cellStyle name="Input 4 2 5 6" xfId="31685"/>
    <cellStyle name="Input 4 2 5 6 2" xfId="31686"/>
    <cellStyle name="Input 4 2 5 7" xfId="31687"/>
    <cellStyle name="Input 4 2 5 7 2" xfId="31688"/>
    <cellStyle name="Input 4 2 5 8" xfId="31689"/>
    <cellStyle name="Input 4 2 5 9" xfId="31690"/>
    <cellStyle name="Input 4 2 6" xfId="31691"/>
    <cellStyle name="Input 4 2 6 2" xfId="31692"/>
    <cellStyle name="Input 4 2 6 2 2" xfId="31693"/>
    <cellStyle name="Input 4 2 6 2 2 2" xfId="31694"/>
    <cellStyle name="Input 4 2 6 2 2 2 2" xfId="31695"/>
    <cellStyle name="Input 4 2 6 2 2 3" xfId="31696"/>
    <cellStyle name="Input 4 2 6 2 2 3 2" xfId="31697"/>
    <cellStyle name="Input 4 2 6 2 2 4" xfId="31698"/>
    <cellStyle name="Input 4 2 6 2 2 5" xfId="31699"/>
    <cellStyle name="Input 4 2 6 2 2 6" xfId="31700"/>
    <cellStyle name="Input 4 2 6 2 3" xfId="31701"/>
    <cellStyle name="Input 4 2 6 2 3 2" xfId="31702"/>
    <cellStyle name="Input 4 2 6 2 4" xfId="31703"/>
    <cellStyle name="Input 4 2 6 2 4 2" xfId="31704"/>
    <cellStyle name="Input 4 2 6 2 5" xfId="31705"/>
    <cellStyle name="Input 4 2 6 2 6" xfId="31706"/>
    <cellStyle name="Input 4 2 6 2 7" xfId="31707"/>
    <cellStyle name="Input 4 2 6 3" xfId="31708"/>
    <cellStyle name="Input 4 2 6 3 2" xfId="31709"/>
    <cellStyle name="Input 4 2 6 3 2 2" xfId="31710"/>
    <cellStyle name="Input 4 2 6 3 3" xfId="31711"/>
    <cellStyle name="Input 4 2 6 3 3 2" xfId="31712"/>
    <cellStyle name="Input 4 2 6 3 4" xfId="31713"/>
    <cellStyle name="Input 4 2 6 3 5" xfId="31714"/>
    <cellStyle name="Input 4 2 6 3 6" xfId="31715"/>
    <cellStyle name="Input 4 2 6 4" xfId="31716"/>
    <cellStyle name="Input 4 2 6 4 2" xfId="31717"/>
    <cellStyle name="Input 4 2 6 5" xfId="31718"/>
    <cellStyle name="Input 4 2 6 5 2" xfId="31719"/>
    <cellStyle name="Input 4 2 6 6" xfId="31720"/>
    <cellStyle name="Input 4 2 6 7" xfId="31721"/>
    <cellStyle name="Input 4 2 6 8" xfId="31722"/>
    <cellStyle name="Input 4 2 7" xfId="31723"/>
    <cellStyle name="Input 4 2 7 2" xfId="31724"/>
    <cellStyle name="Input 4 2 7 2 2" xfId="31725"/>
    <cellStyle name="Input 4 2 7 2 2 2" xfId="31726"/>
    <cellStyle name="Input 4 2 7 2 3" xfId="31727"/>
    <cellStyle name="Input 4 2 7 2 3 2" xfId="31728"/>
    <cellStyle name="Input 4 2 7 2 4" xfId="31729"/>
    <cellStyle name="Input 4 2 7 2 5" xfId="31730"/>
    <cellStyle name="Input 4 2 7 2 6" xfId="31731"/>
    <cellStyle name="Input 4 2 7 3" xfId="31732"/>
    <cellStyle name="Input 4 2 7 3 2" xfId="31733"/>
    <cellStyle name="Input 4 2 7 4" xfId="31734"/>
    <cellStyle name="Input 4 2 7 4 2" xfId="31735"/>
    <cellStyle name="Input 4 2 7 5" xfId="31736"/>
    <cellStyle name="Input 4 2 7 6" xfId="31737"/>
    <cellStyle name="Input 4 2 7 7" xfId="31738"/>
    <cellStyle name="Input 4 2 8" xfId="31739"/>
    <cellStyle name="Input 4 2 8 2" xfId="31740"/>
    <cellStyle name="Input 4 2 9" xfId="31741"/>
    <cellStyle name="Input 4 2 9 2" xfId="31742"/>
    <cellStyle name="Input 4 3" xfId="31743"/>
    <cellStyle name="Input 4 3 10" xfId="31744"/>
    <cellStyle name="Input 4 3 11" xfId="31745"/>
    <cellStyle name="Input 4 3 12" xfId="31746"/>
    <cellStyle name="Input 4 3 2" xfId="31747"/>
    <cellStyle name="Input 4 3 2 10" xfId="31748"/>
    <cellStyle name="Input 4 3 2 11" xfId="31749"/>
    <cellStyle name="Input 4 3 2 2" xfId="31750"/>
    <cellStyle name="Input 4 3 2 2 10" xfId="31751"/>
    <cellStyle name="Input 4 3 2 2 2" xfId="31752"/>
    <cellStyle name="Input 4 3 2 2 2 2" xfId="31753"/>
    <cellStyle name="Input 4 3 2 2 2 2 2" xfId="31754"/>
    <cellStyle name="Input 4 3 2 2 2 2 2 2" xfId="31755"/>
    <cellStyle name="Input 4 3 2 2 2 2 2 2 2" xfId="31756"/>
    <cellStyle name="Input 4 3 2 2 2 2 2 3" xfId="31757"/>
    <cellStyle name="Input 4 3 2 2 2 2 2 3 2" xfId="31758"/>
    <cellStyle name="Input 4 3 2 2 2 2 2 4" xfId="31759"/>
    <cellStyle name="Input 4 3 2 2 2 2 2 5" xfId="31760"/>
    <cellStyle name="Input 4 3 2 2 2 2 2 6" xfId="31761"/>
    <cellStyle name="Input 4 3 2 2 2 2 3" xfId="31762"/>
    <cellStyle name="Input 4 3 2 2 2 2 3 2" xfId="31763"/>
    <cellStyle name="Input 4 3 2 2 2 2 4" xfId="31764"/>
    <cellStyle name="Input 4 3 2 2 2 2 4 2" xfId="31765"/>
    <cellStyle name="Input 4 3 2 2 2 2 5" xfId="31766"/>
    <cellStyle name="Input 4 3 2 2 2 2 6" xfId="31767"/>
    <cellStyle name="Input 4 3 2 2 2 2 7" xfId="31768"/>
    <cellStyle name="Input 4 3 2 2 2 3" xfId="31769"/>
    <cellStyle name="Input 4 3 2 2 2 3 2" xfId="31770"/>
    <cellStyle name="Input 4 3 2 2 2 3 2 2" xfId="31771"/>
    <cellStyle name="Input 4 3 2 2 2 3 3" xfId="31772"/>
    <cellStyle name="Input 4 3 2 2 2 3 3 2" xfId="31773"/>
    <cellStyle name="Input 4 3 2 2 2 3 4" xfId="31774"/>
    <cellStyle name="Input 4 3 2 2 2 3 5" xfId="31775"/>
    <cellStyle name="Input 4 3 2 2 2 3 6" xfId="31776"/>
    <cellStyle name="Input 4 3 2 2 2 4" xfId="31777"/>
    <cellStyle name="Input 4 3 2 2 2 4 2" xfId="31778"/>
    <cellStyle name="Input 4 3 2 2 2 5" xfId="31779"/>
    <cellStyle name="Input 4 3 2 2 2 5 2" xfId="31780"/>
    <cellStyle name="Input 4 3 2 2 2 6" xfId="31781"/>
    <cellStyle name="Input 4 3 2 2 2 7" xfId="31782"/>
    <cellStyle name="Input 4 3 2 2 2 8" xfId="31783"/>
    <cellStyle name="Input 4 3 2 2 3" xfId="31784"/>
    <cellStyle name="Input 4 3 2 2 3 2" xfId="31785"/>
    <cellStyle name="Input 4 3 2 2 3 2 2" xfId="31786"/>
    <cellStyle name="Input 4 3 2 2 3 2 2 2" xfId="31787"/>
    <cellStyle name="Input 4 3 2 2 3 2 2 2 2" xfId="31788"/>
    <cellStyle name="Input 4 3 2 2 3 2 2 3" xfId="31789"/>
    <cellStyle name="Input 4 3 2 2 3 2 2 3 2" xfId="31790"/>
    <cellStyle name="Input 4 3 2 2 3 2 2 4" xfId="31791"/>
    <cellStyle name="Input 4 3 2 2 3 2 2 5" xfId="31792"/>
    <cellStyle name="Input 4 3 2 2 3 2 2 6" xfId="31793"/>
    <cellStyle name="Input 4 3 2 2 3 2 3" xfId="31794"/>
    <cellStyle name="Input 4 3 2 2 3 2 3 2" xfId="31795"/>
    <cellStyle name="Input 4 3 2 2 3 2 4" xfId="31796"/>
    <cellStyle name="Input 4 3 2 2 3 2 4 2" xfId="31797"/>
    <cellStyle name="Input 4 3 2 2 3 2 5" xfId="31798"/>
    <cellStyle name="Input 4 3 2 2 3 2 6" xfId="31799"/>
    <cellStyle name="Input 4 3 2 2 3 2 7" xfId="31800"/>
    <cellStyle name="Input 4 3 2 2 3 3" xfId="31801"/>
    <cellStyle name="Input 4 3 2 2 3 3 2" xfId="31802"/>
    <cellStyle name="Input 4 3 2 2 3 3 2 2" xfId="31803"/>
    <cellStyle name="Input 4 3 2 2 3 3 3" xfId="31804"/>
    <cellStyle name="Input 4 3 2 2 3 3 3 2" xfId="31805"/>
    <cellStyle name="Input 4 3 2 2 3 3 4" xfId="31806"/>
    <cellStyle name="Input 4 3 2 2 3 3 5" xfId="31807"/>
    <cellStyle name="Input 4 3 2 2 3 3 6" xfId="31808"/>
    <cellStyle name="Input 4 3 2 2 3 4" xfId="31809"/>
    <cellStyle name="Input 4 3 2 2 3 4 2" xfId="31810"/>
    <cellStyle name="Input 4 3 2 2 3 5" xfId="31811"/>
    <cellStyle name="Input 4 3 2 2 3 5 2" xfId="31812"/>
    <cellStyle name="Input 4 3 2 2 3 6" xfId="31813"/>
    <cellStyle name="Input 4 3 2 2 3 7" xfId="31814"/>
    <cellStyle name="Input 4 3 2 2 3 8" xfId="31815"/>
    <cellStyle name="Input 4 3 2 2 4" xfId="31816"/>
    <cellStyle name="Input 4 3 2 2 4 2" xfId="31817"/>
    <cellStyle name="Input 4 3 2 2 4 2 2" xfId="31818"/>
    <cellStyle name="Input 4 3 2 2 4 2 2 2" xfId="31819"/>
    <cellStyle name="Input 4 3 2 2 4 2 3" xfId="31820"/>
    <cellStyle name="Input 4 3 2 2 4 2 3 2" xfId="31821"/>
    <cellStyle name="Input 4 3 2 2 4 2 4" xfId="31822"/>
    <cellStyle name="Input 4 3 2 2 4 2 5" xfId="31823"/>
    <cellStyle name="Input 4 3 2 2 4 2 6" xfId="31824"/>
    <cellStyle name="Input 4 3 2 2 4 3" xfId="31825"/>
    <cellStyle name="Input 4 3 2 2 4 3 2" xfId="31826"/>
    <cellStyle name="Input 4 3 2 2 4 4" xfId="31827"/>
    <cellStyle name="Input 4 3 2 2 4 4 2" xfId="31828"/>
    <cellStyle name="Input 4 3 2 2 4 5" xfId="31829"/>
    <cellStyle name="Input 4 3 2 2 4 6" xfId="31830"/>
    <cellStyle name="Input 4 3 2 2 4 7" xfId="31831"/>
    <cellStyle name="Input 4 3 2 2 5" xfId="31832"/>
    <cellStyle name="Input 4 3 2 2 5 2" xfId="31833"/>
    <cellStyle name="Input 4 3 2 2 5 2 2" xfId="31834"/>
    <cellStyle name="Input 4 3 2 2 5 3" xfId="31835"/>
    <cellStyle name="Input 4 3 2 2 5 3 2" xfId="31836"/>
    <cellStyle name="Input 4 3 2 2 5 4" xfId="31837"/>
    <cellStyle name="Input 4 3 2 2 5 5" xfId="31838"/>
    <cellStyle name="Input 4 3 2 2 5 6" xfId="31839"/>
    <cellStyle name="Input 4 3 2 2 6" xfId="31840"/>
    <cellStyle name="Input 4 3 2 2 6 2" xfId="31841"/>
    <cellStyle name="Input 4 3 2 2 7" xfId="31842"/>
    <cellStyle name="Input 4 3 2 2 7 2" xfId="31843"/>
    <cellStyle name="Input 4 3 2 2 8" xfId="31844"/>
    <cellStyle name="Input 4 3 2 2 9" xfId="31845"/>
    <cellStyle name="Input 4 3 2 3" xfId="31846"/>
    <cellStyle name="Input 4 3 2 3 2" xfId="31847"/>
    <cellStyle name="Input 4 3 2 3 2 2" xfId="31848"/>
    <cellStyle name="Input 4 3 2 3 2 2 2" xfId="31849"/>
    <cellStyle name="Input 4 3 2 3 2 2 2 2" xfId="31850"/>
    <cellStyle name="Input 4 3 2 3 2 2 3" xfId="31851"/>
    <cellStyle name="Input 4 3 2 3 2 2 3 2" xfId="31852"/>
    <cellStyle name="Input 4 3 2 3 2 2 4" xfId="31853"/>
    <cellStyle name="Input 4 3 2 3 2 2 5" xfId="31854"/>
    <cellStyle name="Input 4 3 2 3 2 2 6" xfId="31855"/>
    <cellStyle name="Input 4 3 2 3 2 3" xfId="31856"/>
    <cellStyle name="Input 4 3 2 3 2 3 2" xfId="31857"/>
    <cellStyle name="Input 4 3 2 3 2 4" xfId="31858"/>
    <cellStyle name="Input 4 3 2 3 2 4 2" xfId="31859"/>
    <cellStyle name="Input 4 3 2 3 2 5" xfId="31860"/>
    <cellStyle name="Input 4 3 2 3 2 6" xfId="31861"/>
    <cellStyle name="Input 4 3 2 3 2 7" xfId="31862"/>
    <cellStyle name="Input 4 3 2 3 3" xfId="31863"/>
    <cellStyle name="Input 4 3 2 3 3 2" xfId="31864"/>
    <cellStyle name="Input 4 3 2 3 3 2 2" xfId="31865"/>
    <cellStyle name="Input 4 3 2 3 3 3" xfId="31866"/>
    <cellStyle name="Input 4 3 2 3 3 3 2" xfId="31867"/>
    <cellStyle name="Input 4 3 2 3 3 4" xfId="31868"/>
    <cellStyle name="Input 4 3 2 3 3 5" xfId="31869"/>
    <cellStyle name="Input 4 3 2 3 3 6" xfId="31870"/>
    <cellStyle name="Input 4 3 2 3 4" xfId="31871"/>
    <cellStyle name="Input 4 3 2 3 4 2" xfId="31872"/>
    <cellStyle name="Input 4 3 2 3 5" xfId="31873"/>
    <cellStyle name="Input 4 3 2 3 5 2" xfId="31874"/>
    <cellStyle name="Input 4 3 2 3 6" xfId="31875"/>
    <cellStyle name="Input 4 3 2 3 7" xfId="31876"/>
    <cellStyle name="Input 4 3 2 3 8" xfId="31877"/>
    <cellStyle name="Input 4 3 2 4" xfId="31878"/>
    <cellStyle name="Input 4 3 2 4 2" xfId="31879"/>
    <cellStyle name="Input 4 3 2 4 2 2" xfId="31880"/>
    <cellStyle name="Input 4 3 2 4 2 2 2" xfId="31881"/>
    <cellStyle name="Input 4 3 2 4 2 2 2 2" xfId="31882"/>
    <cellStyle name="Input 4 3 2 4 2 2 3" xfId="31883"/>
    <cellStyle name="Input 4 3 2 4 2 2 3 2" xfId="31884"/>
    <cellStyle name="Input 4 3 2 4 2 2 4" xfId="31885"/>
    <cellStyle name="Input 4 3 2 4 2 2 5" xfId="31886"/>
    <cellStyle name="Input 4 3 2 4 2 2 6" xfId="31887"/>
    <cellStyle name="Input 4 3 2 4 2 3" xfId="31888"/>
    <cellStyle name="Input 4 3 2 4 2 3 2" xfId="31889"/>
    <cellStyle name="Input 4 3 2 4 2 4" xfId="31890"/>
    <cellStyle name="Input 4 3 2 4 2 4 2" xfId="31891"/>
    <cellStyle name="Input 4 3 2 4 2 5" xfId="31892"/>
    <cellStyle name="Input 4 3 2 4 2 6" xfId="31893"/>
    <cellStyle name="Input 4 3 2 4 2 7" xfId="31894"/>
    <cellStyle name="Input 4 3 2 4 3" xfId="31895"/>
    <cellStyle name="Input 4 3 2 4 3 2" xfId="31896"/>
    <cellStyle name="Input 4 3 2 4 3 2 2" xfId="31897"/>
    <cellStyle name="Input 4 3 2 4 3 3" xfId="31898"/>
    <cellStyle name="Input 4 3 2 4 3 3 2" xfId="31899"/>
    <cellStyle name="Input 4 3 2 4 3 4" xfId="31900"/>
    <cellStyle name="Input 4 3 2 4 3 5" xfId="31901"/>
    <cellStyle name="Input 4 3 2 4 3 6" xfId="31902"/>
    <cellStyle name="Input 4 3 2 4 4" xfId="31903"/>
    <cellStyle name="Input 4 3 2 4 4 2" xfId="31904"/>
    <cellStyle name="Input 4 3 2 4 5" xfId="31905"/>
    <cellStyle name="Input 4 3 2 4 5 2" xfId="31906"/>
    <cellStyle name="Input 4 3 2 4 6" xfId="31907"/>
    <cellStyle name="Input 4 3 2 4 7" xfId="31908"/>
    <cellStyle name="Input 4 3 2 4 8" xfId="31909"/>
    <cellStyle name="Input 4 3 2 5" xfId="31910"/>
    <cellStyle name="Input 4 3 2 5 2" xfId="31911"/>
    <cellStyle name="Input 4 3 2 5 2 2" xfId="31912"/>
    <cellStyle name="Input 4 3 2 5 2 2 2" xfId="31913"/>
    <cellStyle name="Input 4 3 2 5 2 3" xfId="31914"/>
    <cellStyle name="Input 4 3 2 5 2 3 2" xfId="31915"/>
    <cellStyle name="Input 4 3 2 5 2 4" xfId="31916"/>
    <cellStyle name="Input 4 3 2 5 2 5" xfId="31917"/>
    <cellStyle name="Input 4 3 2 5 2 6" xfId="31918"/>
    <cellStyle name="Input 4 3 2 5 3" xfId="31919"/>
    <cellStyle name="Input 4 3 2 5 3 2" xfId="31920"/>
    <cellStyle name="Input 4 3 2 5 4" xfId="31921"/>
    <cellStyle name="Input 4 3 2 5 4 2" xfId="31922"/>
    <cellStyle name="Input 4 3 2 5 5" xfId="31923"/>
    <cellStyle name="Input 4 3 2 5 6" xfId="31924"/>
    <cellStyle name="Input 4 3 2 5 7" xfId="31925"/>
    <cellStyle name="Input 4 3 2 6" xfId="31926"/>
    <cellStyle name="Input 4 3 2 6 2" xfId="31927"/>
    <cellStyle name="Input 4 3 2 6 2 2" xfId="31928"/>
    <cellStyle name="Input 4 3 2 6 3" xfId="31929"/>
    <cellStyle name="Input 4 3 2 6 3 2" xfId="31930"/>
    <cellStyle name="Input 4 3 2 6 4" xfId="31931"/>
    <cellStyle name="Input 4 3 2 6 5" xfId="31932"/>
    <cellStyle name="Input 4 3 2 6 6" xfId="31933"/>
    <cellStyle name="Input 4 3 2 7" xfId="31934"/>
    <cellStyle name="Input 4 3 2 7 2" xfId="31935"/>
    <cellStyle name="Input 4 3 2 8" xfId="31936"/>
    <cellStyle name="Input 4 3 2 8 2" xfId="31937"/>
    <cellStyle name="Input 4 3 2 9" xfId="31938"/>
    <cellStyle name="Input 4 3 3" xfId="31939"/>
    <cellStyle name="Input 4 3 3 10" xfId="31940"/>
    <cellStyle name="Input 4 3 3 2" xfId="31941"/>
    <cellStyle name="Input 4 3 3 2 10" xfId="31942"/>
    <cellStyle name="Input 4 3 3 2 2" xfId="31943"/>
    <cellStyle name="Input 4 3 3 2 2 2" xfId="31944"/>
    <cellStyle name="Input 4 3 3 2 2 2 2" xfId="31945"/>
    <cellStyle name="Input 4 3 3 2 2 2 2 2" xfId="31946"/>
    <cellStyle name="Input 4 3 3 2 2 2 2 2 2" xfId="31947"/>
    <cellStyle name="Input 4 3 3 2 2 2 2 3" xfId="31948"/>
    <cellStyle name="Input 4 3 3 2 2 2 2 3 2" xfId="31949"/>
    <cellStyle name="Input 4 3 3 2 2 2 2 4" xfId="31950"/>
    <cellStyle name="Input 4 3 3 2 2 2 2 5" xfId="31951"/>
    <cellStyle name="Input 4 3 3 2 2 2 2 6" xfId="31952"/>
    <cellStyle name="Input 4 3 3 2 2 2 3" xfId="31953"/>
    <cellStyle name="Input 4 3 3 2 2 2 3 2" xfId="31954"/>
    <cellStyle name="Input 4 3 3 2 2 2 4" xfId="31955"/>
    <cellStyle name="Input 4 3 3 2 2 2 4 2" xfId="31956"/>
    <cellStyle name="Input 4 3 3 2 2 2 5" xfId="31957"/>
    <cellStyle name="Input 4 3 3 2 2 2 6" xfId="31958"/>
    <cellStyle name="Input 4 3 3 2 2 2 7" xfId="31959"/>
    <cellStyle name="Input 4 3 3 2 2 3" xfId="31960"/>
    <cellStyle name="Input 4 3 3 2 2 3 2" xfId="31961"/>
    <cellStyle name="Input 4 3 3 2 2 3 2 2" xfId="31962"/>
    <cellStyle name="Input 4 3 3 2 2 3 3" xfId="31963"/>
    <cellStyle name="Input 4 3 3 2 2 3 3 2" xfId="31964"/>
    <cellStyle name="Input 4 3 3 2 2 3 4" xfId="31965"/>
    <cellStyle name="Input 4 3 3 2 2 3 5" xfId="31966"/>
    <cellStyle name="Input 4 3 3 2 2 3 6" xfId="31967"/>
    <cellStyle name="Input 4 3 3 2 2 4" xfId="31968"/>
    <cellStyle name="Input 4 3 3 2 2 4 2" xfId="31969"/>
    <cellStyle name="Input 4 3 3 2 2 5" xfId="31970"/>
    <cellStyle name="Input 4 3 3 2 2 5 2" xfId="31971"/>
    <cellStyle name="Input 4 3 3 2 2 6" xfId="31972"/>
    <cellStyle name="Input 4 3 3 2 2 7" xfId="31973"/>
    <cellStyle name="Input 4 3 3 2 2 8" xfId="31974"/>
    <cellStyle name="Input 4 3 3 2 3" xfId="31975"/>
    <cellStyle name="Input 4 3 3 2 3 2" xfId="31976"/>
    <cellStyle name="Input 4 3 3 2 3 2 2" xfId="31977"/>
    <cellStyle name="Input 4 3 3 2 3 2 2 2" xfId="31978"/>
    <cellStyle name="Input 4 3 3 2 3 2 2 2 2" xfId="31979"/>
    <cellStyle name="Input 4 3 3 2 3 2 2 3" xfId="31980"/>
    <cellStyle name="Input 4 3 3 2 3 2 2 3 2" xfId="31981"/>
    <cellStyle name="Input 4 3 3 2 3 2 2 4" xfId="31982"/>
    <cellStyle name="Input 4 3 3 2 3 2 2 5" xfId="31983"/>
    <cellStyle name="Input 4 3 3 2 3 2 2 6" xfId="31984"/>
    <cellStyle name="Input 4 3 3 2 3 2 3" xfId="31985"/>
    <cellStyle name="Input 4 3 3 2 3 2 3 2" xfId="31986"/>
    <cellStyle name="Input 4 3 3 2 3 2 4" xfId="31987"/>
    <cellStyle name="Input 4 3 3 2 3 2 4 2" xfId="31988"/>
    <cellStyle name="Input 4 3 3 2 3 2 5" xfId="31989"/>
    <cellStyle name="Input 4 3 3 2 3 2 6" xfId="31990"/>
    <cellStyle name="Input 4 3 3 2 3 2 7" xfId="31991"/>
    <cellStyle name="Input 4 3 3 2 3 3" xfId="31992"/>
    <cellStyle name="Input 4 3 3 2 3 3 2" xfId="31993"/>
    <cellStyle name="Input 4 3 3 2 3 3 2 2" xfId="31994"/>
    <cellStyle name="Input 4 3 3 2 3 3 3" xfId="31995"/>
    <cellStyle name="Input 4 3 3 2 3 3 3 2" xfId="31996"/>
    <cellStyle name="Input 4 3 3 2 3 3 4" xfId="31997"/>
    <cellStyle name="Input 4 3 3 2 3 3 5" xfId="31998"/>
    <cellStyle name="Input 4 3 3 2 3 3 6" xfId="31999"/>
    <cellStyle name="Input 4 3 3 2 3 4" xfId="32000"/>
    <cellStyle name="Input 4 3 3 2 3 4 2" xfId="32001"/>
    <cellStyle name="Input 4 3 3 2 3 5" xfId="32002"/>
    <cellStyle name="Input 4 3 3 2 3 5 2" xfId="32003"/>
    <cellStyle name="Input 4 3 3 2 3 6" xfId="32004"/>
    <cellStyle name="Input 4 3 3 2 3 7" xfId="32005"/>
    <cellStyle name="Input 4 3 3 2 3 8" xfId="32006"/>
    <cellStyle name="Input 4 3 3 2 4" xfId="32007"/>
    <cellStyle name="Input 4 3 3 2 4 2" xfId="32008"/>
    <cellStyle name="Input 4 3 3 2 4 2 2" xfId="32009"/>
    <cellStyle name="Input 4 3 3 2 4 2 2 2" xfId="32010"/>
    <cellStyle name="Input 4 3 3 2 4 2 3" xfId="32011"/>
    <cellStyle name="Input 4 3 3 2 4 2 3 2" xfId="32012"/>
    <cellStyle name="Input 4 3 3 2 4 2 4" xfId="32013"/>
    <cellStyle name="Input 4 3 3 2 4 2 5" xfId="32014"/>
    <cellStyle name="Input 4 3 3 2 4 2 6" xfId="32015"/>
    <cellStyle name="Input 4 3 3 2 4 3" xfId="32016"/>
    <cellStyle name="Input 4 3 3 2 4 3 2" xfId="32017"/>
    <cellStyle name="Input 4 3 3 2 4 4" xfId="32018"/>
    <cellStyle name="Input 4 3 3 2 4 4 2" xfId="32019"/>
    <cellStyle name="Input 4 3 3 2 4 5" xfId="32020"/>
    <cellStyle name="Input 4 3 3 2 4 6" xfId="32021"/>
    <cellStyle name="Input 4 3 3 2 4 7" xfId="32022"/>
    <cellStyle name="Input 4 3 3 2 5" xfId="32023"/>
    <cellStyle name="Input 4 3 3 2 5 2" xfId="32024"/>
    <cellStyle name="Input 4 3 3 2 5 2 2" xfId="32025"/>
    <cellStyle name="Input 4 3 3 2 5 3" xfId="32026"/>
    <cellStyle name="Input 4 3 3 2 5 3 2" xfId="32027"/>
    <cellStyle name="Input 4 3 3 2 5 4" xfId="32028"/>
    <cellStyle name="Input 4 3 3 2 5 5" xfId="32029"/>
    <cellStyle name="Input 4 3 3 2 5 6" xfId="32030"/>
    <cellStyle name="Input 4 3 3 2 6" xfId="32031"/>
    <cellStyle name="Input 4 3 3 2 6 2" xfId="32032"/>
    <cellStyle name="Input 4 3 3 2 7" xfId="32033"/>
    <cellStyle name="Input 4 3 3 2 7 2" xfId="32034"/>
    <cellStyle name="Input 4 3 3 2 8" xfId="32035"/>
    <cellStyle name="Input 4 3 3 2 9" xfId="32036"/>
    <cellStyle name="Input 4 3 3 3" xfId="32037"/>
    <cellStyle name="Input 4 3 3 3 2" xfId="32038"/>
    <cellStyle name="Input 4 3 3 3 2 2" xfId="32039"/>
    <cellStyle name="Input 4 3 3 3 2 2 2" xfId="32040"/>
    <cellStyle name="Input 4 3 3 3 2 2 2 2" xfId="32041"/>
    <cellStyle name="Input 4 3 3 3 2 2 3" xfId="32042"/>
    <cellStyle name="Input 4 3 3 3 2 2 3 2" xfId="32043"/>
    <cellStyle name="Input 4 3 3 3 2 2 4" xfId="32044"/>
    <cellStyle name="Input 4 3 3 3 2 2 5" xfId="32045"/>
    <cellStyle name="Input 4 3 3 3 2 2 6" xfId="32046"/>
    <cellStyle name="Input 4 3 3 3 2 3" xfId="32047"/>
    <cellStyle name="Input 4 3 3 3 2 3 2" xfId="32048"/>
    <cellStyle name="Input 4 3 3 3 2 4" xfId="32049"/>
    <cellStyle name="Input 4 3 3 3 2 4 2" xfId="32050"/>
    <cellStyle name="Input 4 3 3 3 2 5" xfId="32051"/>
    <cellStyle name="Input 4 3 3 3 2 6" xfId="32052"/>
    <cellStyle name="Input 4 3 3 3 2 7" xfId="32053"/>
    <cellStyle name="Input 4 3 3 3 3" xfId="32054"/>
    <cellStyle name="Input 4 3 3 3 3 2" xfId="32055"/>
    <cellStyle name="Input 4 3 3 3 3 2 2" xfId="32056"/>
    <cellStyle name="Input 4 3 3 3 3 3" xfId="32057"/>
    <cellStyle name="Input 4 3 3 3 3 3 2" xfId="32058"/>
    <cellStyle name="Input 4 3 3 3 3 4" xfId="32059"/>
    <cellStyle name="Input 4 3 3 3 3 5" xfId="32060"/>
    <cellStyle name="Input 4 3 3 3 3 6" xfId="32061"/>
    <cellStyle name="Input 4 3 3 3 4" xfId="32062"/>
    <cellStyle name="Input 4 3 3 3 4 2" xfId="32063"/>
    <cellStyle name="Input 4 3 3 3 5" xfId="32064"/>
    <cellStyle name="Input 4 3 3 3 5 2" xfId="32065"/>
    <cellStyle name="Input 4 3 3 3 6" xfId="32066"/>
    <cellStyle name="Input 4 3 3 3 7" xfId="32067"/>
    <cellStyle name="Input 4 3 3 3 8" xfId="32068"/>
    <cellStyle name="Input 4 3 3 4" xfId="32069"/>
    <cellStyle name="Input 4 3 3 4 2" xfId="32070"/>
    <cellStyle name="Input 4 3 3 4 2 2" xfId="32071"/>
    <cellStyle name="Input 4 3 3 4 2 2 2" xfId="32072"/>
    <cellStyle name="Input 4 3 3 4 2 3" xfId="32073"/>
    <cellStyle name="Input 4 3 3 4 2 3 2" xfId="32074"/>
    <cellStyle name="Input 4 3 3 4 2 4" xfId="32075"/>
    <cellStyle name="Input 4 3 3 4 2 5" xfId="32076"/>
    <cellStyle name="Input 4 3 3 4 2 6" xfId="32077"/>
    <cellStyle name="Input 4 3 3 4 3" xfId="32078"/>
    <cellStyle name="Input 4 3 3 4 3 2" xfId="32079"/>
    <cellStyle name="Input 4 3 3 4 4" xfId="32080"/>
    <cellStyle name="Input 4 3 3 4 4 2" xfId="32081"/>
    <cellStyle name="Input 4 3 3 4 5" xfId="32082"/>
    <cellStyle name="Input 4 3 3 4 6" xfId="32083"/>
    <cellStyle name="Input 4 3 3 4 7" xfId="32084"/>
    <cellStyle name="Input 4 3 3 5" xfId="32085"/>
    <cellStyle name="Input 4 3 3 5 2" xfId="32086"/>
    <cellStyle name="Input 4 3 3 5 2 2" xfId="32087"/>
    <cellStyle name="Input 4 3 3 5 3" xfId="32088"/>
    <cellStyle name="Input 4 3 3 5 3 2" xfId="32089"/>
    <cellStyle name="Input 4 3 3 5 4" xfId="32090"/>
    <cellStyle name="Input 4 3 3 5 5" xfId="32091"/>
    <cellStyle name="Input 4 3 3 5 6" xfId="32092"/>
    <cellStyle name="Input 4 3 3 6" xfId="32093"/>
    <cellStyle name="Input 4 3 3 6 2" xfId="32094"/>
    <cellStyle name="Input 4 3 3 7" xfId="32095"/>
    <cellStyle name="Input 4 3 3 7 2" xfId="32096"/>
    <cellStyle name="Input 4 3 3 8" xfId="32097"/>
    <cellStyle name="Input 4 3 3 9" xfId="32098"/>
    <cellStyle name="Input 4 3 4" xfId="32099"/>
    <cellStyle name="Input 4 3 4 10" xfId="32100"/>
    <cellStyle name="Input 4 3 4 2" xfId="32101"/>
    <cellStyle name="Input 4 3 4 2 2" xfId="32102"/>
    <cellStyle name="Input 4 3 4 2 2 2" xfId="32103"/>
    <cellStyle name="Input 4 3 4 2 2 2 2" xfId="32104"/>
    <cellStyle name="Input 4 3 4 2 2 2 2 2" xfId="32105"/>
    <cellStyle name="Input 4 3 4 2 2 2 3" xfId="32106"/>
    <cellStyle name="Input 4 3 4 2 2 2 3 2" xfId="32107"/>
    <cellStyle name="Input 4 3 4 2 2 2 4" xfId="32108"/>
    <cellStyle name="Input 4 3 4 2 2 2 5" xfId="32109"/>
    <cellStyle name="Input 4 3 4 2 2 2 6" xfId="32110"/>
    <cellStyle name="Input 4 3 4 2 2 3" xfId="32111"/>
    <cellStyle name="Input 4 3 4 2 2 3 2" xfId="32112"/>
    <cellStyle name="Input 4 3 4 2 2 4" xfId="32113"/>
    <cellStyle name="Input 4 3 4 2 2 4 2" xfId="32114"/>
    <cellStyle name="Input 4 3 4 2 2 5" xfId="32115"/>
    <cellStyle name="Input 4 3 4 2 2 6" xfId="32116"/>
    <cellStyle name="Input 4 3 4 2 2 7" xfId="32117"/>
    <cellStyle name="Input 4 3 4 2 3" xfId="32118"/>
    <cellStyle name="Input 4 3 4 2 3 2" xfId="32119"/>
    <cellStyle name="Input 4 3 4 2 3 2 2" xfId="32120"/>
    <cellStyle name="Input 4 3 4 2 3 3" xfId="32121"/>
    <cellStyle name="Input 4 3 4 2 3 3 2" xfId="32122"/>
    <cellStyle name="Input 4 3 4 2 3 4" xfId="32123"/>
    <cellStyle name="Input 4 3 4 2 3 5" xfId="32124"/>
    <cellStyle name="Input 4 3 4 2 3 6" xfId="32125"/>
    <cellStyle name="Input 4 3 4 2 4" xfId="32126"/>
    <cellStyle name="Input 4 3 4 2 4 2" xfId="32127"/>
    <cellStyle name="Input 4 3 4 2 5" xfId="32128"/>
    <cellStyle name="Input 4 3 4 2 5 2" xfId="32129"/>
    <cellStyle name="Input 4 3 4 2 6" xfId="32130"/>
    <cellStyle name="Input 4 3 4 2 7" xfId="32131"/>
    <cellStyle name="Input 4 3 4 2 8" xfId="32132"/>
    <cellStyle name="Input 4 3 4 3" xfId="32133"/>
    <cellStyle name="Input 4 3 4 3 2" xfId="32134"/>
    <cellStyle name="Input 4 3 4 3 2 2" xfId="32135"/>
    <cellStyle name="Input 4 3 4 3 2 2 2" xfId="32136"/>
    <cellStyle name="Input 4 3 4 3 2 2 2 2" xfId="32137"/>
    <cellStyle name="Input 4 3 4 3 2 2 3" xfId="32138"/>
    <cellStyle name="Input 4 3 4 3 2 2 3 2" xfId="32139"/>
    <cellStyle name="Input 4 3 4 3 2 2 4" xfId="32140"/>
    <cellStyle name="Input 4 3 4 3 2 2 5" xfId="32141"/>
    <cellStyle name="Input 4 3 4 3 2 2 6" xfId="32142"/>
    <cellStyle name="Input 4 3 4 3 2 3" xfId="32143"/>
    <cellStyle name="Input 4 3 4 3 2 3 2" xfId="32144"/>
    <cellStyle name="Input 4 3 4 3 2 4" xfId="32145"/>
    <cellStyle name="Input 4 3 4 3 2 4 2" xfId="32146"/>
    <cellStyle name="Input 4 3 4 3 2 5" xfId="32147"/>
    <cellStyle name="Input 4 3 4 3 2 6" xfId="32148"/>
    <cellStyle name="Input 4 3 4 3 2 7" xfId="32149"/>
    <cellStyle name="Input 4 3 4 3 3" xfId="32150"/>
    <cellStyle name="Input 4 3 4 3 3 2" xfId="32151"/>
    <cellStyle name="Input 4 3 4 3 3 2 2" xfId="32152"/>
    <cellStyle name="Input 4 3 4 3 3 3" xfId="32153"/>
    <cellStyle name="Input 4 3 4 3 3 3 2" xfId="32154"/>
    <cellStyle name="Input 4 3 4 3 3 4" xfId="32155"/>
    <cellStyle name="Input 4 3 4 3 3 5" xfId="32156"/>
    <cellStyle name="Input 4 3 4 3 3 6" xfId="32157"/>
    <cellStyle name="Input 4 3 4 3 4" xfId="32158"/>
    <cellStyle name="Input 4 3 4 3 4 2" xfId="32159"/>
    <cellStyle name="Input 4 3 4 3 5" xfId="32160"/>
    <cellStyle name="Input 4 3 4 3 5 2" xfId="32161"/>
    <cellStyle name="Input 4 3 4 3 6" xfId="32162"/>
    <cellStyle name="Input 4 3 4 3 7" xfId="32163"/>
    <cellStyle name="Input 4 3 4 3 8" xfId="32164"/>
    <cellStyle name="Input 4 3 4 4" xfId="32165"/>
    <cellStyle name="Input 4 3 4 4 2" xfId="32166"/>
    <cellStyle name="Input 4 3 4 4 2 2" xfId="32167"/>
    <cellStyle name="Input 4 3 4 4 2 2 2" xfId="32168"/>
    <cellStyle name="Input 4 3 4 4 2 3" xfId="32169"/>
    <cellStyle name="Input 4 3 4 4 2 3 2" xfId="32170"/>
    <cellStyle name="Input 4 3 4 4 2 4" xfId="32171"/>
    <cellStyle name="Input 4 3 4 4 2 5" xfId="32172"/>
    <cellStyle name="Input 4 3 4 4 2 6" xfId="32173"/>
    <cellStyle name="Input 4 3 4 4 3" xfId="32174"/>
    <cellStyle name="Input 4 3 4 4 3 2" xfId="32175"/>
    <cellStyle name="Input 4 3 4 4 4" xfId="32176"/>
    <cellStyle name="Input 4 3 4 4 4 2" xfId="32177"/>
    <cellStyle name="Input 4 3 4 4 5" xfId="32178"/>
    <cellStyle name="Input 4 3 4 4 6" xfId="32179"/>
    <cellStyle name="Input 4 3 4 4 7" xfId="32180"/>
    <cellStyle name="Input 4 3 4 5" xfId="32181"/>
    <cellStyle name="Input 4 3 4 5 2" xfId="32182"/>
    <cellStyle name="Input 4 3 4 5 2 2" xfId="32183"/>
    <cellStyle name="Input 4 3 4 5 3" xfId="32184"/>
    <cellStyle name="Input 4 3 4 5 3 2" xfId="32185"/>
    <cellStyle name="Input 4 3 4 5 4" xfId="32186"/>
    <cellStyle name="Input 4 3 4 5 5" xfId="32187"/>
    <cellStyle name="Input 4 3 4 5 6" xfId="32188"/>
    <cellStyle name="Input 4 3 4 6" xfId="32189"/>
    <cellStyle name="Input 4 3 4 6 2" xfId="32190"/>
    <cellStyle name="Input 4 3 4 7" xfId="32191"/>
    <cellStyle name="Input 4 3 4 7 2" xfId="32192"/>
    <cellStyle name="Input 4 3 4 8" xfId="32193"/>
    <cellStyle name="Input 4 3 4 9" xfId="32194"/>
    <cellStyle name="Input 4 3 5" xfId="32195"/>
    <cellStyle name="Input 4 3 5 2" xfId="32196"/>
    <cellStyle name="Input 4 3 5 2 2" xfId="32197"/>
    <cellStyle name="Input 4 3 5 2 2 2" xfId="32198"/>
    <cellStyle name="Input 4 3 5 2 2 2 2" xfId="32199"/>
    <cellStyle name="Input 4 3 5 2 2 3" xfId="32200"/>
    <cellStyle name="Input 4 3 5 2 2 3 2" xfId="32201"/>
    <cellStyle name="Input 4 3 5 2 2 4" xfId="32202"/>
    <cellStyle name="Input 4 3 5 2 2 5" xfId="32203"/>
    <cellStyle name="Input 4 3 5 2 2 6" xfId="32204"/>
    <cellStyle name="Input 4 3 5 2 3" xfId="32205"/>
    <cellStyle name="Input 4 3 5 2 3 2" xfId="32206"/>
    <cellStyle name="Input 4 3 5 2 4" xfId="32207"/>
    <cellStyle name="Input 4 3 5 2 4 2" xfId="32208"/>
    <cellStyle name="Input 4 3 5 2 5" xfId="32209"/>
    <cellStyle name="Input 4 3 5 2 6" xfId="32210"/>
    <cellStyle name="Input 4 3 5 2 7" xfId="32211"/>
    <cellStyle name="Input 4 3 5 3" xfId="32212"/>
    <cellStyle name="Input 4 3 5 3 2" xfId="32213"/>
    <cellStyle name="Input 4 3 5 3 2 2" xfId="32214"/>
    <cellStyle name="Input 4 3 5 3 3" xfId="32215"/>
    <cellStyle name="Input 4 3 5 3 3 2" xfId="32216"/>
    <cellStyle name="Input 4 3 5 3 4" xfId="32217"/>
    <cellStyle name="Input 4 3 5 3 5" xfId="32218"/>
    <cellStyle name="Input 4 3 5 3 6" xfId="32219"/>
    <cellStyle name="Input 4 3 5 4" xfId="32220"/>
    <cellStyle name="Input 4 3 5 4 2" xfId="32221"/>
    <cellStyle name="Input 4 3 5 5" xfId="32222"/>
    <cellStyle name="Input 4 3 5 5 2" xfId="32223"/>
    <cellStyle name="Input 4 3 5 6" xfId="32224"/>
    <cellStyle name="Input 4 3 5 7" xfId="32225"/>
    <cellStyle name="Input 4 3 5 8" xfId="32226"/>
    <cellStyle name="Input 4 3 6" xfId="32227"/>
    <cellStyle name="Input 4 3 6 2" xfId="32228"/>
    <cellStyle name="Input 4 3 6 2 2" xfId="32229"/>
    <cellStyle name="Input 4 3 6 2 2 2" xfId="32230"/>
    <cellStyle name="Input 4 3 6 2 3" xfId="32231"/>
    <cellStyle name="Input 4 3 6 2 3 2" xfId="32232"/>
    <cellStyle name="Input 4 3 6 2 4" xfId="32233"/>
    <cellStyle name="Input 4 3 6 2 5" xfId="32234"/>
    <cellStyle name="Input 4 3 6 2 6" xfId="32235"/>
    <cellStyle name="Input 4 3 6 3" xfId="32236"/>
    <cellStyle name="Input 4 3 6 3 2" xfId="32237"/>
    <cellStyle name="Input 4 3 6 4" xfId="32238"/>
    <cellStyle name="Input 4 3 6 4 2" xfId="32239"/>
    <cellStyle name="Input 4 3 6 5" xfId="32240"/>
    <cellStyle name="Input 4 3 6 6" xfId="32241"/>
    <cellStyle name="Input 4 3 6 7" xfId="32242"/>
    <cellStyle name="Input 4 3 7" xfId="32243"/>
    <cellStyle name="Input 4 3 7 2" xfId="32244"/>
    <cellStyle name="Input 4 3 7 2 2" xfId="32245"/>
    <cellStyle name="Input 4 3 7 3" xfId="32246"/>
    <cellStyle name="Input 4 3 7 3 2" xfId="32247"/>
    <cellStyle name="Input 4 3 7 4" xfId="32248"/>
    <cellStyle name="Input 4 3 7 5" xfId="32249"/>
    <cellStyle name="Input 4 3 7 6" xfId="32250"/>
    <cellStyle name="Input 4 3 8" xfId="32251"/>
    <cellStyle name="Input 4 3 8 2" xfId="32252"/>
    <cellStyle name="Input 4 3 9" xfId="32253"/>
    <cellStyle name="Input 4 3 9 2" xfId="32254"/>
    <cellStyle name="Input 4 4" xfId="32255"/>
    <cellStyle name="Input 4 4 10" xfId="32256"/>
    <cellStyle name="Input 4 4 11" xfId="32257"/>
    <cellStyle name="Input 4 4 2" xfId="32258"/>
    <cellStyle name="Input 4 4 2 10" xfId="32259"/>
    <cellStyle name="Input 4 4 2 2" xfId="32260"/>
    <cellStyle name="Input 4 4 2 2 10" xfId="32261"/>
    <cellStyle name="Input 4 4 2 2 2" xfId="32262"/>
    <cellStyle name="Input 4 4 2 2 2 2" xfId="32263"/>
    <cellStyle name="Input 4 4 2 2 2 2 2" xfId="32264"/>
    <cellStyle name="Input 4 4 2 2 2 2 2 2" xfId="32265"/>
    <cellStyle name="Input 4 4 2 2 2 2 2 2 2" xfId="32266"/>
    <cellStyle name="Input 4 4 2 2 2 2 2 3" xfId="32267"/>
    <cellStyle name="Input 4 4 2 2 2 2 2 3 2" xfId="32268"/>
    <cellStyle name="Input 4 4 2 2 2 2 2 4" xfId="32269"/>
    <cellStyle name="Input 4 4 2 2 2 2 2 5" xfId="32270"/>
    <cellStyle name="Input 4 4 2 2 2 2 2 6" xfId="32271"/>
    <cellStyle name="Input 4 4 2 2 2 2 3" xfId="32272"/>
    <cellStyle name="Input 4 4 2 2 2 2 3 2" xfId="32273"/>
    <cellStyle name="Input 4 4 2 2 2 2 4" xfId="32274"/>
    <cellStyle name="Input 4 4 2 2 2 2 4 2" xfId="32275"/>
    <cellStyle name="Input 4 4 2 2 2 2 5" xfId="32276"/>
    <cellStyle name="Input 4 4 2 2 2 2 6" xfId="32277"/>
    <cellStyle name="Input 4 4 2 2 2 2 7" xfId="32278"/>
    <cellStyle name="Input 4 4 2 2 2 3" xfId="32279"/>
    <cellStyle name="Input 4 4 2 2 2 3 2" xfId="32280"/>
    <cellStyle name="Input 4 4 2 2 2 3 2 2" xfId="32281"/>
    <cellStyle name="Input 4 4 2 2 2 3 3" xfId="32282"/>
    <cellStyle name="Input 4 4 2 2 2 3 3 2" xfId="32283"/>
    <cellStyle name="Input 4 4 2 2 2 3 4" xfId="32284"/>
    <cellStyle name="Input 4 4 2 2 2 3 5" xfId="32285"/>
    <cellStyle name="Input 4 4 2 2 2 3 6" xfId="32286"/>
    <cellStyle name="Input 4 4 2 2 2 4" xfId="32287"/>
    <cellStyle name="Input 4 4 2 2 2 4 2" xfId="32288"/>
    <cellStyle name="Input 4 4 2 2 2 5" xfId="32289"/>
    <cellStyle name="Input 4 4 2 2 2 5 2" xfId="32290"/>
    <cellStyle name="Input 4 4 2 2 2 6" xfId="32291"/>
    <cellStyle name="Input 4 4 2 2 2 7" xfId="32292"/>
    <cellStyle name="Input 4 4 2 2 2 8" xfId="32293"/>
    <cellStyle name="Input 4 4 2 2 3" xfId="32294"/>
    <cellStyle name="Input 4 4 2 2 3 2" xfId="32295"/>
    <cellStyle name="Input 4 4 2 2 3 2 2" xfId="32296"/>
    <cellStyle name="Input 4 4 2 2 3 2 2 2" xfId="32297"/>
    <cellStyle name="Input 4 4 2 2 3 2 2 2 2" xfId="32298"/>
    <cellStyle name="Input 4 4 2 2 3 2 2 3" xfId="32299"/>
    <cellStyle name="Input 4 4 2 2 3 2 2 3 2" xfId="32300"/>
    <cellStyle name="Input 4 4 2 2 3 2 2 4" xfId="32301"/>
    <cellStyle name="Input 4 4 2 2 3 2 2 5" xfId="32302"/>
    <cellStyle name="Input 4 4 2 2 3 2 2 6" xfId="32303"/>
    <cellStyle name="Input 4 4 2 2 3 2 3" xfId="32304"/>
    <cellStyle name="Input 4 4 2 2 3 2 3 2" xfId="32305"/>
    <cellStyle name="Input 4 4 2 2 3 2 4" xfId="32306"/>
    <cellStyle name="Input 4 4 2 2 3 2 4 2" xfId="32307"/>
    <cellStyle name="Input 4 4 2 2 3 2 5" xfId="32308"/>
    <cellStyle name="Input 4 4 2 2 3 2 6" xfId="32309"/>
    <cellStyle name="Input 4 4 2 2 3 2 7" xfId="32310"/>
    <cellStyle name="Input 4 4 2 2 3 3" xfId="32311"/>
    <cellStyle name="Input 4 4 2 2 3 3 2" xfId="32312"/>
    <cellStyle name="Input 4 4 2 2 3 3 2 2" xfId="32313"/>
    <cellStyle name="Input 4 4 2 2 3 3 3" xfId="32314"/>
    <cellStyle name="Input 4 4 2 2 3 3 3 2" xfId="32315"/>
    <cellStyle name="Input 4 4 2 2 3 3 4" xfId="32316"/>
    <cellStyle name="Input 4 4 2 2 3 3 5" xfId="32317"/>
    <cellStyle name="Input 4 4 2 2 3 3 6" xfId="32318"/>
    <cellStyle name="Input 4 4 2 2 3 4" xfId="32319"/>
    <cellStyle name="Input 4 4 2 2 3 4 2" xfId="32320"/>
    <cellStyle name="Input 4 4 2 2 3 5" xfId="32321"/>
    <cellStyle name="Input 4 4 2 2 3 5 2" xfId="32322"/>
    <cellStyle name="Input 4 4 2 2 3 6" xfId="32323"/>
    <cellStyle name="Input 4 4 2 2 3 7" xfId="32324"/>
    <cellStyle name="Input 4 4 2 2 3 8" xfId="32325"/>
    <cellStyle name="Input 4 4 2 2 4" xfId="32326"/>
    <cellStyle name="Input 4 4 2 2 4 2" xfId="32327"/>
    <cellStyle name="Input 4 4 2 2 4 2 2" xfId="32328"/>
    <cellStyle name="Input 4 4 2 2 4 2 2 2" xfId="32329"/>
    <cellStyle name="Input 4 4 2 2 4 2 3" xfId="32330"/>
    <cellStyle name="Input 4 4 2 2 4 2 3 2" xfId="32331"/>
    <cellStyle name="Input 4 4 2 2 4 2 4" xfId="32332"/>
    <cellStyle name="Input 4 4 2 2 4 2 5" xfId="32333"/>
    <cellStyle name="Input 4 4 2 2 4 2 6" xfId="32334"/>
    <cellStyle name="Input 4 4 2 2 4 3" xfId="32335"/>
    <cellStyle name="Input 4 4 2 2 4 3 2" xfId="32336"/>
    <cellStyle name="Input 4 4 2 2 4 4" xfId="32337"/>
    <cellStyle name="Input 4 4 2 2 4 4 2" xfId="32338"/>
    <cellStyle name="Input 4 4 2 2 4 5" xfId="32339"/>
    <cellStyle name="Input 4 4 2 2 4 6" xfId="32340"/>
    <cellStyle name="Input 4 4 2 2 4 7" xfId="32341"/>
    <cellStyle name="Input 4 4 2 2 5" xfId="32342"/>
    <cellStyle name="Input 4 4 2 2 5 2" xfId="32343"/>
    <cellStyle name="Input 4 4 2 2 5 2 2" xfId="32344"/>
    <cellStyle name="Input 4 4 2 2 5 3" xfId="32345"/>
    <cellStyle name="Input 4 4 2 2 5 3 2" xfId="32346"/>
    <cellStyle name="Input 4 4 2 2 5 4" xfId="32347"/>
    <cellStyle name="Input 4 4 2 2 5 5" xfId="32348"/>
    <cellStyle name="Input 4 4 2 2 5 6" xfId="32349"/>
    <cellStyle name="Input 4 4 2 2 6" xfId="32350"/>
    <cellStyle name="Input 4 4 2 2 6 2" xfId="32351"/>
    <cellStyle name="Input 4 4 2 2 7" xfId="32352"/>
    <cellStyle name="Input 4 4 2 2 7 2" xfId="32353"/>
    <cellStyle name="Input 4 4 2 2 8" xfId="32354"/>
    <cellStyle name="Input 4 4 2 2 9" xfId="32355"/>
    <cellStyle name="Input 4 4 2 3" xfId="32356"/>
    <cellStyle name="Input 4 4 2 3 2" xfId="32357"/>
    <cellStyle name="Input 4 4 2 3 2 2" xfId="32358"/>
    <cellStyle name="Input 4 4 2 3 2 2 2" xfId="32359"/>
    <cellStyle name="Input 4 4 2 3 2 2 2 2" xfId="32360"/>
    <cellStyle name="Input 4 4 2 3 2 2 3" xfId="32361"/>
    <cellStyle name="Input 4 4 2 3 2 2 3 2" xfId="32362"/>
    <cellStyle name="Input 4 4 2 3 2 2 4" xfId="32363"/>
    <cellStyle name="Input 4 4 2 3 2 2 5" xfId="32364"/>
    <cellStyle name="Input 4 4 2 3 2 2 6" xfId="32365"/>
    <cellStyle name="Input 4 4 2 3 2 3" xfId="32366"/>
    <cellStyle name="Input 4 4 2 3 2 3 2" xfId="32367"/>
    <cellStyle name="Input 4 4 2 3 2 4" xfId="32368"/>
    <cellStyle name="Input 4 4 2 3 2 4 2" xfId="32369"/>
    <cellStyle name="Input 4 4 2 3 2 5" xfId="32370"/>
    <cellStyle name="Input 4 4 2 3 2 6" xfId="32371"/>
    <cellStyle name="Input 4 4 2 3 2 7" xfId="32372"/>
    <cellStyle name="Input 4 4 2 3 3" xfId="32373"/>
    <cellStyle name="Input 4 4 2 3 3 2" xfId="32374"/>
    <cellStyle name="Input 4 4 2 3 3 2 2" xfId="32375"/>
    <cellStyle name="Input 4 4 2 3 3 3" xfId="32376"/>
    <cellStyle name="Input 4 4 2 3 3 3 2" xfId="32377"/>
    <cellStyle name="Input 4 4 2 3 3 4" xfId="32378"/>
    <cellStyle name="Input 4 4 2 3 3 5" xfId="32379"/>
    <cellStyle name="Input 4 4 2 3 3 6" xfId="32380"/>
    <cellStyle name="Input 4 4 2 3 4" xfId="32381"/>
    <cellStyle name="Input 4 4 2 3 4 2" xfId="32382"/>
    <cellStyle name="Input 4 4 2 3 5" xfId="32383"/>
    <cellStyle name="Input 4 4 2 3 5 2" xfId="32384"/>
    <cellStyle name="Input 4 4 2 3 6" xfId="32385"/>
    <cellStyle name="Input 4 4 2 3 7" xfId="32386"/>
    <cellStyle name="Input 4 4 2 3 8" xfId="32387"/>
    <cellStyle name="Input 4 4 2 4" xfId="32388"/>
    <cellStyle name="Input 4 4 2 4 2" xfId="32389"/>
    <cellStyle name="Input 4 4 2 4 2 2" xfId="32390"/>
    <cellStyle name="Input 4 4 2 4 2 2 2" xfId="32391"/>
    <cellStyle name="Input 4 4 2 4 2 3" xfId="32392"/>
    <cellStyle name="Input 4 4 2 4 2 3 2" xfId="32393"/>
    <cellStyle name="Input 4 4 2 4 2 4" xfId="32394"/>
    <cellStyle name="Input 4 4 2 4 2 5" xfId="32395"/>
    <cellStyle name="Input 4 4 2 4 2 6" xfId="32396"/>
    <cellStyle name="Input 4 4 2 4 3" xfId="32397"/>
    <cellStyle name="Input 4 4 2 4 3 2" xfId="32398"/>
    <cellStyle name="Input 4 4 2 4 4" xfId="32399"/>
    <cellStyle name="Input 4 4 2 4 4 2" xfId="32400"/>
    <cellStyle name="Input 4 4 2 4 5" xfId="32401"/>
    <cellStyle name="Input 4 4 2 4 6" xfId="32402"/>
    <cellStyle name="Input 4 4 2 4 7" xfId="32403"/>
    <cellStyle name="Input 4 4 2 5" xfId="32404"/>
    <cellStyle name="Input 4 4 2 5 2" xfId="32405"/>
    <cellStyle name="Input 4 4 2 5 2 2" xfId="32406"/>
    <cellStyle name="Input 4 4 2 5 3" xfId="32407"/>
    <cellStyle name="Input 4 4 2 5 3 2" xfId="32408"/>
    <cellStyle name="Input 4 4 2 5 4" xfId="32409"/>
    <cellStyle name="Input 4 4 2 5 5" xfId="32410"/>
    <cellStyle name="Input 4 4 2 5 6" xfId="32411"/>
    <cellStyle name="Input 4 4 2 6" xfId="32412"/>
    <cellStyle name="Input 4 4 2 6 2" xfId="32413"/>
    <cellStyle name="Input 4 4 2 7" xfId="32414"/>
    <cellStyle name="Input 4 4 2 7 2" xfId="32415"/>
    <cellStyle name="Input 4 4 2 8" xfId="32416"/>
    <cellStyle name="Input 4 4 2 9" xfId="32417"/>
    <cellStyle name="Input 4 4 3" xfId="32418"/>
    <cellStyle name="Input 4 4 3 10" xfId="32419"/>
    <cellStyle name="Input 4 4 3 2" xfId="32420"/>
    <cellStyle name="Input 4 4 3 2 2" xfId="32421"/>
    <cellStyle name="Input 4 4 3 2 2 2" xfId="32422"/>
    <cellStyle name="Input 4 4 3 2 2 2 2" xfId="32423"/>
    <cellStyle name="Input 4 4 3 2 2 2 2 2" xfId="32424"/>
    <cellStyle name="Input 4 4 3 2 2 2 3" xfId="32425"/>
    <cellStyle name="Input 4 4 3 2 2 2 3 2" xfId="32426"/>
    <cellStyle name="Input 4 4 3 2 2 2 4" xfId="32427"/>
    <cellStyle name="Input 4 4 3 2 2 2 5" xfId="32428"/>
    <cellStyle name="Input 4 4 3 2 2 2 6" xfId="32429"/>
    <cellStyle name="Input 4 4 3 2 2 3" xfId="32430"/>
    <cellStyle name="Input 4 4 3 2 2 3 2" xfId="32431"/>
    <cellStyle name="Input 4 4 3 2 2 4" xfId="32432"/>
    <cellStyle name="Input 4 4 3 2 2 4 2" xfId="32433"/>
    <cellStyle name="Input 4 4 3 2 2 5" xfId="32434"/>
    <cellStyle name="Input 4 4 3 2 2 6" xfId="32435"/>
    <cellStyle name="Input 4 4 3 2 2 7" xfId="32436"/>
    <cellStyle name="Input 4 4 3 2 3" xfId="32437"/>
    <cellStyle name="Input 4 4 3 2 3 2" xfId="32438"/>
    <cellStyle name="Input 4 4 3 2 3 2 2" xfId="32439"/>
    <cellStyle name="Input 4 4 3 2 3 3" xfId="32440"/>
    <cellStyle name="Input 4 4 3 2 3 3 2" xfId="32441"/>
    <cellStyle name="Input 4 4 3 2 3 4" xfId="32442"/>
    <cellStyle name="Input 4 4 3 2 3 5" xfId="32443"/>
    <cellStyle name="Input 4 4 3 2 3 6" xfId="32444"/>
    <cellStyle name="Input 4 4 3 2 4" xfId="32445"/>
    <cellStyle name="Input 4 4 3 2 4 2" xfId="32446"/>
    <cellStyle name="Input 4 4 3 2 5" xfId="32447"/>
    <cellStyle name="Input 4 4 3 2 5 2" xfId="32448"/>
    <cellStyle name="Input 4 4 3 2 6" xfId="32449"/>
    <cellStyle name="Input 4 4 3 2 7" xfId="32450"/>
    <cellStyle name="Input 4 4 3 2 8" xfId="32451"/>
    <cellStyle name="Input 4 4 3 3" xfId="32452"/>
    <cellStyle name="Input 4 4 3 3 2" xfId="32453"/>
    <cellStyle name="Input 4 4 3 3 2 2" xfId="32454"/>
    <cellStyle name="Input 4 4 3 3 2 2 2" xfId="32455"/>
    <cellStyle name="Input 4 4 3 3 2 2 2 2" xfId="32456"/>
    <cellStyle name="Input 4 4 3 3 2 2 3" xfId="32457"/>
    <cellStyle name="Input 4 4 3 3 2 2 3 2" xfId="32458"/>
    <cellStyle name="Input 4 4 3 3 2 2 4" xfId="32459"/>
    <cellStyle name="Input 4 4 3 3 2 2 5" xfId="32460"/>
    <cellStyle name="Input 4 4 3 3 2 2 6" xfId="32461"/>
    <cellStyle name="Input 4 4 3 3 2 3" xfId="32462"/>
    <cellStyle name="Input 4 4 3 3 2 3 2" xfId="32463"/>
    <cellStyle name="Input 4 4 3 3 2 4" xfId="32464"/>
    <cellStyle name="Input 4 4 3 3 2 4 2" xfId="32465"/>
    <cellStyle name="Input 4 4 3 3 2 5" xfId="32466"/>
    <cellStyle name="Input 4 4 3 3 2 6" xfId="32467"/>
    <cellStyle name="Input 4 4 3 3 2 7" xfId="32468"/>
    <cellStyle name="Input 4 4 3 3 3" xfId="32469"/>
    <cellStyle name="Input 4 4 3 3 3 2" xfId="32470"/>
    <cellStyle name="Input 4 4 3 3 3 2 2" xfId="32471"/>
    <cellStyle name="Input 4 4 3 3 3 3" xfId="32472"/>
    <cellStyle name="Input 4 4 3 3 3 3 2" xfId="32473"/>
    <cellStyle name="Input 4 4 3 3 3 4" xfId="32474"/>
    <cellStyle name="Input 4 4 3 3 3 5" xfId="32475"/>
    <cellStyle name="Input 4 4 3 3 3 6" xfId="32476"/>
    <cellStyle name="Input 4 4 3 3 4" xfId="32477"/>
    <cellStyle name="Input 4 4 3 3 4 2" xfId="32478"/>
    <cellStyle name="Input 4 4 3 3 5" xfId="32479"/>
    <cellStyle name="Input 4 4 3 3 5 2" xfId="32480"/>
    <cellStyle name="Input 4 4 3 3 6" xfId="32481"/>
    <cellStyle name="Input 4 4 3 3 7" xfId="32482"/>
    <cellStyle name="Input 4 4 3 3 8" xfId="32483"/>
    <cellStyle name="Input 4 4 3 4" xfId="32484"/>
    <cellStyle name="Input 4 4 3 4 2" xfId="32485"/>
    <cellStyle name="Input 4 4 3 4 2 2" xfId="32486"/>
    <cellStyle name="Input 4 4 3 4 2 2 2" xfId="32487"/>
    <cellStyle name="Input 4 4 3 4 2 3" xfId="32488"/>
    <cellStyle name="Input 4 4 3 4 2 3 2" xfId="32489"/>
    <cellStyle name="Input 4 4 3 4 2 4" xfId="32490"/>
    <cellStyle name="Input 4 4 3 4 2 5" xfId="32491"/>
    <cellStyle name="Input 4 4 3 4 2 6" xfId="32492"/>
    <cellStyle name="Input 4 4 3 4 3" xfId="32493"/>
    <cellStyle name="Input 4 4 3 4 3 2" xfId="32494"/>
    <cellStyle name="Input 4 4 3 4 4" xfId="32495"/>
    <cellStyle name="Input 4 4 3 4 4 2" xfId="32496"/>
    <cellStyle name="Input 4 4 3 4 5" xfId="32497"/>
    <cellStyle name="Input 4 4 3 4 6" xfId="32498"/>
    <cellStyle name="Input 4 4 3 4 7" xfId="32499"/>
    <cellStyle name="Input 4 4 3 5" xfId="32500"/>
    <cellStyle name="Input 4 4 3 5 2" xfId="32501"/>
    <cellStyle name="Input 4 4 3 5 2 2" xfId="32502"/>
    <cellStyle name="Input 4 4 3 5 3" xfId="32503"/>
    <cellStyle name="Input 4 4 3 5 3 2" xfId="32504"/>
    <cellStyle name="Input 4 4 3 5 4" xfId="32505"/>
    <cellStyle name="Input 4 4 3 5 5" xfId="32506"/>
    <cellStyle name="Input 4 4 3 5 6" xfId="32507"/>
    <cellStyle name="Input 4 4 3 6" xfId="32508"/>
    <cellStyle name="Input 4 4 3 6 2" xfId="32509"/>
    <cellStyle name="Input 4 4 3 7" xfId="32510"/>
    <cellStyle name="Input 4 4 3 7 2" xfId="32511"/>
    <cellStyle name="Input 4 4 3 8" xfId="32512"/>
    <cellStyle name="Input 4 4 3 9" xfId="32513"/>
    <cellStyle name="Input 4 4 4" xfId="32514"/>
    <cellStyle name="Input 4 4 4 2" xfId="32515"/>
    <cellStyle name="Input 4 4 4 2 2" xfId="32516"/>
    <cellStyle name="Input 4 4 4 2 2 2" xfId="32517"/>
    <cellStyle name="Input 4 4 4 2 2 2 2" xfId="32518"/>
    <cellStyle name="Input 4 4 4 2 2 3" xfId="32519"/>
    <cellStyle name="Input 4 4 4 2 2 3 2" xfId="32520"/>
    <cellStyle name="Input 4 4 4 2 2 4" xfId="32521"/>
    <cellStyle name="Input 4 4 4 2 2 5" xfId="32522"/>
    <cellStyle name="Input 4 4 4 2 2 6" xfId="32523"/>
    <cellStyle name="Input 4 4 4 2 3" xfId="32524"/>
    <cellStyle name="Input 4 4 4 2 3 2" xfId="32525"/>
    <cellStyle name="Input 4 4 4 2 4" xfId="32526"/>
    <cellStyle name="Input 4 4 4 2 4 2" xfId="32527"/>
    <cellStyle name="Input 4 4 4 2 5" xfId="32528"/>
    <cellStyle name="Input 4 4 4 2 6" xfId="32529"/>
    <cellStyle name="Input 4 4 4 2 7" xfId="32530"/>
    <cellStyle name="Input 4 4 4 3" xfId="32531"/>
    <cellStyle name="Input 4 4 4 3 2" xfId="32532"/>
    <cellStyle name="Input 4 4 4 3 2 2" xfId="32533"/>
    <cellStyle name="Input 4 4 4 3 3" xfId="32534"/>
    <cellStyle name="Input 4 4 4 3 3 2" xfId="32535"/>
    <cellStyle name="Input 4 4 4 3 4" xfId="32536"/>
    <cellStyle name="Input 4 4 4 3 5" xfId="32537"/>
    <cellStyle name="Input 4 4 4 3 6" xfId="32538"/>
    <cellStyle name="Input 4 4 4 4" xfId="32539"/>
    <cellStyle name="Input 4 4 4 4 2" xfId="32540"/>
    <cellStyle name="Input 4 4 4 5" xfId="32541"/>
    <cellStyle name="Input 4 4 4 5 2" xfId="32542"/>
    <cellStyle name="Input 4 4 4 6" xfId="32543"/>
    <cellStyle name="Input 4 4 4 7" xfId="32544"/>
    <cellStyle name="Input 4 4 4 8" xfId="32545"/>
    <cellStyle name="Input 4 4 5" xfId="32546"/>
    <cellStyle name="Input 4 4 5 2" xfId="32547"/>
    <cellStyle name="Input 4 4 5 2 2" xfId="32548"/>
    <cellStyle name="Input 4 4 5 2 2 2" xfId="32549"/>
    <cellStyle name="Input 4 4 5 2 3" xfId="32550"/>
    <cellStyle name="Input 4 4 5 2 3 2" xfId="32551"/>
    <cellStyle name="Input 4 4 5 2 4" xfId="32552"/>
    <cellStyle name="Input 4 4 5 2 5" xfId="32553"/>
    <cellStyle name="Input 4 4 5 2 6" xfId="32554"/>
    <cellStyle name="Input 4 4 5 3" xfId="32555"/>
    <cellStyle name="Input 4 4 5 3 2" xfId="32556"/>
    <cellStyle name="Input 4 4 5 4" xfId="32557"/>
    <cellStyle name="Input 4 4 5 4 2" xfId="32558"/>
    <cellStyle name="Input 4 4 5 5" xfId="32559"/>
    <cellStyle name="Input 4 4 5 6" xfId="32560"/>
    <cellStyle name="Input 4 4 5 7" xfId="32561"/>
    <cellStyle name="Input 4 4 6" xfId="32562"/>
    <cellStyle name="Input 4 4 6 2" xfId="32563"/>
    <cellStyle name="Input 4 4 6 2 2" xfId="32564"/>
    <cellStyle name="Input 4 4 6 3" xfId="32565"/>
    <cellStyle name="Input 4 4 6 3 2" xfId="32566"/>
    <cellStyle name="Input 4 4 6 4" xfId="32567"/>
    <cellStyle name="Input 4 4 6 5" xfId="32568"/>
    <cellStyle name="Input 4 4 6 6" xfId="32569"/>
    <cellStyle name="Input 4 4 7" xfId="32570"/>
    <cellStyle name="Input 4 4 7 2" xfId="32571"/>
    <cellStyle name="Input 4 4 8" xfId="32572"/>
    <cellStyle name="Input 4 4 8 2" xfId="32573"/>
    <cellStyle name="Input 4 4 9" xfId="32574"/>
    <cellStyle name="Input 4 5" xfId="32575"/>
    <cellStyle name="Input 4 5 10" xfId="32576"/>
    <cellStyle name="Input 4 5 11" xfId="32577"/>
    <cellStyle name="Input 4 5 2" xfId="32578"/>
    <cellStyle name="Input 4 5 2 10" xfId="32579"/>
    <cellStyle name="Input 4 5 2 2" xfId="32580"/>
    <cellStyle name="Input 4 5 2 2 2" xfId="32581"/>
    <cellStyle name="Input 4 5 2 2 2 2" xfId="32582"/>
    <cellStyle name="Input 4 5 2 2 2 2 2" xfId="32583"/>
    <cellStyle name="Input 4 5 2 2 2 2 2 2" xfId="32584"/>
    <cellStyle name="Input 4 5 2 2 2 2 3" xfId="32585"/>
    <cellStyle name="Input 4 5 2 2 2 2 3 2" xfId="32586"/>
    <cellStyle name="Input 4 5 2 2 2 2 4" xfId="32587"/>
    <cellStyle name="Input 4 5 2 2 2 2 5" xfId="32588"/>
    <cellStyle name="Input 4 5 2 2 2 2 6" xfId="32589"/>
    <cellStyle name="Input 4 5 2 2 2 3" xfId="32590"/>
    <cellStyle name="Input 4 5 2 2 2 3 2" xfId="32591"/>
    <cellStyle name="Input 4 5 2 2 2 4" xfId="32592"/>
    <cellStyle name="Input 4 5 2 2 2 4 2" xfId="32593"/>
    <cellStyle name="Input 4 5 2 2 2 5" xfId="32594"/>
    <cellStyle name="Input 4 5 2 2 2 6" xfId="32595"/>
    <cellStyle name="Input 4 5 2 2 2 7" xfId="32596"/>
    <cellStyle name="Input 4 5 2 2 3" xfId="32597"/>
    <cellStyle name="Input 4 5 2 2 3 2" xfId="32598"/>
    <cellStyle name="Input 4 5 2 2 3 2 2" xfId="32599"/>
    <cellStyle name="Input 4 5 2 2 3 3" xfId="32600"/>
    <cellStyle name="Input 4 5 2 2 3 3 2" xfId="32601"/>
    <cellStyle name="Input 4 5 2 2 3 4" xfId="32602"/>
    <cellStyle name="Input 4 5 2 2 3 5" xfId="32603"/>
    <cellStyle name="Input 4 5 2 2 3 6" xfId="32604"/>
    <cellStyle name="Input 4 5 2 2 4" xfId="32605"/>
    <cellStyle name="Input 4 5 2 2 4 2" xfId="32606"/>
    <cellStyle name="Input 4 5 2 2 5" xfId="32607"/>
    <cellStyle name="Input 4 5 2 2 5 2" xfId="32608"/>
    <cellStyle name="Input 4 5 2 2 6" xfId="32609"/>
    <cellStyle name="Input 4 5 2 2 7" xfId="32610"/>
    <cellStyle name="Input 4 5 2 2 8" xfId="32611"/>
    <cellStyle name="Input 4 5 2 3" xfId="32612"/>
    <cellStyle name="Input 4 5 2 3 2" xfId="32613"/>
    <cellStyle name="Input 4 5 2 3 2 2" xfId="32614"/>
    <cellStyle name="Input 4 5 2 3 2 2 2" xfId="32615"/>
    <cellStyle name="Input 4 5 2 3 2 2 2 2" xfId="32616"/>
    <cellStyle name="Input 4 5 2 3 2 2 3" xfId="32617"/>
    <cellStyle name="Input 4 5 2 3 2 2 3 2" xfId="32618"/>
    <cellStyle name="Input 4 5 2 3 2 2 4" xfId="32619"/>
    <cellStyle name="Input 4 5 2 3 2 2 5" xfId="32620"/>
    <cellStyle name="Input 4 5 2 3 2 2 6" xfId="32621"/>
    <cellStyle name="Input 4 5 2 3 2 3" xfId="32622"/>
    <cellStyle name="Input 4 5 2 3 2 3 2" xfId="32623"/>
    <cellStyle name="Input 4 5 2 3 2 4" xfId="32624"/>
    <cellStyle name="Input 4 5 2 3 2 4 2" xfId="32625"/>
    <cellStyle name="Input 4 5 2 3 2 5" xfId="32626"/>
    <cellStyle name="Input 4 5 2 3 2 6" xfId="32627"/>
    <cellStyle name="Input 4 5 2 3 2 7" xfId="32628"/>
    <cellStyle name="Input 4 5 2 3 3" xfId="32629"/>
    <cellStyle name="Input 4 5 2 3 3 2" xfId="32630"/>
    <cellStyle name="Input 4 5 2 3 3 2 2" xfId="32631"/>
    <cellStyle name="Input 4 5 2 3 3 3" xfId="32632"/>
    <cellStyle name="Input 4 5 2 3 3 3 2" xfId="32633"/>
    <cellStyle name="Input 4 5 2 3 3 4" xfId="32634"/>
    <cellStyle name="Input 4 5 2 3 3 5" xfId="32635"/>
    <cellStyle name="Input 4 5 2 3 3 6" xfId="32636"/>
    <cellStyle name="Input 4 5 2 3 4" xfId="32637"/>
    <cellStyle name="Input 4 5 2 3 4 2" xfId="32638"/>
    <cellStyle name="Input 4 5 2 3 5" xfId="32639"/>
    <cellStyle name="Input 4 5 2 3 5 2" xfId="32640"/>
    <cellStyle name="Input 4 5 2 3 6" xfId="32641"/>
    <cellStyle name="Input 4 5 2 3 7" xfId="32642"/>
    <cellStyle name="Input 4 5 2 3 8" xfId="32643"/>
    <cellStyle name="Input 4 5 2 4" xfId="32644"/>
    <cellStyle name="Input 4 5 2 4 2" xfId="32645"/>
    <cellStyle name="Input 4 5 2 4 2 2" xfId="32646"/>
    <cellStyle name="Input 4 5 2 4 2 2 2" xfId="32647"/>
    <cellStyle name="Input 4 5 2 4 2 3" xfId="32648"/>
    <cellStyle name="Input 4 5 2 4 2 3 2" xfId="32649"/>
    <cellStyle name="Input 4 5 2 4 2 4" xfId="32650"/>
    <cellStyle name="Input 4 5 2 4 2 5" xfId="32651"/>
    <cellStyle name="Input 4 5 2 4 2 6" xfId="32652"/>
    <cellStyle name="Input 4 5 2 4 3" xfId="32653"/>
    <cellStyle name="Input 4 5 2 4 3 2" xfId="32654"/>
    <cellStyle name="Input 4 5 2 4 4" xfId="32655"/>
    <cellStyle name="Input 4 5 2 4 4 2" xfId="32656"/>
    <cellStyle name="Input 4 5 2 4 5" xfId="32657"/>
    <cellStyle name="Input 4 5 2 4 6" xfId="32658"/>
    <cellStyle name="Input 4 5 2 4 7" xfId="32659"/>
    <cellStyle name="Input 4 5 2 5" xfId="32660"/>
    <cellStyle name="Input 4 5 2 5 2" xfId="32661"/>
    <cellStyle name="Input 4 5 2 5 2 2" xfId="32662"/>
    <cellStyle name="Input 4 5 2 5 3" xfId="32663"/>
    <cellStyle name="Input 4 5 2 5 3 2" xfId="32664"/>
    <cellStyle name="Input 4 5 2 5 4" xfId="32665"/>
    <cellStyle name="Input 4 5 2 5 5" xfId="32666"/>
    <cellStyle name="Input 4 5 2 5 6" xfId="32667"/>
    <cellStyle name="Input 4 5 2 6" xfId="32668"/>
    <cellStyle name="Input 4 5 2 6 2" xfId="32669"/>
    <cellStyle name="Input 4 5 2 7" xfId="32670"/>
    <cellStyle name="Input 4 5 2 7 2" xfId="32671"/>
    <cellStyle name="Input 4 5 2 8" xfId="32672"/>
    <cellStyle name="Input 4 5 2 9" xfId="32673"/>
    <cellStyle name="Input 4 5 3" xfId="32674"/>
    <cellStyle name="Input 4 5 3 2" xfId="32675"/>
    <cellStyle name="Input 4 5 3 2 2" xfId="32676"/>
    <cellStyle name="Input 4 5 3 2 2 2" xfId="32677"/>
    <cellStyle name="Input 4 5 3 2 2 2 2" xfId="32678"/>
    <cellStyle name="Input 4 5 3 2 2 3" xfId="32679"/>
    <cellStyle name="Input 4 5 3 2 2 3 2" xfId="32680"/>
    <cellStyle name="Input 4 5 3 2 2 4" xfId="32681"/>
    <cellStyle name="Input 4 5 3 2 2 5" xfId="32682"/>
    <cellStyle name="Input 4 5 3 2 2 6" xfId="32683"/>
    <cellStyle name="Input 4 5 3 2 3" xfId="32684"/>
    <cellStyle name="Input 4 5 3 2 3 2" xfId="32685"/>
    <cellStyle name="Input 4 5 3 2 4" xfId="32686"/>
    <cellStyle name="Input 4 5 3 2 4 2" xfId="32687"/>
    <cellStyle name="Input 4 5 3 2 5" xfId="32688"/>
    <cellStyle name="Input 4 5 3 2 6" xfId="32689"/>
    <cellStyle name="Input 4 5 3 2 7" xfId="32690"/>
    <cellStyle name="Input 4 5 3 3" xfId="32691"/>
    <cellStyle name="Input 4 5 3 3 2" xfId="32692"/>
    <cellStyle name="Input 4 5 3 3 2 2" xfId="32693"/>
    <cellStyle name="Input 4 5 3 3 3" xfId="32694"/>
    <cellStyle name="Input 4 5 3 3 3 2" xfId="32695"/>
    <cellStyle name="Input 4 5 3 3 4" xfId="32696"/>
    <cellStyle name="Input 4 5 3 3 5" xfId="32697"/>
    <cellStyle name="Input 4 5 3 3 6" xfId="32698"/>
    <cellStyle name="Input 4 5 3 4" xfId="32699"/>
    <cellStyle name="Input 4 5 3 4 2" xfId="32700"/>
    <cellStyle name="Input 4 5 3 5" xfId="32701"/>
    <cellStyle name="Input 4 5 3 5 2" xfId="32702"/>
    <cellStyle name="Input 4 5 3 6" xfId="32703"/>
    <cellStyle name="Input 4 5 3 7" xfId="32704"/>
    <cellStyle name="Input 4 5 3 8" xfId="32705"/>
    <cellStyle name="Input 4 5 4" xfId="32706"/>
    <cellStyle name="Input 4 5 4 2" xfId="32707"/>
    <cellStyle name="Input 4 5 4 2 2" xfId="32708"/>
    <cellStyle name="Input 4 5 4 2 2 2" xfId="32709"/>
    <cellStyle name="Input 4 5 4 2 2 2 2" xfId="32710"/>
    <cellStyle name="Input 4 5 4 2 2 3" xfId="32711"/>
    <cellStyle name="Input 4 5 4 2 2 3 2" xfId="32712"/>
    <cellStyle name="Input 4 5 4 2 2 4" xfId="32713"/>
    <cellStyle name="Input 4 5 4 2 2 5" xfId="32714"/>
    <cellStyle name="Input 4 5 4 2 2 6" xfId="32715"/>
    <cellStyle name="Input 4 5 4 2 3" xfId="32716"/>
    <cellStyle name="Input 4 5 4 2 3 2" xfId="32717"/>
    <cellStyle name="Input 4 5 4 2 4" xfId="32718"/>
    <cellStyle name="Input 4 5 4 2 4 2" xfId="32719"/>
    <cellStyle name="Input 4 5 4 2 5" xfId="32720"/>
    <cellStyle name="Input 4 5 4 2 6" xfId="32721"/>
    <cellStyle name="Input 4 5 4 2 7" xfId="32722"/>
    <cellStyle name="Input 4 5 4 3" xfId="32723"/>
    <cellStyle name="Input 4 5 4 3 2" xfId="32724"/>
    <cellStyle name="Input 4 5 4 3 2 2" xfId="32725"/>
    <cellStyle name="Input 4 5 4 3 3" xfId="32726"/>
    <cellStyle name="Input 4 5 4 3 3 2" xfId="32727"/>
    <cellStyle name="Input 4 5 4 3 4" xfId="32728"/>
    <cellStyle name="Input 4 5 4 3 5" xfId="32729"/>
    <cellStyle name="Input 4 5 4 3 6" xfId="32730"/>
    <cellStyle name="Input 4 5 4 4" xfId="32731"/>
    <cellStyle name="Input 4 5 4 4 2" xfId="32732"/>
    <cellStyle name="Input 4 5 4 5" xfId="32733"/>
    <cellStyle name="Input 4 5 4 5 2" xfId="32734"/>
    <cellStyle name="Input 4 5 4 6" xfId="32735"/>
    <cellStyle name="Input 4 5 4 7" xfId="32736"/>
    <cellStyle name="Input 4 5 4 8" xfId="32737"/>
    <cellStyle name="Input 4 5 5" xfId="32738"/>
    <cellStyle name="Input 4 5 5 2" xfId="32739"/>
    <cellStyle name="Input 4 5 5 2 2" xfId="32740"/>
    <cellStyle name="Input 4 5 5 2 2 2" xfId="32741"/>
    <cellStyle name="Input 4 5 5 2 3" xfId="32742"/>
    <cellStyle name="Input 4 5 5 2 3 2" xfId="32743"/>
    <cellStyle name="Input 4 5 5 2 4" xfId="32744"/>
    <cellStyle name="Input 4 5 5 2 5" xfId="32745"/>
    <cellStyle name="Input 4 5 5 2 6" xfId="32746"/>
    <cellStyle name="Input 4 5 5 3" xfId="32747"/>
    <cellStyle name="Input 4 5 5 3 2" xfId="32748"/>
    <cellStyle name="Input 4 5 5 4" xfId="32749"/>
    <cellStyle name="Input 4 5 5 4 2" xfId="32750"/>
    <cellStyle name="Input 4 5 5 5" xfId="32751"/>
    <cellStyle name="Input 4 5 5 6" xfId="32752"/>
    <cellStyle name="Input 4 5 5 7" xfId="32753"/>
    <cellStyle name="Input 4 5 6" xfId="32754"/>
    <cellStyle name="Input 4 5 6 2" xfId="32755"/>
    <cellStyle name="Input 4 5 6 2 2" xfId="32756"/>
    <cellStyle name="Input 4 5 6 3" xfId="32757"/>
    <cellStyle name="Input 4 5 6 3 2" xfId="32758"/>
    <cellStyle name="Input 4 5 6 4" xfId="32759"/>
    <cellStyle name="Input 4 5 6 5" xfId="32760"/>
    <cellStyle name="Input 4 5 6 6" xfId="32761"/>
    <cellStyle name="Input 4 5 7" xfId="32762"/>
    <cellStyle name="Input 4 5 7 2" xfId="32763"/>
    <cellStyle name="Input 4 5 8" xfId="32764"/>
    <cellStyle name="Input 4 5 8 2" xfId="32765"/>
    <cellStyle name="Input 4 5 9" xfId="32766"/>
    <cellStyle name="Input 4 6" xfId="32767"/>
    <cellStyle name="Input 4 6 2" xfId="32768"/>
    <cellStyle name="Input 4 6 2 2" xfId="32769"/>
    <cellStyle name="Input 4 6 2 2 2" xfId="32770"/>
    <cellStyle name="Input 4 6 2 3" xfId="32771"/>
    <cellStyle name="Input 4 6 2 3 2" xfId="32772"/>
    <cellStyle name="Input 4 6 2 4" xfId="32773"/>
    <cellStyle name="Input 4 6 2 5" xfId="32774"/>
    <cellStyle name="Input 4 6 2 6" xfId="32775"/>
    <cellStyle name="Input 4 6 3" xfId="32776"/>
    <cellStyle name="Input 4 6 3 2" xfId="32777"/>
    <cellStyle name="Input 4 6 4" xfId="32778"/>
    <cellStyle name="Input 4 6 4 2" xfId="32779"/>
    <cellStyle name="Input 4 6 5" xfId="32780"/>
    <cellStyle name="Input 4 6 6" xfId="32781"/>
    <cellStyle name="Input 4 6 7" xfId="32782"/>
    <cellStyle name="Input 4 7" xfId="32783"/>
    <cellStyle name="Input 4 7 2" xfId="32784"/>
    <cellStyle name="Input 4 8" xfId="32785"/>
    <cellStyle name="Input 4 8 2" xfId="32786"/>
    <cellStyle name="Input 4 9" xfId="32787"/>
    <cellStyle name="Input 40" xfId="32788"/>
    <cellStyle name="Input 40 2" xfId="32789"/>
    <cellStyle name="Input 40 2 2" xfId="32790"/>
    <cellStyle name="Input 40 2 2 2" xfId="32791"/>
    <cellStyle name="Input 40 2 2 2 2" xfId="32792"/>
    <cellStyle name="Input 40 2 2 3" xfId="32793"/>
    <cellStyle name="Input 40 2 2 3 2" xfId="32794"/>
    <cellStyle name="Input 40 2 2 4" xfId="32795"/>
    <cellStyle name="Input 40 2 2 5" xfId="32796"/>
    <cellStyle name="Input 40 2 2 6" xfId="32797"/>
    <cellStyle name="Input 40 2 3" xfId="32798"/>
    <cellStyle name="Input 40 2 3 2" xfId="32799"/>
    <cellStyle name="Input 40 2 4" xfId="32800"/>
    <cellStyle name="Input 40 2 4 2" xfId="32801"/>
    <cellStyle name="Input 40 2 5" xfId="32802"/>
    <cellStyle name="Input 40 2 6" xfId="32803"/>
    <cellStyle name="Input 40 2 7" xfId="32804"/>
    <cellStyle name="Input 40 3" xfId="32805"/>
    <cellStyle name="Input 40 3 2" xfId="32806"/>
    <cellStyle name="Input 40 3 2 2" xfId="32807"/>
    <cellStyle name="Input 40 3 3" xfId="32808"/>
    <cellStyle name="Input 40 3 3 2" xfId="32809"/>
    <cellStyle name="Input 40 3 4" xfId="32810"/>
    <cellStyle name="Input 40 3 5" xfId="32811"/>
    <cellStyle name="Input 40 3 6" xfId="32812"/>
    <cellStyle name="Input 40 4" xfId="32813"/>
    <cellStyle name="Input 40 4 2" xfId="32814"/>
    <cellStyle name="Input 40 5" xfId="32815"/>
    <cellStyle name="Input 40 5 2" xfId="32816"/>
    <cellStyle name="Input 40 6" xfId="32817"/>
    <cellStyle name="Input 40 7" xfId="32818"/>
    <cellStyle name="Input 40 8" xfId="32819"/>
    <cellStyle name="Input 41" xfId="32820"/>
    <cellStyle name="Input 41 2" xfId="32821"/>
    <cellStyle name="Input 41 2 2" xfId="32822"/>
    <cellStyle name="Input 41 2 2 2" xfId="32823"/>
    <cellStyle name="Input 41 2 2 2 2" xfId="32824"/>
    <cellStyle name="Input 41 2 2 3" xfId="32825"/>
    <cellStyle name="Input 41 2 2 3 2" xfId="32826"/>
    <cellStyle name="Input 41 2 2 4" xfId="32827"/>
    <cellStyle name="Input 41 2 2 5" xfId="32828"/>
    <cellStyle name="Input 41 2 2 6" xfId="32829"/>
    <cellStyle name="Input 41 2 3" xfId="32830"/>
    <cellStyle name="Input 41 2 3 2" xfId="32831"/>
    <cellStyle name="Input 41 2 4" xfId="32832"/>
    <cellStyle name="Input 41 2 4 2" xfId="32833"/>
    <cellStyle name="Input 41 2 5" xfId="32834"/>
    <cellStyle name="Input 41 2 6" xfId="32835"/>
    <cellStyle name="Input 41 2 7" xfId="32836"/>
    <cellStyle name="Input 41 3" xfId="32837"/>
    <cellStyle name="Input 41 3 2" xfId="32838"/>
    <cellStyle name="Input 41 3 2 2" xfId="32839"/>
    <cellStyle name="Input 41 3 3" xfId="32840"/>
    <cellStyle name="Input 41 3 3 2" xfId="32841"/>
    <cellStyle name="Input 41 3 4" xfId="32842"/>
    <cellStyle name="Input 41 3 5" xfId="32843"/>
    <cellStyle name="Input 41 3 6" xfId="32844"/>
    <cellStyle name="Input 41 4" xfId="32845"/>
    <cellStyle name="Input 41 4 2" xfId="32846"/>
    <cellStyle name="Input 41 5" xfId="32847"/>
    <cellStyle name="Input 41 5 2" xfId="32848"/>
    <cellStyle name="Input 41 6" xfId="32849"/>
    <cellStyle name="Input 41 7" xfId="32850"/>
    <cellStyle name="Input 41 8" xfId="32851"/>
    <cellStyle name="Input 42" xfId="32852"/>
    <cellStyle name="Input 42 2" xfId="32853"/>
    <cellStyle name="Input 42 2 2" xfId="32854"/>
    <cellStyle name="Input 42 2 2 2" xfId="32855"/>
    <cellStyle name="Input 42 2 2 2 2" xfId="32856"/>
    <cellStyle name="Input 42 2 2 3" xfId="32857"/>
    <cellStyle name="Input 42 2 2 3 2" xfId="32858"/>
    <cellStyle name="Input 42 2 2 4" xfId="32859"/>
    <cellStyle name="Input 42 2 2 5" xfId="32860"/>
    <cellStyle name="Input 42 2 2 6" xfId="32861"/>
    <cellStyle name="Input 42 2 3" xfId="32862"/>
    <cellStyle name="Input 42 2 3 2" xfId="32863"/>
    <cellStyle name="Input 42 2 4" xfId="32864"/>
    <cellStyle name="Input 42 2 4 2" xfId="32865"/>
    <cellStyle name="Input 42 2 5" xfId="32866"/>
    <cellStyle name="Input 42 2 6" xfId="32867"/>
    <cellStyle name="Input 42 2 7" xfId="32868"/>
    <cellStyle name="Input 42 3" xfId="32869"/>
    <cellStyle name="Input 42 3 2" xfId="32870"/>
    <cellStyle name="Input 42 3 2 2" xfId="32871"/>
    <cellStyle name="Input 42 3 3" xfId="32872"/>
    <cellStyle name="Input 42 3 3 2" xfId="32873"/>
    <cellStyle name="Input 42 3 4" xfId="32874"/>
    <cellStyle name="Input 42 3 5" xfId="32875"/>
    <cellStyle name="Input 42 3 6" xfId="32876"/>
    <cellStyle name="Input 42 4" xfId="32877"/>
    <cellStyle name="Input 42 4 2" xfId="32878"/>
    <cellStyle name="Input 42 5" xfId="32879"/>
    <cellStyle name="Input 42 5 2" xfId="32880"/>
    <cellStyle name="Input 42 6" xfId="32881"/>
    <cellStyle name="Input 42 7" xfId="32882"/>
    <cellStyle name="Input 42 8" xfId="32883"/>
    <cellStyle name="Input 43" xfId="32884"/>
    <cellStyle name="Input 43 2" xfId="32885"/>
    <cellStyle name="Input 43 2 2" xfId="32886"/>
    <cellStyle name="Input 43 2 2 2" xfId="32887"/>
    <cellStyle name="Input 43 2 2 2 2" xfId="32888"/>
    <cellStyle name="Input 43 2 2 3" xfId="32889"/>
    <cellStyle name="Input 43 2 2 3 2" xfId="32890"/>
    <cellStyle name="Input 43 2 2 4" xfId="32891"/>
    <cellStyle name="Input 43 2 2 5" xfId="32892"/>
    <cellStyle name="Input 43 2 2 6" xfId="32893"/>
    <cellStyle name="Input 43 2 3" xfId="32894"/>
    <cellStyle name="Input 43 2 3 2" xfId="32895"/>
    <cellStyle name="Input 43 2 4" xfId="32896"/>
    <cellStyle name="Input 43 2 4 2" xfId="32897"/>
    <cellStyle name="Input 43 2 5" xfId="32898"/>
    <cellStyle name="Input 43 2 6" xfId="32899"/>
    <cellStyle name="Input 43 2 7" xfId="32900"/>
    <cellStyle name="Input 43 3" xfId="32901"/>
    <cellStyle name="Input 43 3 2" xfId="32902"/>
    <cellStyle name="Input 43 3 2 2" xfId="32903"/>
    <cellStyle name="Input 43 3 3" xfId="32904"/>
    <cellStyle name="Input 43 3 3 2" xfId="32905"/>
    <cellStyle name="Input 43 3 4" xfId="32906"/>
    <cellStyle name="Input 43 3 5" xfId="32907"/>
    <cellStyle name="Input 43 3 6" xfId="32908"/>
    <cellStyle name="Input 43 4" xfId="32909"/>
    <cellStyle name="Input 43 4 2" xfId="32910"/>
    <cellStyle name="Input 43 5" xfId="32911"/>
    <cellStyle name="Input 43 5 2" xfId="32912"/>
    <cellStyle name="Input 43 6" xfId="32913"/>
    <cellStyle name="Input 43 7" xfId="32914"/>
    <cellStyle name="Input 43 8" xfId="32915"/>
    <cellStyle name="Input 44" xfId="32916"/>
    <cellStyle name="Input 44 2" xfId="32917"/>
    <cellStyle name="Input 44 2 2" xfId="32918"/>
    <cellStyle name="Input 44 2 2 2" xfId="32919"/>
    <cellStyle name="Input 44 2 2 2 2" xfId="32920"/>
    <cellStyle name="Input 44 2 2 3" xfId="32921"/>
    <cellStyle name="Input 44 2 2 3 2" xfId="32922"/>
    <cellStyle name="Input 44 2 2 4" xfId="32923"/>
    <cellStyle name="Input 44 2 2 5" xfId="32924"/>
    <cellStyle name="Input 44 2 2 6" xfId="32925"/>
    <cellStyle name="Input 44 2 3" xfId="32926"/>
    <cellStyle name="Input 44 2 3 2" xfId="32927"/>
    <cellStyle name="Input 44 2 4" xfId="32928"/>
    <cellStyle name="Input 44 2 4 2" xfId="32929"/>
    <cellStyle name="Input 44 2 5" xfId="32930"/>
    <cellStyle name="Input 44 2 6" xfId="32931"/>
    <cellStyle name="Input 44 2 7" xfId="32932"/>
    <cellStyle name="Input 44 3" xfId="32933"/>
    <cellStyle name="Input 44 3 2" xfId="32934"/>
    <cellStyle name="Input 44 3 2 2" xfId="32935"/>
    <cellStyle name="Input 44 3 3" xfId="32936"/>
    <cellStyle name="Input 44 3 3 2" xfId="32937"/>
    <cellStyle name="Input 44 3 4" xfId="32938"/>
    <cellStyle name="Input 44 3 5" xfId="32939"/>
    <cellStyle name="Input 44 3 6" xfId="32940"/>
    <cellStyle name="Input 44 4" xfId="32941"/>
    <cellStyle name="Input 44 4 2" xfId="32942"/>
    <cellStyle name="Input 44 5" xfId="32943"/>
    <cellStyle name="Input 44 5 2" xfId="32944"/>
    <cellStyle name="Input 44 6" xfId="32945"/>
    <cellStyle name="Input 44 7" xfId="32946"/>
    <cellStyle name="Input 44 8" xfId="32947"/>
    <cellStyle name="Input 45" xfId="32948"/>
    <cellStyle name="Input 45 2" xfId="32949"/>
    <cellStyle name="Input 45 2 2" xfId="32950"/>
    <cellStyle name="Input 45 2 2 2" xfId="32951"/>
    <cellStyle name="Input 45 2 2 2 2" xfId="32952"/>
    <cellStyle name="Input 45 2 2 3" xfId="32953"/>
    <cellStyle name="Input 45 2 2 3 2" xfId="32954"/>
    <cellStyle name="Input 45 2 2 4" xfId="32955"/>
    <cellStyle name="Input 45 2 2 5" xfId="32956"/>
    <cellStyle name="Input 45 2 2 6" xfId="32957"/>
    <cellStyle name="Input 45 2 3" xfId="32958"/>
    <cellStyle name="Input 45 2 3 2" xfId="32959"/>
    <cellStyle name="Input 45 2 4" xfId="32960"/>
    <cellStyle name="Input 45 2 4 2" xfId="32961"/>
    <cellStyle name="Input 45 2 5" xfId="32962"/>
    <cellStyle name="Input 45 2 6" xfId="32963"/>
    <cellStyle name="Input 45 2 7" xfId="32964"/>
    <cellStyle name="Input 45 3" xfId="32965"/>
    <cellStyle name="Input 45 3 2" xfId="32966"/>
    <cellStyle name="Input 45 3 2 2" xfId="32967"/>
    <cellStyle name="Input 45 3 3" xfId="32968"/>
    <cellStyle name="Input 45 3 3 2" xfId="32969"/>
    <cellStyle name="Input 45 3 4" xfId="32970"/>
    <cellStyle name="Input 45 3 5" xfId="32971"/>
    <cellStyle name="Input 45 3 6" xfId="32972"/>
    <cellStyle name="Input 45 4" xfId="32973"/>
    <cellStyle name="Input 45 4 2" xfId="32974"/>
    <cellStyle name="Input 45 5" xfId="32975"/>
    <cellStyle name="Input 45 5 2" xfId="32976"/>
    <cellStyle name="Input 45 6" xfId="32977"/>
    <cellStyle name="Input 45 7" xfId="32978"/>
    <cellStyle name="Input 45 8" xfId="32979"/>
    <cellStyle name="Input 46" xfId="32980"/>
    <cellStyle name="Input 46 2" xfId="32981"/>
    <cellStyle name="Input 46 2 2" xfId="32982"/>
    <cellStyle name="Input 46 2 2 2" xfId="32983"/>
    <cellStyle name="Input 46 2 2 2 2" xfId="32984"/>
    <cellStyle name="Input 46 2 2 3" xfId="32985"/>
    <cellStyle name="Input 46 2 2 3 2" xfId="32986"/>
    <cellStyle name="Input 46 2 2 4" xfId="32987"/>
    <cellStyle name="Input 46 2 2 5" xfId="32988"/>
    <cellStyle name="Input 46 2 2 6" xfId="32989"/>
    <cellStyle name="Input 46 2 3" xfId="32990"/>
    <cellStyle name="Input 46 2 3 2" xfId="32991"/>
    <cellStyle name="Input 46 2 4" xfId="32992"/>
    <cellStyle name="Input 46 2 4 2" xfId="32993"/>
    <cellStyle name="Input 46 2 5" xfId="32994"/>
    <cellStyle name="Input 46 2 6" xfId="32995"/>
    <cellStyle name="Input 46 2 7" xfId="32996"/>
    <cellStyle name="Input 46 3" xfId="32997"/>
    <cellStyle name="Input 46 3 2" xfId="32998"/>
    <cellStyle name="Input 46 3 2 2" xfId="32999"/>
    <cellStyle name="Input 46 3 3" xfId="33000"/>
    <cellStyle name="Input 46 3 3 2" xfId="33001"/>
    <cellStyle name="Input 46 3 4" xfId="33002"/>
    <cellStyle name="Input 46 3 5" xfId="33003"/>
    <cellStyle name="Input 46 3 6" xfId="33004"/>
    <cellStyle name="Input 46 4" xfId="33005"/>
    <cellStyle name="Input 46 4 2" xfId="33006"/>
    <cellStyle name="Input 46 5" xfId="33007"/>
    <cellStyle name="Input 46 5 2" xfId="33008"/>
    <cellStyle name="Input 46 6" xfId="33009"/>
    <cellStyle name="Input 46 7" xfId="33010"/>
    <cellStyle name="Input 46 8" xfId="33011"/>
    <cellStyle name="Input 47" xfId="33012"/>
    <cellStyle name="Input 47 2" xfId="33013"/>
    <cellStyle name="Input 47 2 2" xfId="33014"/>
    <cellStyle name="Input 47 2 2 2" xfId="33015"/>
    <cellStyle name="Input 47 2 2 2 2" xfId="33016"/>
    <cellStyle name="Input 47 2 2 3" xfId="33017"/>
    <cellStyle name="Input 47 2 2 3 2" xfId="33018"/>
    <cellStyle name="Input 47 2 2 4" xfId="33019"/>
    <cellStyle name="Input 47 2 2 5" xfId="33020"/>
    <cellStyle name="Input 47 2 2 6" xfId="33021"/>
    <cellStyle name="Input 47 2 3" xfId="33022"/>
    <cellStyle name="Input 47 2 3 2" xfId="33023"/>
    <cellStyle name="Input 47 2 4" xfId="33024"/>
    <cellStyle name="Input 47 2 4 2" xfId="33025"/>
    <cellStyle name="Input 47 2 5" xfId="33026"/>
    <cellStyle name="Input 47 2 6" xfId="33027"/>
    <cellStyle name="Input 47 2 7" xfId="33028"/>
    <cellStyle name="Input 47 3" xfId="33029"/>
    <cellStyle name="Input 47 3 2" xfId="33030"/>
    <cellStyle name="Input 47 3 2 2" xfId="33031"/>
    <cellStyle name="Input 47 3 3" xfId="33032"/>
    <cellStyle name="Input 47 3 3 2" xfId="33033"/>
    <cellStyle name="Input 47 3 4" xfId="33034"/>
    <cellStyle name="Input 47 3 5" xfId="33035"/>
    <cellStyle name="Input 47 3 6" xfId="33036"/>
    <cellStyle name="Input 47 4" xfId="33037"/>
    <cellStyle name="Input 47 4 2" xfId="33038"/>
    <cellStyle name="Input 47 5" xfId="33039"/>
    <cellStyle name="Input 47 5 2" xfId="33040"/>
    <cellStyle name="Input 47 6" xfId="33041"/>
    <cellStyle name="Input 47 7" xfId="33042"/>
    <cellStyle name="Input 47 8" xfId="33043"/>
    <cellStyle name="Input 48" xfId="33044"/>
    <cellStyle name="Input 48 2" xfId="33045"/>
    <cellStyle name="Input 48 2 2" xfId="33046"/>
    <cellStyle name="Input 48 2 2 2" xfId="33047"/>
    <cellStyle name="Input 48 2 3" xfId="33048"/>
    <cellStyle name="Input 48 2 3 2" xfId="33049"/>
    <cellStyle name="Input 48 2 4" xfId="33050"/>
    <cellStyle name="Input 48 2 5" xfId="33051"/>
    <cellStyle name="Input 48 2 6" xfId="33052"/>
    <cellStyle name="Input 48 3" xfId="33053"/>
    <cellStyle name="Input 48 3 2" xfId="33054"/>
    <cellStyle name="Input 48 4" xfId="33055"/>
    <cellStyle name="Input 48 4 2" xfId="33056"/>
    <cellStyle name="Input 48 5" xfId="33057"/>
    <cellStyle name="Input 48 6" xfId="33058"/>
    <cellStyle name="Input 48 7" xfId="33059"/>
    <cellStyle name="Input 49" xfId="33060"/>
    <cellStyle name="Input 49 2" xfId="33061"/>
    <cellStyle name="Input 49 2 2" xfId="33062"/>
    <cellStyle name="Input 49 2 2 2" xfId="33063"/>
    <cellStyle name="Input 49 2 3" xfId="33064"/>
    <cellStyle name="Input 49 2 3 2" xfId="33065"/>
    <cellStyle name="Input 49 2 4" xfId="33066"/>
    <cellStyle name="Input 49 2 5" xfId="33067"/>
    <cellStyle name="Input 49 2 6" xfId="33068"/>
    <cellStyle name="Input 49 3" xfId="33069"/>
    <cellStyle name="Input 49 3 2" xfId="33070"/>
    <cellStyle name="Input 49 4" xfId="33071"/>
    <cellStyle name="Input 49 4 2" xfId="33072"/>
    <cellStyle name="Input 49 5" xfId="33073"/>
    <cellStyle name="Input 49 6" xfId="33074"/>
    <cellStyle name="Input 49 7" xfId="33075"/>
    <cellStyle name="Input 5" xfId="33076"/>
    <cellStyle name="Input 5 10" xfId="33077"/>
    <cellStyle name="Input 5 11" xfId="33078"/>
    <cellStyle name="Input 5 2" xfId="33079"/>
    <cellStyle name="Input 5 2 10" xfId="33080"/>
    <cellStyle name="Input 5 2 11" xfId="33081"/>
    <cellStyle name="Input 5 2 12" xfId="33082"/>
    <cellStyle name="Input 5 2 2" xfId="33083"/>
    <cellStyle name="Input 5 2 2 10" xfId="33084"/>
    <cellStyle name="Input 5 2 2 11" xfId="33085"/>
    <cellStyle name="Input 5 2 2 12" xfId="33086"/>
    <cellStyle name="Input 5 2 2 2" xfId="33087"/>
    <cellStyle name="Input 5 2 2 2 10" xfId="33088"/>
    <cellStyle name="Input 5 2 2 2 11" xfId="33089"/>
    <cellStyle name="Input 5 2 2 2 2" xfId="33090"/>
    <cellStyle name="Input 5 2 2 2 2 10" xfId="33091"/>
    <cellStyle name="Input 5 2 2 2 2 2" xfId="33092"/>
    <cellStyle name="Input 5 2 2 2 2 2 2" xfId="33093"/>
    <cellStyle name="Input 5 2 2 2 2 2 2 2" xfId="33094"/>
    <cellStyle name="Input 5 2 2 2 2 2 2 2 2" xfId="33095"/>
    <cellStyle name="Input 5 2 2 2 2 2 2 2 2 2" xfId="33096"/>
    <cellStyle name="Input 5 2 2 2 2 2 2 2 3" xfId="33097"/>
    <cellStyle name="Input 5 2 2 2 2 2 2 2 3 2" xfId="33098"/>
    <cellStyle name="Input 5 2 2 2 2 2 2 2 4" xfId="33099"/>
    <cellStyle name="Input 5 2 2 2 2 2 2 2 5" xfId="33100"/>
    <cellStyle name="Input 5 2 2 2 2 2 2 2 6" xfId="33101"/>
    <cellStyle name="Input 5 2 2 2 2 2 2 3" xfId="33102"/>
    <cellStyle name="Input 5 2 2 2 2 2 2 3 2" xfId="33103"/>
    <cellStyle name="Input 5 2 2 2 2 2 2 4" xfId="33104"/>
    <cellStyle name="Input 5 2 2 2 2 2 2 4 2" xfId="33105"/>
    <cellStyle name="Input 5 2 2 2 2 2 2 5" xfId="33106"/>
    <cellStyle name="Input 5 2 2 2 2 2 2 6" xfId="33107"/>
    <cellStyle name="Input 5 2 2 2 2 2 2 7" xfId="33108"/>
    <cellStyle name="Input 5 2 2 2 2 2 3" xfId="33109"/>
    <cellStyle name="Input 5 2 2 2 2 2 3 2" xfId="33110"/>
    <cellStyle name="Input 5 2 2 2 2 2 3 2 2" xfId="33111"/>
    <cellStyle name="Input 5 2 2 2 2 2 3 3" xfId="33112"/>
    <cellStyle name="Input 5 2 2 2 2 2 3 3 2" xfId="33113"/>
    <cellStyle name="Input 5 2 2 2 2 2 3 4" xfId="33114"/>
    <cellStyle name="Input 5 2 2 2 2 2 3 5" xfId="33115"/>
    <cellStyle name="Input 5 2 2 2 2 2 3 6" xfId="33116"/>
    <cellStyle name="Input 5 2 2 2 2 2 4" xfId="33117"/>
    <cellStyle name="Input 5 2 2 2 2 2 4 2" xfId="33118"/>
    <cellStyle name="Input 5 2 2 2 2 2 5" xfId="33119"/>
    <cellStyle name="Input 5 2 2 2 2 2 5 2" xfId="33120"/>
    <cellStyle name="Input 5 2 2 2 2 2 6" xfId="33121"/>
    <cellStyle name="Input 5 2 2 2 2 2 7" xfId="33122"/>
    <cellStyle name="Input 5 2 2 2 2 2 8" xfId="33123"/>
    <cellStyle name="Input 5 2 2 2 2 3" xfId="33124"/>
    <cellStyle name="Input 5 2 2 2 2 3 2" xfId="33125"/>
    <cellStyle name="Input 5 2 2 2 2 3 2 2" xfId="33126"/>
    <cellStyle name="Input 5 2 2 2 2 3 2 2 2" xfId="33127"/>
    <cellStyle name="Input 5 2 2 2 2 3 2 2 2 2" xfId="33128"/>
    <cellStyle name="Input 5 2 2 2 2 3 2 2 3" xfId="33129"/>
    <cellStyle name="Input 5 2 2 2 2 3 2 2 3 2" xfId="33130"/>
    <cellStyle name="Input 5 2 2 2 2 3 2 2 4" xfId="33131"/>
    <cellStyle name="Input 5 2 2 2 2 3 2 2 5" xfId="33132"/>
    <cellStyle name="Input 5 2 2 2 2 3 2 2 6" xfId="33133"/>
    <cellStyle name="Input 5 2 2 2 2 3 2 3" xfId="33134"/>
    <cellStyle name="Input 5 2 2 2 2 3 2 3 2" xfId="33135"/>
    <cellStyle name="Input 5 2 2 2 2 3 2 4" xfId="33136"/>
    <cellStyle name="Input 5 2 2 2 2 3 2 4 2" xfId="33137"/>
    <cellStyle name="Input 5 2 2 2 2 3 2 5" xfId="33138"/>
    <cellStyle name="Input 5 2 2 2 2 3 2 6" xfId="33139"/>
    <cellStyle name="Input 5 2 2 2 2 3 2 7" xfId="33140"/>
    <cellStyle name="Input 5 2 2 2 2 3 3" xfId="33141"/>
    <cellStyle name="Input 5 2 2 2 2 3 3 2" xfId="33142"/>
    <cellStyle name="Input 5 2 2 2 2 3 3 2 2" xfId="33143"/>
    <cellStyle name="Input 5 2 2 2 2 3 3 3" xfId="33144"/>
    <cellStyle name="Input 5 2 2 2 2 3 3 3 2" xfId="33145"/>
    <cellStyle name="Input 5 2 2 2 2 3 3 4" xfId="33146"/>
    <cellStyle name="Input 5 2 2 2 2 3 3 5" xfId="33147"/>
    <cellStyle name="Input 5 2 2 2 2 3 3 6" xfId="33148"/>
    <cellStyle name="Input 5 2 2 2 2 3 4" xfId="33149"/>
    <cellStyle name="Input 5 2 2 2 2 3 4 2" xfId="33150"/>
    <cellStyle name="Input 5 2 2 2 2 3 5" xfId="33151"/>
    <cellStyle name="Input 5 2 2 2 2 3 5 2" xfId="33152"/>
    <cellStyle name="Input 5 2 2 2 2 3 6" xfId="33153"/>
    <cellStyle name="Input 5 2 2 2 2 3 7" xfId="33154"/>
    <cellStyle name="Input 5 2 2 2 2 3 8" xfId="33155"/>
    <cellStyle name="Input 5 2 2 2 2 4" xfId="33156"/>
    <cellStyle name="Input 5 2 2 2 2 4 2" xfId="33157"/>
    <cellStyle name="Input 5 2 2 2 2 4 2 2" xfId="33158"/>
    <cellStyle name="Input 5 2 2 2 2 4 2 2 2" xfId="33159"/>
    <cellStyle name="Input 5 2 2 2 2 4 2 3" xfId="33160"/>
    <cellStyle name="Input 5 2 2 2 2 4 2 3 2" xfId="33161"/>
    <cellStyle name="Input 5 2 2 2 2 4 2 4" xfId="33162"/>
    <cellStyle name="Input 5 2 2 2 2 4 2 5" xfId="33163"/>
    <cellStyle name="Input 5 2 2 2 2 4 2 6" xfId="33164"/>
    <cellStyle name="Input 5 2 2 2 2 4 3" xfId="33165"/>
    <cellStyle name="Input 5 2 2 2 2 4 3 2" xfId="33166"/>
    <cellStyle name="Input 5 2 2 2 2 4 4" xfId="33167"/>
    <cellStyle name="Input 5 2 2 2 2 4 4 2" xfId="33168"/>
    <cellStyle name="Input 5 2 2 2 2 4 5" xfId="33169"/>
    <cellStyle name="Input 5 2 2 2 2 4 6" xfId="33170"/>
    <cellStyle name="Input 5 2 2 2 2 4 7" xfId="33171"/>
    <cellStyle name="Input 5 2 2 2 2 5" xfId="33172"/>
    <cellStyle name="Input 5 2 2 2 2 5 2" xfId="33173"/>
    <cellStyle name="Input 5 2 2 2 2 5 2 2" xfId="33174"/>
    <cellStyle name="Input 5 2 2 2 2 5 3" xfId="33175"/>
    <cellStyle name="Input 5 2 2 2 2 5 3 2" xfId="33176"/>
    <cellStyle name="Input 5 2 2 2 2 5 4" xfId="33177"/>
    <cellStyle name="Input 5 2 2 2 2 5 5" xfId="33178"/>
    <cellStyle name="Input 5 2 2 2 2 5 6" xfId="33179"/>
    <cellStyle name="Input 5 2 2 2 2 6" xfId="33180"/>
    <cellStyle name="Input 5 2 2 2 2 6 2" xfId="33181"/>
    <cellStyle name="Input 5 2 2 2 2 7" xfId="33182"/>
    <cellStyle name="Input 5 2 2 2 2 7 2" xfId="33183"/>
    <cellStyle name="Input 5 2 2 2 2 8" xfId="33184"/>
    <cellStyle name="Input 5 2 2 2 2 9" xfId="33185"/>
    <cellStyle name="Input 5 2 2 2 3" xfId="33186"/>
    <cellStyle name="Input 5 2 2 2 3 2" xfId="33187"/>
    <cellStyle name="Input 5 2 2 2 3 2 2" xfId="33188"/>
    <cellStyle name="Input 5 2 2 2 3 2 2 2" xfId="33189"/>
    <cellStyle name="Input 5 2 2 2 3 2 2 2 2" xfId="33190"/>
    <cellStyle name="Input 5 2 2 2 3 2 2 3" xfId="33191"/>
    <cellStyle name="Input 5 2 2 2 3 2 2 3 2" xfId="33192"/>
    <cellStyle name="Input 5 2 2 2 3 2 2 4" xfId="33193"/>
    <cellStyle name="Input 5 2 2 2 3 2 2 5" xfId="33194"/>
    <cellStyle name="Input 5 2 2 2 3 2 2 6" xfId="33195"/>
    <cellStyle name="Input 5 2 2 2 3 2 3" xfId="33196"/>
    <cellStyle name="Input 5 2 2 2 3 2 3 2" xfId="33197"/>
    <cellStyle name="Input 5 2 2 2 3 2 4" xfId="33198"/>
    <cellStyle name="Input 5 2 2 2 3 2 4 2" xfId="33199"/>
    <cellStyle name="Input 5 2 2 2 3 2 5" xfId="33200"/>
    <cellStyle name="Input 5 2 2 2 3 2 6" xfId="33201"/>
    <cellStyle name="Input 5 2 2 2 3 2 7" xfId="33202"/>
    <cellStyle name="Input 5 2 2 2 3 3" xfId="33203"/>
    <cellStyle name="Input 5 2 2 2 3 3 2" xfId="33204"/>
    <cellStyle name="Input 5 2 2 2 3 3 2 2" xfId="33205"/>
    <cellStyle name="Input 5 2 2 2 3 3 3" xfId="33206"/>
    <cellStyle name="Input 5 2 2 2 3 3 3 2" xfId="33207"/>
    <cellStyle name="Input 5 2 2 2 3 3 4" xfId="33208"/>
    <cellStyle name="Input 5 2 2 2 3 3 5" xfId="33209"/>
    <cellStyle name="Input 5 2 2 2 3 3 6" xfId="33210"/>
    <cellStyle name="Input 5 2 2 2 3 4" xfId="33211"/>
    <cellStyle name="Input 5 2 2 2 3 4 2" xfId="33212"/>
    <cellStyle name="Input 5 2 2 2 3 5" xfId="33213"/>
    <cellStyle name="Input 5 2 2 2 3 5 2" xfId="33214"/>
    <cellStyle name="Input 5 2 2 2 3 6" xfId="33215"/>
    <cellStyle name="Input 5 2 2 2 3 7" xfId="33216"/>
    <cellStyle name="Input 5 2 2 2 3 8" xfId="33217"/>
    <cellStyle name="Input 5 2 2 2 4" xfId="33218"/>
    <cellStyle name="Input 5 2 2 2 4 2" xfId="33219"/>
    <cellStyle name="Input 5 2 2 2 4 2 2" xfId="33220"/>
    <cellStyle name="Input 5 2 2 2 4 2 2 2" xfId="33221"/>
    <cellStyle name="Input 5 2 2 2 4 2 2 2 2" xfId="33222"/>
    <cellStyle name="Input 5 2 2 2 4 2 2 3" xfId="33223"/>
    <cellStyle name="Input 5 2 2 2 4 2 2 3 2" xfId="33224"/>
    <cellStyle name="Input 5 2 2 2 4 2 2 4" xfId="33225"/>
    <cellStyle name="Input 5 2 2 2 4 2 2 5" xfId="33226"/>
    <cellStyle name="Input 5 2 2 2 4 2 2 6" xfId="33227"/>
    <cellStyle name="Input 5 2 2 2 4 2 3" xfId="33228"/>
    <cellStyle name="Input 5 2 2 2 4 2 3 2" xfId="33229"/>
    <cellStyle name="Input 5 2 2 2 4 2 4" xfId="33230"/>
    <cellStyle name="Input 5 2 2 2 4 2 4 2" xfId="33231"/>
    <cellStyle name="Input 5 2 2 2 4 2 5" xfId="33232"/>
    <cellStyle name="Input 5 2 2 2 4 2 6" xfId="33233"/>
    <cellStyle name="Input 5 2 2 2 4 2 7" xfId="33234"/>
    <cellStyle name="Input 5 2 2 2 4 3" xfId="33235"/>
    <cellStyle name="Input 5 2 2 2 4 3 2" xfId="33236"/>
    <cellStyle name="Input 5 2 2 2 4 3 2 2" xfId="33237"/>
    <cellStyle name="Input 5 2 2 2 4 3 3" xfId="33238"/>
    <cellStyle name="Input 5 2 2 2 4 3 3 2" xfId="33239"/>
    <cellStyle name="Input 5 2 2 2 4 3 4" xfId="33240"/>
    <cellStyle name="Input 5 2 2 2 4 3 5" xfId="33241"/>
    <cellStyle name="Input 5 2 2 2 4 3 6" xfId="33242"/>
    <cellStyle name="Input 5 2 2 2 4 4" xfId="33243"/>
    <cellStyle name="Input 5 2 2 2 4 4 2" xfId="33244"/>
    <cellStyle name="Input 5 2 2 2 4 5" xfId="33245"/>
    <cellStyle name="Input 5 2 2 2 4 5 2" xfId="33246"/>
    <cellStyle name="Input 5 2 2 2 4 6" xfId="33247"/>
    <cellStyle name="Input 5 2 2 2 4 7" xfId="33248"/>
    <cellStyle name="Input 5 2 2 2 4 8" xfId="33249"/>
    <cellStyle name="Input 5 2 2 2 5" xfId="33250"/>
    <cellStyle name="Input 5 2 2 2 5 2" xfId="33251"/>
    <cellStyle name="Input 5 2 2 2 5 2 2" xfId="33252"/>
    <cellStyle name="Input 5 2 2 2 5 2 2 2" xfId="33253"/>
    <cellStyle name="Input 5 2 2 2 5 2 3" xfId="33254"/>
    <cellStyle name="Input 5 2 2 2 5 2 3 2" xfId="33255"/>
    <cellStyle name="Input 5 2 2 2 5 2 4" xfId="33256"/>
    <cellStyle name="Input 5 2 2 2 5 2 5" xfId="33257"/>
    <cellStyle name="Input 5 2 2 2 5 2 6" xfId="33258"/>
    <cellStyle name="Input 5 2 2 2 5 3" xfId="33259"/>
    <cellStyle name="Input 5 2 2 2 5 3 2" xfId="33260"/>
    <cellStyle name="Input 5 2 2 2 5 4" xfId="33261"/>
    <cellStyle name="Input 5 2 2 2 5 4 2" xfId="33262"/>
    <cellStyle name="Input 5 2 2 2 5 5" xfId="33263"/>
    <cellStyle name="Input 5 2 2 2 5 6" xfId="33264"/>
    <cellStyle name="Input 5 2 2 2 5 7" xfId="33265"/>
    <cellStyle name="Input 5 2 2 2 6" xfId="33266"/>
    <cellStyle name="Input 5 2 2 2 6 2" xfId="33267"/>
    <cellStyle name="Input 5 2 2 2 6 2 2" xfId="33268"/>
    <cellStyle name="Input 5 2 2 2 6 3" xfId="33269"/>
    <cellStyle name="Input 5 2 2 2 6 3 2" xfId="33270"/>
    <cellStyle name="Input 5 2 2 2 6 4" xfId="33271"/>
    <cellStyle name="Input 5 2 2 2 6 5" xfId="33272"/>
    <cellStyle name="Input 5 2 2 2 6 6" xfId="33273"/>
    <cellStyle name="Input 5 2 2 2 7" xfId="33274"/>
    <cellStyle name="Input 5 2 2 2 7 2" xfId="33275"/>
    <cellStyle name="Input 5 2 2 2 8" xfId="33276"/>
    <cellStyle name="Input 5 2 2 2 8 2" xfId="33277"/>
    <cellStyle name="Input 5 2 2 2 9" xfId="33278"/>
    <cellStyle name="Input 5 2 2 3" xfId="33279"/>
    <cellStyle name="Input 5 2 2 3 10" xfId="33280"/>
    <cellStyle name="Input 5 2 2 3 2" xfId="33281"/>
    <cellStyle name="Input 5 2 2 3 2 10" xfId="33282"/>
    <cellStyle name="Input 5 2 2 3 2 2" xfId="33283"/>
    <cellStyle name="Input 5 2 2 3 2 2 2" xfId="33284"/>
    <cellStyle name="Input 5 2 2 3 2 2 2 2" xfId="33285"/>
    <cellStyle name="Input 5 2 2 3 2 2 2 2 2" xfId="33286"/>
    <cellStyle name="Input 5 2 2 3 2 2 2 2 2 2" xfId="33287"/>
    <cellStyle name="Input 5 2 2 3 2 2 2 2 3" xfId="33288"/>
    <cellStyle name="Input 5 2 2 3 2 2 2 2 3 2" xfId="33289"/>
    <cellStyle name="Input 5 2 2 3 2 2 2 2 4" xfId="33290"/>
    <cellStyle name="Input 5 2 2 3 2 2 2 2 5" xfId="33291"/>
    <cellStyle name="Input 5 2 2 3 2 2 2 2 6" xfId="33292"/>
    <cellStyle name="Input 5 2 2 3 2 2 2 3" xfId="33293"/>
    <cellStyle name="Input 5 2 2 3 2 2 2 3 2" xfId="33294"/>
    <cellStyle name="Input 5 2 2 3 2 2 2 4" xfId="33295"/>
    <cellStyle name="Input 5 2 2 3 2 2 2 4 2" xfId="33296"/>
    <cellStyle name="Input 5 2 2 3 2 2 2 5" xfId="33297"/>
    <cellStyle name="Input 5 2 2 3 2 2 2 6" xfId="33298"/>
    <cellStyle name="Input 5 2 2 3 2 2 2 7" xfId="33299"/>
    <cellStyle name="Input 5 2 2 3 2 2 3" xfId="33300"/>
    <cellStyle name="Input 5 2 2 3 2 2 3 2" xfId="33301"/>
    <cellStyle name="Input 5 2 2 3 2 2 3 2 2" xfId="33302"/>
    <cellStyle name="Input 5 2 2 3 2 2 3 3" xfId="33303"/>
    <cellStyle name="Input 5 2 2 3 2 2 3 3 2" xfId="33304"/>
    <cellStyle name="Input 5 2 2 3 2 2 3 4" xfId="33305"/>
    <cellStyle name="Input 5 2 2 3 2 2 3 5" xfId="33306"/>
    <cellStyle name="Input 5 2 2 3 2 2 3 6" xfId="33307"/>
    <cellStyle name="Input 5 2 2 3 2 2 4" xfId="33308"/>
    <cellStyle name="Input 5 2 2 3 2 2 4 2" xfId="33309"/>
    <cellStyle name="Input 5 2 2 3 2 2 5" xfId="33310"/>
    <cellStyle name="Input 5 2 2 3 2 2 5 2" xfId="33311"/>
    <cellStyle name="Input 5 2 2 3 2 2 6" xfId="33312"/>
    <cellStyle name="Input 5 2 2 3 2 2 7" xfId="33313"/>
    <cellStyle name="Input 5 2 2 3 2 2 8" xfId="33314"/>
    <cellStyle name="Input 5 2 2 3 2 3" xfId="33315"/>
    <cellStyle name="Input 5 2 2 3 2 3 2" xfId="33316"/>
    <cellStyle name="Input 5 2 2 3 2 3 2 2" xfId="33317"/>
    <cellStyle name="Input 5 2 2 3 2 3 2 2 2" xfId="33318"/>
    <cellStyle name="Input 5 2 2 3 2 3 2 2 2 2" xfId="33319"/>
    <cellStyle name="Input 5 2 2 3 2 3 2 2 3" xfId="33320"/>
    <cellStyle name="Input 5 2 2 3 2 3 2 2 3 2" xfId="33321"/>
    <cellStyle name="Input 5 2 2 3 2 3 2 2 4" xfId="33322"/>
    <cellStyle name="Input 5 2 2 3 2 3 2 2 5" xfId="33323"/>
    <cellStyle name="Input 5 2 2 3 2 3 2 2 6" xfId="33324"/>
    <cellStyle name="Input 5 2 2 3 2 3 2 3" xfId="33325"/>
    <cellStyle name="Input 5 2 2 3 2 3 2 3 2" xfId="33326"/>
    <cellStyle name="Input 5 2 2 3 2 3 2 4" xfId="33327"/>
    <cellStyle name="Input 5 2 2 3 2 3 2 4 2" xfId="33328"/>
    <cellStyle name="Input 5 2 2 3 2 3 2 5" xfId="33329"/>
    <cellStyle name="Input 5 2 2 3 2 3 2 6" xfId="33330"/>
    <cellStyle name="Input 5 2 2 3 2 3 2 7" xfId="33331"/>
    <cellStyle name="Input 5 2 2 3 2 3 3" xfId="33332"/>
    <cellStyle name="Input 5 2 2 3 2 3 3 2" xfId="33333"/>
    <cellStyle name="Input 5 2 2 3 2 3 3 2 2" xfId="33334"/>
    <cellStyle name="Input 5 2 2 3 2 3 3 3" xfId="33335"/>
    <cellStyle name="Input 5 2 2 3 2 3 3 3 2" xfId="33336"/>
    <cellStyle name="Input 5 2 2 3 2 3 3 4" xfId="33337"/>
    <cellStyle name="Input 5 2 2 3 2 3 3 5" xfId="33338"/>
    <cellStyle name="Input 5 2 2 3 2 3 3 6" xfId="33339"/>
    <cellStyle name="Input 5 2 2 3 2 3 4" xfId="33340"/>
    <cellStyle name="Input 5 2 2 3 2 3 4 2" xfId="33341"/>
    <cellStyle name="Input 5 2 2 3 2 3 5" xfId="33342"/>
    <cellStyle name="Input 5 2 2 3 2 3 5 2" xfId="33343"/>
    <cellStyle name="Input 5 2 2 3 2 3 6" xfId="33344"/>
    <cellStyle name="Input 5 2 2 3 2 3 7" xfId="33345"/>
    <cellStyle name="Input 5 2 2 3 2 3 8" xfId="33346"/>
    <cellStyle name="Input 5 2 2 3 2 4" xfId="33347"/>
    <cellStyle name="Input 5 2 2 3 2 4 2" xfId="33348"/>
    <cellStyle name="Input 5 2 2 3 2 4 2 2" xfId="33349"/>
    <cellStyle name="Input 5 2 2 3 2 4 2 2 2" xfId="33350"/>
    <cellStyle name="Input 5 2 2 3 2 4 2 3" xfId="33351"/>
    <cellStyle name="Input 5 2 2 3 2 4 2 3 2" xfId="33352"/>
    <cellStyle name="Input 5 2 2 3 2 4 2 4" xfId="33353"/>
    <cellStyle name="Input 5 2 2 3 2 4 2 5" xfId="33354"/>
    <cellStyle name="Input 5 2 2 3 2 4 2 6" xfId="33355"/>
    <cellStyle name="Input 5 2 2 3 2 4 3" xfId="33356"/>
    <cellStyle name="Input 5 2 2 3 2 4 3 2" xfId="33357"/>
    <cellStyle name="Input 5 2 2 3 2 4 4" xfId="33358"/>
    <cellStyle name="Input 5 2 2 3 2 4 4 2" xfId="33359"/>
    <cellStyle name="Input 5 2 2 3 2 4 5" xfId="33360"/>
    <cellStyle name="Input 5 2 2 3 2 4 6" xfId="33361"/>
    <cellStyle name="Input 5 2 2 3 2 4 7" xfId="33362"/>
    <cellStyle name="Input 5 2 2 3 2 5" xfId="33363"/>
    <cellStyle name="Input 5 2 2 3 2 5 2" xfId="33364"/>
    <cellStyle name="Input 5 2 2 3 2 5 2 2" xfId="33365"/>
    <cellStyle name="Input 5 2 2 3 2 5 3" xfId="33366"/>
    <cellStyle name="Input 5 2 2 3 2 5 3 2" xfId="33367"/>
    <cellStyle name="Input 5 2 2 3 2 5 4" xfId="33368"/>
    <cellStyle name="Input 5 2 2 3 2 5 5" xfId="33369"/>
    <cellStyle name="Input 5 2 2 3 2 5 6" xfId="33370"/>
    <cellStyle name="Input 5 2 2 3 2 6" xfId="33371"/>
    <cellStyle name="Input 5 2 2 3 2 6 2" xfId="33372"/>
    <cellStyle name="Input 5 2 2 3 2 7" xfId="33373"/>
    <cellStyle name="Input 5 2 2 3 2 7 2" xfId="33374"/>
    <cellStyle name="Input 5 2 2 3 2 8" xfId="33375"/>
    <cellStyle name="Input 5 2 2 3 2 9" xfId="33376"/>
    <cellStyle name="Input 5 2 2 3 3" xfId="33377"/>
    <cellStyle name="Input 5 2 2 3 3 2" xfId="33378"/>
    <cellStyle name="Input 5 2 2 3 3 2 2" xfId="33379"/>
    <cellStyle name="Input 5 2 2 3 3 2 2 2" xfId="33380"/>
    <cellStyle name="Input 5 2 2 3 3 2 2 2 2" xfId="33381"/>
    <cellStyle name="Input 5 2 2 3 3 2 2 3" xfId="33382"/>
    <cellStyle name="Input 5 2 2 3 3 2 2 3 2" xfId="33383"/>
    <cellStyle name="Input 5 2 2 3 3 2 2 4" xfId="33384"/>
    <cellStyle name="Input 5 2 2 3 3 2 2 5" xfId="33385"/>
    <cellStyle name="Input 5 2 2 3 3 2 2 6" xfId="33386"/>
    <cellStyle name="Input 5 2 2 3 3 2 3" xfId="33387"/>
    <cellStyle name="Input 5 2 2 3 3 2 3 2" xfId="33388"/>
    <cellStyle name="Input 5 2 2 3 3 2 4" xfId="33389"/>
    <cellStyle name="Input 5 2 2 3 3 2 4 2" xfId="33390"/>
    <cellStyle name="Input 5 2 2 3 3 2 5" xfId="33391"/>
    <cellStyle name="Input 5 2 2 3 3 2 6" xfId="33392"/>
    <cellStyle name="Input 5 2 2 3 3 2 7" xfId="33393"/>
    <cellStyle name="Input 5 2 2 3 3 3" xfId="33394"/>
    <cellStyle name="Input 5 2 2 3 3 3 2" xfId="33395"/>
    <cellStyle name="Input 5 2 2 3 3 3 2 2" xfId="33396"/>
    <cellStyle name="Input 5 2 2 3 3 3 3" xfId="33397"/>
    <cellStyle name="Input 5 2 2 3 3 3 3 2" xfId="33398"/>
    <cellStyle name="Input 5 2 2 3 3 3 4" xfId="33399"/>
    <cellStyle name="Input 5 2 2 3 3 3 5" xfId="33400"/>
    <cellStyle name="Input 5 2 2 3 3 3 6" xfId="33401"/>
    <cellStyle name="Input 5 2 2 3 3 4" xfId="33402"/>
    <cellStyle name="Input 5 2 2 3 3 4 2" xfId="33403"/>
    <cellStyle name="Input 5 2 2 3 3 5" xfId="33404"/>
    <cellStyle name="Input 5 2 2 3 3 5 2" xfId="33405"/>
    <cellStyle name="Input 5 2 2 3 3 6" xfId="33406"/>
    <cellStyle name="Input 5 2 2 3 3 7" xfId="33407"/>
    <cellStyle name="Input 5 2 2 3 3 8" xfId="33408"/>
    <cellStyle name="Input 5 2 2 3 4" xfId="33409"/>
    <cellStyle name="Input 5 2 2 3 4 2" xfId="33410"/>
    <cellStyle name="Input 5 2 2 3 4 2 2" xfId="33411"/>
    <cellStyle name="Input 5 2 2 3 4 2 2 2" xfId="33412"/>
    <cellStyle name="Input 5 2 2 3 4 2 3" xfId="33413"/>
    <cellStyle name="Input 5 2 2 3 4 2 3 2" xfId="33414"/>
    <cellStyle name="Input 5 2 2 3 4 2 4" xfId="33415"/>
    <cellStyle name="Input 5 2 2 3 4 2 5" xfId="33416"/>
    <cellStyle name="Input 5 2 2 3 4 2 6" xfId="33417"/>
    <cellStyle name="Input 5 2 2 3 4 3" xfId="33418"/>
    <cellStyle name="Input 5 2 2 3 4 3 2" xfId="33419"/>
    <cellStyle name="Input 5 2 2 3 4 4" xfId="33420"/>
    <cellStyle name="Input 5 2 2 3 4 4 2" xfId="33421"/>
    <cellStyle name="Input 5 2 2 3 4 5" xfId="33422"/>
    <cellStyle name="Input 5 2 2 3 4 6" xfId="33423"/>
    <cellStyle name="Input 5 2 2 3 4 7" xfId="33424"/>
    <cellStyle name="Input 5 2 2 3 5" xfId="33425"/>
    <cellStyle name="Input 5 2 2 3 5 2" xfId="33426"/>
    <cellStyle name="Input 5 2 2 3 5 2 2" xfId="33427"/>
    <cellStyle name="Input 5 2 2 3 5 3" xfId="33428"/>
    <cellStyle name="Input 5 2 2 3 5 3 2" xfId="33429"/>
    <cellStyle name="Input 5 2 2 3 5 4" xfId="33430"/>
    <cellStyle name="Input 5 2 2 3 5 5" xfId="33431"/>
    <cellStyle name="Input 5 2 2 3 5 6" xfId="33432"/>
    <cellStyle name="Input 5 2 2 3 6" xfId="33433"/>
    <cellStyle name="Input 5 2 2 3 6 2" xfId="33434"/>
    <cellStyle name="Input 5 2 2 3 7" xfId="33435"/>
    <cellStyle name="Input 5 2 2 3 7 2" xfId="33436"/>
    <cellStyle name="Input 5 2 2 3 8" xfId="33437"/>
    <cellStyle name="Input 5 2 2 3 9" xfId="33438"/>
    <cellStyle name="Input 5 2 2 4" xfId="33439"/>
    <cellStyle name="Input 5 2 2 4 10" xfId="33440"/>
    <cellStyle name="Input 5 2 2 4 2" xfId="33441"/>
    <cellStyle name="Input 5 2 2 4 2 2" xfId="33442"/>
    <cellStyle name="Input 5 2 2 4 2 2 2" xfId="33443"/>
    <cellStyle name="Input 5 2 2 4 2 2 2 2" xfId="33444"/>
    <cellStyle name="Input 5 2 2 4 2 2 2 2 2" xfId="33445"/>
    <cellStyle name="Input 5 2 2 4 2 2 2 3" xfId="33446"/>
    <cellStyle name="Input 5 2 2 4 2 2 2 3 2" xfId="33447"/>
    <cellStyle name="Input 5 2 2 4 2 2 2 4" xfId="33448"/>
    <cellStyle name="Input 5 2 2 4 2 2 2 5" xfId="33449"/>
    <cellStyle name="Input 5 2 2 4 2 2 2 6" xfId="33450"/>
    <cellStyle name="Input 5 2 2 4 2 2 3" xfId="33451"/>
    <cellStyle name="Input 5 2 2 4 2 2 3 2" xfId="33452"/>
    <cellStyle name="Input 5 2 2 4 2 2 4" xfId="33453"/>
    <cellStyle name="Input 5 2 2 4 2 2 4 2" xfId="33454"/>
    <cellStyle name="Input 5 2 2 4 2 2 5" xfId="33455"/>
    <cellStyle name="Input 5 2 2 4 2 2 6" xfId="33456"/>
    <cellStyle name="Input 5 2 2 4 2 2 7" xfId="33457"/>
    <cellStyle name="Input 5 2 2 4 2 3" xfId="33458"/>
    <cellStyle name="Input 5 2 2 4 2 3 2" xfId="33459"/>
    <cellStyle name="Input 5 2 2 4 2 3 2 2" xfId="33460"/>
    <cellStyle name="Input 5 2 2 4 2 3 3" xfId="33461"/>
    <cellStyle name="Input 5 2 2 4 2 3 3 2" xfId="33462"/>
    <cellStyle name="Input 5 2 2 4 2 3 4" xfId="33463"/>
    <cellStyle name="Input 5 2 2 4 2 3 5" xfId="33464"/>
    <cellStyle name="Input 5 2 2 4 2 3 6" xfId="33465"/>
    <cellStyle name="Input 5 2 2 4 2 4" xfId="33466"/>
    <cellStyle name="Input 5 2 2 4 2 4 2" xfId="33467"/>
    <cellStyle name="Input 5 2 2 4 2 5" xfId="33468"/>
    <cellStyle name="Input 5 2 2 4 2 5 2" xfId="33469"/>
    <cellStyle name="Input 5 2 2 4 2 6" xfId="33470"/>
    <cellStyle name="Input 5 2 2 4 2 7" xfId="33471"/>
    <cellStyle name="Input 5 2 2 4 2 8" xfId="33472"/>
    <cellStyle name="Input 5 2 2 4 3" xfId="33473"/>
    <cellStyle name="Input 5 2 2 4 3 2" xfId="33474"/>
    <cellStyle name="Input 5 2 2 4 3 2 2" xfId="33475"/>
    <cellStyle name="Input 5 2 2 4 3 2 2 2" xfId="33476"/>
    <cellStyle name="Input 5 2 2 4 3 2 2 2 2" xfId="33477"/>
    <cellStyle name="Input 5 2 2 4 3 2 2 3" xfId="33478"/>
    <cellStyle name="Input 5 2 2 4 3 2 2 3 2" xfId="33479"/>
    <cellStyle name="Input 5 2 2 4 3 2 2 4" xfId="33480"/>
    <cellStyle name="Input 5 2 2 4 3 2 2 5" xfId="33481"/>
    <cellStyle name="Input 5 2 2 4 3 2 2 6" xfId="33482"/>
    <cellStyle name="Input 5 2 2 4 3 2 3" xfId="33483"/>
    <cellStyle name="Input 5 2 2 4 3 2 3 2" xfId="33484"/>
    <cellStyle name="Input 5 2 2 4 3 2 4" xfId="33485"/>
    <cellStyle name="Input 5 2 2 4 3 2 4 2" xfId="33486"/>
    <cellStyle name="Input 5 2 2 4 3 2 5" xfId="33487"/>
    <cellStyle name="Input 5 2 2 4 3 2 6" xfId="33488"/>
    <cellStyle name="Input 5 2 2 4 3 2 7" xfId="33489"/>
    <cellStyle name="Input 5 2 2 4 3 3" xfId="33490"/>
    <cellStyle name="Input 5 2 2 4 3 3 2" xfId="33491"/>
    <cellStyle name="Input 5 2 2 4 3 3 2 2" xfId="33492"/>
    <cellStyle name="Input 5 2 2 4 3 3 3" xfId="33493"/>
    <cellStyle name="Input 5 2 2 4 3 3 3 2" xfId="33494"/>
    <cellStyle name="Input 5 2 2 4 3 3 4" xfId="33495"/>
    <cellStyle name="Input 5 2 2 4 3 3 5" xfId="33496"/>
    <cellStyle name="Input 5 2 2 4 3 3 6" xfId="33497"/>
    <cellStyle name="Input 5 2 2 4 3 4" xfId="33498"/>
    <cellStyle name="Input 5 2 2 4 3 4 2" xfId="33499"/>
    <cellStyle name="Input 5 2 2 4 3 5" xfId="33500"/>
    <cellStyle name="Input 5 2 2 4 3 5 2" xfId="33501"/>
    <cellStyle name="Input 5 2 2 4 3 6" xfId="33502"/>
    <cellStyle name="Input 5 2 2 4 3 7" xfId="33503"/>
    <cellStyle name="Input 5 2 2 4 3 8" xfId="33504"/>
    <cellStyle name="Input 5 2 2 4 4" xfId="33505"/>
    <cellStyle name="Input 5 2 2 4 4 2" xfId="33506"/>
    <cellStyle name="Input 5 2 2 4 4 2 2" xfId="33507"/>
    <cellStyle name="Input 5 2 2 4 4 2 2 2" xfId="33508"/>
    <cellStyle name="Input 5 2 2 4 4 2 3" xfId="33509"/>
    <cellStyle name="Input 5 2 2 4 4 2 3 2" xfId="33510"/>
    <cellStyle name="Input 5 2 2 4 4 2 4" xfId="33511"/>
    <cellStyle name="Input 5 2 2 4 4 2 5" xfId="33512"/>
    <cellStyle name="Input 5 2 2 4 4 2 6" xfId="33513"/>
    <cellStyle name="Input 5 2 2 4 4 3" xfId="33514"/>
    <cellStyle name="Input 5 2 2 4 4 3 2" xfId="33515"/>
    <cellStyle name="Input 5 2 2 4 4 4" xfId="33516"/>
    <cellStyle name="Input 5 2 2 4 4 4 2" xfId="33517"/>
    <cellStyle name="Input 5 2 2 4 4 5" xfId="33518"/>
    <cellStyle name="Input 5 2 2 4 4 6" xfId="33519"/>
    <cellStyle name="Input 5 2 2 4 4 7" xfId="33520"/>
    <cellStyle name="Input 5 2 2 4 5" xfId="33521"/>
    <cellStyle name="Input 5 2 2 4 5 2" xfId="33522"/>
    <cellStyle name="Input 5 2 2 4 5 2 2" xfId="33523"/>
    <cellStyle name="Input 5 2 2 4 5 3" xfId="33524"/>
    <cellStyle name="Input 5 2 2 4 5 3 2" xfId="33525"/>
    <cellStyle name="Input 5 2 2 4 5 4" xfId="33526"/>
    <cellStyle name="Input 5 2 2 4 5 5" xfId="33527"/>
    <cellStyle name="Input 5 2 2 4 5 6" xfId="33528"/>
    <cellStyle name="Input 5 2 2 4 6" xfId="33529"/>
    <cellStyle name="Input 5 2 2 4 6 2" xfId="33530"/>
    <cellStyle name="Input 5 2 2 4 7" xfId="33531"/>
    <cellStyle name="Input 5 2 2 4 7 2" xfId="33532"/>
    <cellStyle name="Input 5 2 2 4 8" xfId="33533"/>
    <cellStyle name="Input 5 2 2 4 9" xfId="33534"/>
    <cellStyle name="Input 5 2 2 5" xfId="33535"/>
    <cellStyle name="Input 5 2 2 5 2" xfId="33536"/>
    <cellStyle name="Input 5 2 2 5 2 2" xfId="33537"/>
    <cellStyle name="Input 5 2 2 5 2 2 2" xfId="33538"/>
    <cellStyle name="Input 5 2 2 5 2 2 2 2" xfId="33539"/>
    <cellStyle name="Input 5 2 2 5 2 2 3" xfId="33540"/>
    <cellStyle name="Input 5 2 2 5 2 2 3 2" xfId="33541"/>
    <cellStyle name="Input 5 2 2 5 2 2 4" xfId="33542"/>
    <cellStyle name="Input 5 2 2 5 2 2 5" xfId="33543"/>
    <cellStyle name="Input 5 2 2 5 2 2 6" xfId="33544"/>
    <cellStyle name="Input 5 2 2 5 2 3" xfId="33545"/>
    <cellStyle name="Input 5 2 2 5 2 3 2" xfId="33546"/>
    <cellStyle name="Input 5 2 2 5 2 4" xfId="33547"/>
    <cellStyle name="Input 5 2 2 5 2 4 2" xfId="33548"/>
    <cellStyle name="Input 5 2 2 5 2 5" xfId="33549"/>
    <cellStyle name="Input 5 2 2 5 2 6" xfId="33550"/>
    <cellStyle name="Input 5 2 2 5 2 7" xfId="33551"/>
    <cellStyle name="Input 5 2 2 5 3" xfId="33552"/>
    <cellStyle name="Input 5 2 2 5 3 2" xfId="33553"/>
    <cellStyle name="Input 5 2 2 5 3 2 2" xfId="33554"/>
    <cellStyle name="Input 5 2 2 5 3 3" xfId="33555"/>
    <cellStyle name="Input 5 2 2 5 3 3 2" xfId="33556"/>
    <cellStyle name="Input 5 2 2 5 3 4" xfId="33557"/>
    <cellStyle name="Input 5 2 2 5 3 5" xfId="33558"/>
    <cellStyle name="Input 5 2 2 5 3 6" xfId="33559"/>
    <cellStyle name="Input 5 2 2 5 4" xfId="33560"/>
    <cellStyle name="Input 5 2 2 5 4 2" xfId="33561"/>
    <cellStyle name="Input 5 2 2 5 5" xfId="33562"/>
    <cellStyle name="Input 5 2 2 5 5 2" xfId="33563"/>
    <cellStyle name="Input 5 2 2 5 6" xfId="33564"/>
    <cellStyle name="Input 5 2 2 5 7" xfId="33565"/>
    <cellStyle name="Input 5 2 2 5 8" xfId="33566"/>
    <cellStyle name="Input 5 2 2 6" xfId="33567"/>
    <cellStyle name="Input 5 2 2 6 2" xfId="33568"/>
    <cellStyle name="Input 5 2 2 6 2 2" xfId="33569"/>
    <cellStyle name="Input 5 2 2 6 2 2 2" xfId="33570"/>
    <cellStyle name="Input 5 2 2 6 2 3" xfId="33571"/>
    <cellStyle name="Input 5 2 2 6 2 3 2" xfId="33572"/>
    <cellStyle name="Input 5 2 2 6 2 4" xfId="33573"/>
    <cellStyle name="Input 5 2 2 6 2 5" xfId="33574"/>
    <cellStyle name="Input 5 2 2 6 2 6" xfId="33575"/>
    <cellStyle name="Input 5 2 2 6 3" xfId="33576"/>
    <cellStyle name="Input 5 2 2 6 3 2" xfId="33577"/>
    <cellStyle name="Input 5 2 2 6 4" xfId="33578"/>
    <cellStyle name="Input 5 2 2 6 4 2" xfId="33579"/>
    <cellStyle name="Input 5 2 2 6 5" xfId="33580"/>
    <cellStyle name="Input 5 2 2 6 6" xfId="33581"/>
    <cellStyle name="Input 5 2 2 6 7" xfId="33582"/>
    <cellStyle name="Input 5 2 2 7" xfId="33583"/>
    <cellStyle name="Input 5 2 2 7 2" xfId="33584"/>
    <cellStyle name="Input 5 2 2 7 2 2" xfId="33585"/>
    <cellStyle name="Input 5 2 2 7 3" xfId="33586"/>
    <cellStyle name="Input 5 2 2 7 3 2" xfId="33587"/>
    <cellStyle name="Input 5 2 2 7 4" xfId="33588"/>
    <cellStyle name="Input 5 2 2 7 5" xfId="33589"/>
    <cellStyle name="Input 5 2 2 7 6" xfId="33590"/>
    <cellStyle name="Input 5 2 2 8" xfId="33591"/>
    <cellStyle name="Input 5 2 2 8 2" xfId="33592"/>
    <cellStyle name="Input 5 2 2 9" xfId="33593"/>
    <cellStyle name="Input 5 2 2 9 2" xfId="33594"/>
    <cellStyle name="Input 5 2 3" xfId="33595"/>
    <cellStyle name="Input 5 2 3 10" xfId="33596"/>
    <cellStyle name="Input 5 2 3 11" xfId="33597"/>
    <cellStyle name="Input 5 2 3 12" xfId="33598"/>
    <cellStyle name="Input 5 2 3 2" xfId="33599"/>
    <cellStyle name="Input 5 2 3 2 10" xfId="33600"/>
    <cellStyle name="Input 5 2 3 2 11" xfId="33601"/>
    <cellStyle name="Input 5 2 3 2 2" xfId="33602"/>
    <cellStyle name="Input 5 2 3 2 2 10" xfId="33603"/>
    <cellStyle name="Input 5 2 3 2 2 2" xfId="33604"/>
    <cellStyle name="Input 5 2 3 2 2 2 2" xfId="33605"/>
    <cellStyle name="Input 5 2 3 2 2 2 2 2" xfId="33606"/>
    <cellStyle name="Input 5 2 3 2 2 2 2 2 2" xfId="33607"/>
    <cellStyle name="Input 5 2 3 2 2 2 2 2 2 2" xfId="33608"/>
    <cellStyle name="Input 5 2 3 2 2 2 2 2 3" xfId="33609"/>
    <cellStyle name="Input 5 2 3 2 2 2 2 2 3 2" xfId="33610"/>
    <cellStyle name="Input 5 2 3 2 2 2 2 2 4" xfId="33611"/>
    <cellStyle name="Input 5 2 3 2 2 2 2 2 5" xfId="33612"/>
    <cellStyle name="Input 5 2 3 2 2 2 2 2 6" xfId="33613"/>
    <cellStyle name="Input 5 2 3 2 2 2 2 3" xfId="33614"/>
    <cellStyle name="Input 5 2 3 2 2 2 2 3 2" xfId="33615"/>
    <cellStyle name="Input 5 2 3 2 2 2 2 4" xfId="33616"/>
    <cellStyle name="Input 5 2 3 2 2 2 2 4 2" xfId="33617"/>
    <cellStyle name="Input 5 2 3 2 2 2 2 5" xfId="33618"/>
    <cellStyle name="Input 5 2 3 2 2 2 2 6" xfId="33619"/>
    <cellStyle name="Input 5 2 3 2 2 2 2 7" xfId="33620"/>
    <cellStyle name="Input 5 2 3 2 2 2 3" xfId="33621"/>
    <cellStyle name="Input 5 2 3 2 2 2 3 2" xfId="33622"/>
    <cellStyle name="Input 5 2 3 2 2 2 3 2 2" xfId="33623"/>
    <cellStyle name="Input 5 2 3 2 2 2 3 3" xfId="33624"/>
    <cellStyle name="Input 5 2 3 2 2 2 3 3 2" xfId="33625"/>
    <cellStyle name="Input 5 2 3 2 2 2 3 4" xfId="33626"/>
    <cellStyle name="Input 5 2 3 2 2 2 3 5" xfId="33627"/>
    <cellStyle name="Input 5 2 3 2 2 2 3 6" xfId="33628"/>
    <cellStyle name="Input 5 2 3 2 2 2 4" xfId="33629"/>
    <cellStyle name="Input 5 2 3 2 2 2 4 2" xfId="33630"/>
    <cellStyle name="Input 5 2 3 2 2 2 5" xfId="33631"/>
    <cellStyle name="Input 5 2 3 2 2 2 5 2" xfId="33632"/>
    <cellStyle name="Input 5 2 3 2 2 2 6" xfId="33633"/>
    <cellStyle name="Input 5 2 3 2 2 2 7" xfId="33634"/>
    <cellStyle name="Input 5 2 3 2 2 2 8" xfId="33635"/>
    <cellStyle name="Input 5 2 3 2 2 3" xfId="33636"/>
    <cellStyle name="Input 5 2 3 2 2 3 2" xfId="33637"/>
    <cellStyle name="Input 5 2 3 2 2 3 2 2" xfId="33638"/>
    <cellStyle name="Input 5 2 3 2 2 3 2 2 2" xfId="33639"/>
    <cellStyle name="Input 5 2 3 2 2 3 2 2 2 2" xfId="33640"/>
    <cellStyle name="Input 5 2 3 2 2 3 2 2 3" xfId="33641"/>
    <cellStyle name="Input 5 2 3 2 2 3 2 2 3 2" xfId="33642"/>
    <cellStyle name="Input 5 2 3 2 2 3 2 2 4" xfId="33643"/>
    <cellStyle name="Input 5 2 3 2 2 3 2 2 5" xfId="33644"/>
    <cellStyle name="Input 5 2 3 2 2 3 2 2 6" xfId="33645"/>
    <cellStyle name="Input 5 2 3 2 2 3 2 3" xfId="33646"/>
    <cellStyle name="Input 5 2 3 2 2 3 2 3 2" xfId="33647"/>
    <cellStyle name="Input 5 2 3 2 2 3 2 4" xfId="33648"/>
    <cellStyle name="Input 5 2 3 2 2 3 2 4 2" xfId="33649"/>
    <cellStyle name="Input 5 2 3 2 2 3 2 5" xfId="33650"/>
    <cellStyle name="Input 5 2 3 2 2 3 2 6" xfId="33651"/>
    <cellStyle name="Input 5 2 3 2 2 3 2 7" xfId="33652"/>
    <cellStyle name="Input 5 2 3 2 2 3 3" xfId="33653"/>
    <cellStyle name="Input 5 2 3 2 2 3 3 2" xfId="33654"/>
    <cellStyle name="Input 5 2 3 2 2 3 3 2 2" xfId="33655"/>
    <cellStyle name="Input 5 2 3 2 2 3 3 3" xfId="33656"/>
    <cellStyle name="Input 5 2 3 2 2 3 3 3 2" xfId="33657"/>
    <cellStyle name="Input 5 2 3 2 2 3 3 4" xfId="33658"/>
    <cellStyle name="Input 5 2 3 2 2 3 3 5" xfId="33659"/>
    <cellStyle name="Input 5 2 3 2 2 3 3 6" xfId="33660"/>
    <cellStyle name="Input 5 2 3 2 2 3 4" xfId="33661"/>
    <cellStyle name="Input 5 2 3 2 2 3 4 2" xfId="33662"/>
    <cellStyle name="Input 5 2 3 2 2 3 5" xfId="33663"/>
    <cellStyle name="Input 5 2 3 2 2 3 5 2" xfId="33664"/>
    <cellStyle name="Input 5 2 3 2 2 3 6" xfId="33665"/>
    <cellStyle name="Input 5 2 3 2 2 3 7" xfId="33666"/>
    <cellStyle name="Input 5 2 3 2 2 3 8" xfId="33667"/>
    <cellStyle name="Input 5 2 3 2 2 4" xfId="33668"/>
    <cellStyle name="Input 5 2 3 2 2 4 2" xfId="33669"/>
    <cellStyle name="Input 5 2 3 2 2 4 2 2" xfId="33670"/>
    <cellStyle name="Input 5 2 3 2 2 4 2 2 2" xfId="33671"/>
    <cellStyle name="Input 5 2 3 2 2 4 2 3" xfId="33672"/>
    <cellStyle name="Input 5 2 3 2 2 4 2 3 2" xfId="33673"/>
    <cellStyle name="Input 5 2 3 2 2 4 2 4" xfId="33674"/>
    <cellStyle name="Input 5 2 3 2 2 4 2 5" xfId="33675"/>
    <cellStyle name="Input 5 2 3 2 2 4 2 6" xfId="33676"/>
    <cellStyle name="Input 5 2 3 2 2 4 3" xfId="33677"/>
    <cellStyle name="Input 5 2 3 2 2 4 3 2" xfId="33678"/>
    <cellStyle name="Input 5 2 3 2 2 4 4" xfId="33679"/>
    <cellStyle name="Input 5 2 3 2 2 4 4 2" xfId="33680"/>
    <cellStyle name="Input 5 2 3 2 2 4 5" xfId="33681"/>
    <cellStyle name="Input 5 2 3 2 2 4 6" xfId="33682"/>
    <cellStyle name="Input 5 2 3 2 2 4 7" xfId="33683"/>
    <cellStyle name="Input 5 2 3 2 2 5" xfId="33684"/>
    <cellStyle name="Input 5 2 3 2 2 5 2" xfId="33685"/>
    <cellStyle name="Input 5 2 3 2 2 5 2 2" xfId="33686"/>
    <cellStyle name="Input 5 2 3 2 2 5 3" xfId="33687"/>
    <cellStyle name="Input 5 2 3 2 2 5 3 2" xfId="33688"/>
    <cellStyle name="Input 5 2 3 2 2 5 4" xfId="33689"/>
    <cellStyle name="Input 5 2 3 2 2 5 5" xfId="33690"/>
    <cellStyle name="Input 5 2 3 2 2 5 6" xfId="33691"/>
    <cellStyle name="Input 5 2 3 2 2 6" xfId="33692"/>
    <cellStyle name="Input 5 2 3 2 2 6 2" xfId="33693"/>
    <cellStyle name="Input 5 2 3 2 2 7" xfId="33694"/>
    <cellStyle name="Input 5 2 3 2 2 7 2" xfId="33695"/>
    <cellStyle name="Input 5 2 3 2 2 8" xfId="33696"/>
    <cellStyle name="Input 5 2 3 2 2 9" xfId="33697"/>
    <cellStyle name="Input 5 2 3 2 3" xfId="33698"/>
    <cellStyle name="Input 5 2 3 2 3 2" xfId="33699"/>
    <cellStyle name="Input 5 2 3 2 3 2 2" xfId="33700"/>
    <cellStyle name="Input 5 2 3 2 3 2 2 2" xfId="33701"/>
    <cellStyle name="Input 5 2 3 2 3 2 2 2 2" xfId="33702"/>
    <cellStyle name="Input 5 2 3 2 3 2 2 3" xfId="33703"/>
    <cellStyle name="Input 5 2 3 2 3 2 2 3 2" xfId="33704"/>
    <cellStyle name="Input 5 2 3 2 3 2 2 4" xfId="33705"/>
    <cellStyle name="Input 5 2 3 2 3 2 2 5" xfId="33706"/>
    <cellStyle name="Input 5 2 3 2 3 2 2 6" xfId="33707"/>
    <cellStyle name="Input 5 2 3 2 3 2 3" xfId="33708"/>
    <cellStyle name="Input 5 2 3 2 3 2 3 2" xfId="33709"/>
    <cellStyle name="Input 5 2 3 2 3 2 4" xfId="33710"/>
    <cellStyle name="Input 5 2 3 2 3 2 4 2" xfId="33711"/>
    <cellStyle name="Input 5 2 3 2 3 2 5" xfId="33712"/>
    <cellStyle name="Input 5 2 3 2 3 2 6" xfId="33713"/>
    <cellStyle name="Input 5 2 3 2 3 2 7" xfId="33714"/>
    <cellStyle name="Input 5 2 3 2 3 3" xfId="33715"/>
    <cellStyle name="Input 5 2 3 2 3 3 2" xfId="33716"/>
    <cellStyle name="Input 5 2 3 2 3 3 2 2" xfId="33717"/>
    <cellStyle name="Input 5 2 3 2 3 3 3" xfId="33718"/>
    <cellStyle name="Input 5 2 3 2 3 3 3 2" xfId="33719"/>
    <cellStyle name="Input 5 2 3 2 3 3 4" xfId="33720"/>
    <cellStyle name="Input 5 2 3 2 3 3 5" xfId="33721"/>
    <cellStyle name="Input 5 2 3 2 3 3 6" xfId="33722"/>
    <cellStyle name="Input 5 2 3 2 3 4" xfId="33723"/>
    <cellStyle name="Input 5 2 3 2 3 4 2" xfId="33724"/>
    <cellStyle name="Input 5 2 3 2 3 5" xfId="33725"/>
    <cellStyle name="Input 5 2 3 2 3 5 2" xfId="33726"/>
    <cellStyle name="Input 5 2 3 2 3 6" xfId="33727"/>
    <cellStyle name="Input 5 2 3 2 3 7" xfId="33728"/>
    <cellStyle name="Input 5 2 3 2 3 8" xfId="33729"/>
    <cellStyle name="Input 5 2 3 2 4" xfId="33730"/>
    <cellStyle name="Input 5 2 3 2 4 2" xfId="33731"/>
    <cellStyle name="Input 5 2 3 2 4 2 2" xfId="33732"/>
    <cellStyle name="Input 5 2 3 2 4 2 2 2" xfId="33733"/>
    <cellStyle name="Input 5 2 3 2 4 2 2 2 2" xfId="33734"/>
    <cellStyle name="Input 5 2 3 2 4 2 2 3" xfId="33735"/>
    <cellStyle name="Input 5 2 3 2 4 2 2 3 2" xfId="33736"/>
    <cellStyle name="Input 5 2 3 2 4 2 2 4" xfId="33737"/>
    <cellStyle name="Input 5 2 3 2 4 2 2 5" xfId="33738"/>
    <cellStyle name="Input 5 2 3 2 4 2 2 6" xfId="33739"/>
    <cellStyle name="Input 5 2 3 2 4 2 3" xfId="33740"/>
    <cellStyle name="Input 5 2 3 2 4 2 3 2" xfId="33741"/>
    <cellStyle name="Input 5 2 3 2 4 2 4" xfId="33742"/>
    <cellStyle name="Input 5 2 3 2 4 2 4 2" xfId="33743"/>
    <cellStyle name="Input 5 2 3 2 4 2 5" xfId="33744"/>
    <cellStyle name="Input 5 2 3 2 4 2 6" xfId="33745"/>
    <cellStyle name="Input 5 2 3 2 4 2 7" xfId="33746"/>
    <cellStyle name="Input 5 2 3 2 4 3" xfId="33747"/>
    <cellStyle name="Input 5 2 3 2 4 3 2" xfId="33748"/>
    <cellStyle name="Input 5 2 3 2 4 3 2 2" xfId="33749"/>
    <cellStyle name="Input 5 2 3 2 4 3 3" xfId="33750"/>
    <cellStyle name="Input 5 2 3 2 4 3 3 2" xfId="33751"/>
    <cellStyle name="Input 5 2 3 2 4 3 4" xfId="33752"/>
    <cellStyle name="Input 5 2 3 2 4 3 5" xfId="33753"/>
    <cellStyle name="Input 5 2 3 2 4 3 6" xfId="33754"/>
    <cellStyle name="Input 5 2 3 2 4 4" xfId="33755"/>
    <cellStyle name="Input 5 2 3 2 4 4 2" xfId="33756"/>
    <cellStyle name="Input 5 2 3 2 4 5" xfId="33757"/>
    <cellStyle name="Input 5 2 3 2 4 5 2" xfId="33758"/>
    <cellStyle name="Input 5 2 3 2 4 6" xfId="33759"/>
    <cellStyle name="Input 5 2 3 2 4 7" xfId="33760"/>
    <cellStyle name="Input 5 2 3 2 4 8" xfId="33761"/>
    <cellStyle name="Input 5 2 3 2 5" xfId="33762"/>
    <cellStyle name="Input 5 2 3 2 5 2" xfId="33763"/>
    <cellStyle name="Input 5 2 3 2 5 2 2" xfId="33764"/>
    <cellStyle name="Input 5 2 3 2 5 2 2 2" xfId="33765"/>
    <cellStyle name="Input 5 2 3 2 5 2 3" xfId="33766"/>
    <cellStyle name="Input 5 2 3 2 5 2 3 2" xfId="33767"/>
    <cellStyle name="Input 5 2 3 2 5 2 4" xfId="33768"/>
    <cellStyle name="Input 5 2 3 2 5 2 5" xfId="33769"/>
    <cellStyle name="Input 5 2 3 2 5 2 6" xfId="33770"/>
    <cellStyle name="Input 5 2 3 2 5 3" xfId="33771"/>
    <cellStyle name="Input 5 2 3 2 5 3 2" xfId="33772"/>
    <cellStyle name="Input 5 2 3 2 5 4" xfId="33773"/>
    <cellStyle name="Input 5 2 3 2 5 4 2" xfId="33774"/>
    <cellStyle name="Input 5 2 3 2 5 5" xfId="33775"/>
    <cellStyle name="Input 5 2 3 2 5 6" xfId="33776"/>
    <cellStyle name="Input 5 2 3 2 5 7" xfId="33777"/>
    <cellStyle name="Input 5 2 3 2 6" xfId="33778"/>
    <cellStyle name="Input 5 2 3 2 6 2" xfId="33779"/>
    <cellStyle name="Input 5 2 3 2 6 2 2" xfId="33780"/>
    <cellStyle name="Input 5 2 3 2 6 3" xfId="33781"/>
    <cellStyle name="Input 5 2 3 2 6 3 2" xfId="33782"/>
    <cellStyle name="Input 5 2 3 2 6 4" xfId="33783"/>
    <cellStyle name="Input 5 2 3 2 6 5" xfId="33784"/>
    <cellStyle name="Input 5 2 3 2 6 6" xfId="33785"/>
    <cellStyle name="Input 5 2 3 2 7" xfId="33786"/>
    <cellStyle name="Input 5 2 3 2 7 2" xfId="33787"/>
    <cellStyle name="Input 5 2 3 2 8" xfId="33788"/>
    <cellStyle name="Input 5 2 3 2 8 2" xfId="33789"/>
    <cellStyle name="Input 5 2 3 2 9" xfId="33790"/>
    <cellStyle name="Input 5 2 3 3" xfId="33791"/>
    <cellStyle name="Input 5 2 3 3 10" xfId="33792"/>
    <cellStyle name="Input 5 2 3 3 2" xfId="33793"/>
    <cellStyle name="Input 5 2 3 3 2 10" xfId="33794"/>
    <cellStyle name="Input 5 2 3 3 2 2" xfId="33795"/>
    <cellStyle name="Input 5 2 3 3 2 2 2" xfId="33796"/>
    <cellStyle name="Input 5 2 3 3 2 2 2 2" xfId="33797"/>
    <cellStyle name="Input 5 2 3 3 2 2 2 2 2" xfId="33798"/>
    <cellStyle name="Input 5 2 3 3 2 2 2 2 2 2" xfId="33799"/>
    <cellStyle name="Input 5 2 3 3 2 2 2 2 3" xfId="33800"/>
    <cellStyle name="Input 5 2 3 3 2 2 2 2 3 2" xfId="33801"/>
    <cellStyle name="Input 5 2 3 3 2 2 2 2 4" xfId="33802"/>
    <cellStyle name="Input 5 2 3 3 2 2 2 2 5" xfId="33803"/>
    <cellStyle name="Input 5 2 3 3 2 2 2 2 6" xfId="33804"/>
    <cellStyle name="Input 5 2 3 3 2 2 2 3" xfId="33805"/>
    <cellStyle name="Input 5 2 3 3 2 2 2 3 2" xfId="33806"/>
    <cellStyle name="Input 5 2 3 3 2 2 2 4" xfId="33807"/>
    <cellStyle name="Input 5 2 3 3 2 2 2 4 2" xfId="33808"/>
    <cellStyle name="Input 5 2 3 3 2 2 2 5" xfId="33809"/>
    <cellStyle name="Input 5 2 3 3 2 2 2 6" xfId="33810"/>
    <cellStyle name="Input 5 2 3 3 2 2 2 7" xfId="33811"/>
    <cellStyle name="Input 5 2 3 3 2 2 3" xfId="33812"/>
    <cellStyle name="Input 5 2 3 3 2 2 3 2" xfId="33813"/>
    <cellStyle name="Input 5 2 3 3 2 2 3 2 2" xfId="33814"/>
    <cellStyle name="Input 5 2 3 3 2 2 3 3" xfId="33815"/>
    <cellStyle name="Input 5 2 3 3 2 2 3 3 2" xfId="33816"/>
    <cellStyle name="Input 5 2 3 3 2 2 3 4" xfId="33817"/>
    <cellStyle name="Input 5 2 3 3 2 2 3 5" xfId="33818"/>
    <cellStyle name="Input 5 2 3 3 2 2 3 6" xfId="33819"/>
    <cellStyle name="Input 5 2 3 3 2 2 4" xfId="33820"/>
    <cellStyle name="Input 5 2 3 3 2 2 4 2" xfId="33821"/>
    <cellStyle name="Input 5 2 3 3 2 2 5" xfId="33822"/>
    <cellStyle name="Input 5 2 3 3 2 2 5 2" xfId="33823"/>
    <cellStyle name="Input 5 2 3 3 2 2 6" xfId="33824"/>
    <cellStyle name="Input 5 2 3 3 2 2 7" xfId="33825"/>
    <cellStyle name="Input 5 2 3 3 2 2 8" xfId="33826"/>
    <cellStyle name="Input 5 2 3 3 2 3" xfId="33827"/>
    <cellStyle name="Input 5 2 3 3 2 3 2" xfId="33828"/>
    <cellStyle name="Input 5 2 3 3 2 3 2 2" xfId="33829"/>
    <cellStyle name="Input 5 2 3 3 2 3 2 2 2" xfId="33830"/>
    <cellStyle name="Input 5 2 3 3 2 3 2 2 2 2" xfId="33831"/>
    <cellStyle name="Input 5 2 3 3 2 3 2 2 3" xfId="33832"/>
    <cellStyle name="Input 5 2 3 3 2 3 2 2 3 2" xfId="33833"/>
    <cellStyle name="Input 5 2 3 3 2 3 2 2 4" xfId="33834"/>
    <cellStyle name="Input 5 2 3 3 2 3 2 2 5" xfId="33835"/>
    <cellStyle name="Input 5 2 3 3 2 3 2 2 6" xfId="33836"/>
    <cellStyle name="Input 5 2 3 3 2 3 2 3" xfId="33837"/>
    <cellStyle name="Input 5 2 3 3 2 3 2 3 2" xfId="33838"/>
    <cellStyle name="Input 5 2 3 3 2 3 2 4" xfId="33839"/>
    <cellStyle name="Input 5 2 3 3 2 3 2 4 2" xfId="33840"/>
    <cellStyle name="Input 5 2 3 3 2 3 2 5" xfId="33841"/>
    <cellStyle name="Input 5 2 3 3 2 3 2 6" xfId="33842"/>
    <cellStyle name="Input 5 2 3 3 2 3 2 7" xfId="33843"/>
    <cellStyle name="Input 5 2 3 3 2 3 3" xfId="33844"/>
    <cellStyle name="Input 5 2 3 3 2 3 3 2" xfId="33845"/>
    <cellStyle name="Input 5 2 3 3 2 3 3 2 2" xfId="33846"/>
    <cellStyle name="Input 5 2 3 3 2 3 3 3" xfId="33847"/>
    <cellStyle name="Input 5 2 3 3 2 3 3 3 2" xfId="33848"/>
    <cellStyle name="Input 5 2 3 3 2 3 3 4" xfId="33849"/>
    <cellStyle name="Input 5 2 3 3 2 3 3 5" xfId="33850"/>
    <cellStyle name="Input 5 2 3 3 2 3 3 6" xfId="33851"/>
    <cellStyle name="Input 5 2 3 3 2 3 4" xfId="33852"/>
    <cellStyle name="Input 5 2 3 3 2 3 4 2" xfId="33853"/>
    <cellStyle name="Input 5 2 3 3 2 3 5" xfId="33854"/>
    <cellStyle name="Input 5 2 3 3 2 3 5 2" xfId="33855"/>
    <cellStyle name="Input 5 2 3 3 2 3 6" xfId="33856"/>
    <cellStyle name="Input 5 2 3 3 2 3 7" xfId="33857"/>
    <cellStyle name="Input 5 2 3 3 2 3 8" xfId="33858"/>
    <cellStyle name="Input 5 2 3 3 2 4" xfId="33859"/>
    <cellStyle name="Input 5 2 3 3 2 4 2" xfId="33860"/>
    <cellStyle name="Input 5 2 3 3 2 4 2 2" xfId="33861"/>
    <cellStyle name="Input 5 2 3 3 2 4 2 2 2" xfId="33862"/>
    <cellStyle name="Input 5 2 3 3 2 4 2 3" xfId="33863"/>
    <cellStyle name="Input 5 2 3 3 2 4 2 3 2" xfId="33864"/>
    <cellStyle name="Input 5 2 3 3 2 4 2 4" xfId="33865"/>
    <cellStyle name="Input 5 2 3 3 2 4 2 5" xfId="33866"/>
    <cellStyle name="Input 5 2 3 3 2 4 2 6" xfId="33867"/>
    <cellStyle name="Input 5 2 3 3 2 4 3" xfId="33868"/>
    <cellStyle name="Input 5 2 3 3 2 4 3 2" xfId="33869"/>
    <cellStyle name="Input 5 2 3 3 2 4 4" xfId="33870"/>
    <cellStyle name="Input 5 2 3 3 2 4 4 2" xfId="33871"/>
    <cellStyle name="Input 5 2 3 3 2 4 5" xfId="33872"/>
    <cellStyle name="Input 5 2 3 3 2 4 6" xfId="33873"/>
    <cellStyle name="Input 5 2 3 3 2 4 7" xfId="33874"/>
    <cellStyle name="Input 5 2 3 3 2 5" xfId="33875"/>
    <cellStyle name="Input 5 2 3 3 2 5 2" xfId="33876"/>
    <cellStyle name="Input 5 2 3 3 2 5 2 2" xfId="33877"/>
    <cellStyle name="Input 5 2 3 3 2 5 3" xfId="33878"/>
    <cellStyle name="Input 5 2 3 3 2 5 3 2" xfId="33879"/>
    <cellStyle name="Input 5 2 3 3 2 5 4" xfId="33880"/>
    <cellStyle name="Input 5 2 3 3 2 5 5" xfId="33881"/>
    <cellStyle name="Input 5 2 3 3 2 5 6" xfId="33882"/>
    <cellStyle name="Input 5 2 3 3 2 6" xfId="33883"/>
    <cellStyle name="Input 5 2 3 3 2 6 2" xfId="33884"/>
    <cellStyle name="Input 5 2 3 3 2 7" xfId="33885"/>
    <cellStyle name="Input 5 2 3 3 2 7 2" xfId="33886"/>
    <cellStyle name="Input 5 2 3 3 2 8" xfId="33887"/>
    <cellStyle name="Input 5 2 3 3 2 9" xfId="33888"/>
    <cellStyle name="Input 5 2 3 3 3" xfId="33889"/>
    <cellStyle name="Input 5 2 3 3 3 2" xfId="33890"/>
    <cellStyle name="Input 5 2 3 3 3 2 2" xfId="33891"/>
    <cellStyle name="Input 5 2 3 3 3 2 2 2" xfId="33892"/>
    <cellStyle name="Input 5 2 3 3 3 2 2 2 2" xfId="33893"/>
    <cellStyle name="Input 5 2 3 3 3 2 2 3" xfId="33894"/>
    <cellStyle name="Input 5 2 3 3 3 2 2 3 2" xfId="33895"/>
    <cellStyle name="Input 5 2 3 3 3 2 2 4" xfId="33896"/>
    <cellStyle name="Input 5 2 3 3 3 2 2 5" xfId="33897"/>
    <cellStyle name="Input 5 2 3 3 3 2 2 6" xfId="33898"/>
    <cellStyle name="Input 5 2 3 3 3 2 3" xfId="33899"/>
    <cellStyle name="Input 5 2 3 3 3 2 3 2" xfId="33900"/>
    <cellStyle name="Input 5 2 3 3 3 2 4" xfId="33901"/>
    <cellStyle name="Input 5 2 3 3 3 2 4 2" xfId="33902"/>
    <cellStyle name="Input 5 2 3 3 3 2 5" xfId="33903"/>
    <cellStyle name="Input 5 2 3 3 3 2 6" xfId="33904"/>
    <cellStyle name="Input 5 2 3 3 3 2 7" xfId="33905"/>
    <cellStyle name="Input 5 2 3 3 3 3" xfId="33906"/>
    <cellStyle name="Input 5 2 3 3 3 3 2" xfId="33907"/>
    <cellStyle name="Input 5 2 3 3 3 3 2 2" xfId="33908"/>
    <cellStyle name="Input 5 2 3 3 3 3 3" xfId="33909"/>
    <cellStyle name="Input 5 2 3 3 3 3 3 2" xfId="33910"/>
    <cellStyle name="Input 5 2 3 3 3 3 4" xfId="33911"/>
    <cellStyle name="Input 5 2 3 3 3 3 5" xfId="33912"/>
    <cellStyle name="Input 5 2 3 3 3 3 6" xfId="33913"/>
    <cellStyle name="Input 5 2 3 3 3 4" xfId="33914"/>
    <cellStyle name="Input 5 2 3 3 3 4 2" xfId="33915"/>
    <cellStyle name="Input 5 2 3 3 3 5" xfId="33916"/>
    <cellStyle name="Input 5 2 3 3 3 5 2" xfId="33917"/>
    <cellStyle name="Input 5 2 3 3 3 6" xfId="33918"/>
    <cellStyle name="Input 5 2 3 3 3 7" xfId="33919"/>
    <cellStyle name="Input 5 2 3 3 3 8" xfId="33920"/>
    <cellStyle name="Input 5 2 3 3 4" xfId="33921"/>
    <cellStyle name="Input 5 2 3 3 4 2" xfId="33922"/>
    <cellStyle name="Input 5 2 3 3 4 2 2" xfId="33923"/>
    <cellStyle name="Input 5 2 3 3 4 2 2 2" xfId="33924"/>
    <cellStyle name="Input 5 2 3 3 4 2 3" xfId="33925"/>
    <cellStyle name="Input 5 2 3 3 4 2 3 2" xfId="33926"/>
    <cellStyle name="Input 5 2 3 3 4 2 4" xfId="33927"/>
    <cellStyle name="Input 5 2 3 3 4 2 5" xfId="33928"/>
    <cellStyle name="Input 5 2 3 3 4 2 6" xfId="33929"/>
    <cellStyle name="Input 5 2 3 3 4 3" xfId="33930"/>
    <cellStyle name="Input 5 2 3 3 4 3 2" xfId="33931"/>
    <cellStyle name="Input 5 2 3 3 4 4" xfId="33932"/>
    <cellStyle name="Input 5 2 3 3 4 4 2" xfId="33933"/>
    <cellStyle name="Input 5 2 3 3 4 5" xfId="33934"/>
    <cellStyle name="Input 5 2 3 3 4 6" xfId="33935"/>
    <cellStyle name="Input 5 2 3 3 4 7" xfId="33936"/>
    <cellStyle name="Input 5 2 3 3 5" xfId="33937"/>
    <cellStyle name="Input 5 2 3 3 5 2" xfId="33938"/>
    <cellStyle name="Input 5 2 3 3 5 2 2" xfId="33939"/>
    <cellStyle name="Input 5 2 3 3 5 3" xfId="33940"/>
    <cellStyle name="Input 5 2 3 3 5 3 2" xfId="33941"/>
    <cellStyle name="Input 5 2 3 3 5 4" xfId="33942"/>
    <cellStyle name="Input 5 2 3 3 5 5" xfId="33943"/>
    <cellStyle name="Input 5 2 3 3 5 6" xfId="33944"/>
    <cellStyle name="Input 5 2 3 3 6" xfId="33945"/>
    <cellStyle name="Input 5 2 3 3 6 2" xfId="33946"/>
    <cellStyle name="Input 5 2 3 3 7" xfId="33947"/>
    <cellStyle name="Input 5 2 3 3 7 2" xfId="33948"/>
    <cellStyle name="Input 5 2 3 3 8" xfId="33949"/>
    <cellStyle name="Input 5 2 3 3 9" xfId="33950"/>
    <cellStyle name="Input 5 2 3 4" xfId="33951"/>
    <cellStyle name="Input 5 2 3 4 10" xfId="33952"/>
    <cellStyle name="Input 5 2 3 4 2" xfId="33953"/>
    <cellStyle name="Input 5 2 3 4 2 2" xfId="33954"/>
    <cellStyle name="Input 5 2 3 4 2 2 2" xfId="33955"/>
    <cellStyle name="Input 5 2 3 4 2 2 2 2" xfId="33956"/>
    <cellStyle name="Input 5 2 3 4 2 2 2 2 2" xfId="33957"/>
    <cellStyle name="Input 5 2 3 4 2 2 2 3" xfId="33958"/>
    <cellStyle name="Input 5 2 3 4 2 2 2 3 2" xfId="33959"/>
    <cellStyle name="Input 5 2 3 4 2 2 2 4" xfId="33960"/>
    <cellStyle name="Input 5 2 3 4 2 2 2 5" xfId="33961"/>
    <cellStyle name="Input 5 2 3 4 2 2 2 6" xfId="33962"/>
    <cellStyle name="Input 5 2 3 4 2 2 3" xfId="33963"/>
    <cellStyle name="Input 5 2 3 4 2 2 3 2" xfId="33964"/>
    <cellStyle name="Input 5 2 3 4 2 2 4" xfId="33965"/>
    <cellStyle name="Input 5 2 3 4 2 2 4 2" xfId="33966"/>
    <cellStyle name="Input 5 2 3 4 2 2 5" xfId="33967"/>
    <cellStyle name="Input 5 2 3 4 2 2 6" xfId="33968"/>
    <cellStyle name="Input 5 2 3 4 2 2 7" xfId="33969"/>
    <cellStyle name="Input 5 2 3 4 2 3" xfId="33970"/>
    <cellStyle name="Input 5 2 3 4 2 3 2" xfId="33971"/>
    <cellStyle name="Input 5 2 3 4 2 3 2 2" xfId="33972"/>
    <cellStyle name="Input 5 2 3 4 2 3 3" xfId="33973"/>
    <cellStyle name="Input 5 2 3 4 2 3 3 2" xfId="33974"/>
    <cellStyle name="Input 5 2 3 4 2 3 4" xfId="33975"/>
    <cellStyle name="Input 5 2 3 4 2 3 5" xfId="33976"/>
    <cellStyle name="Input 5 2 3 4 2 3 6" xfId="33977"/>
    <cellStyle name="Input 5 2 3 4 2 4" xfId="33978"/>
    <cellStyle name="Input 5 2 3 4 2 4 2" xfId="33979"/>
    <cellStyle name="Input 5 2 3 4 2 5" xfId="33980"/>
    <cellStyle name="Input 5 2 3 4 2 5 2" xfId="33981"/>
    <cellStyle name="Input 5 2 3 4 2 6" xfId="33982"/>
    <cellStyle name="Input 5 2 3 4 2 7" xfId="33983"/>
    <cellStyle name="Input 5 2 3 4 2 8" xfId="33984"/>
    <cellStyle name="Input 5 2 3 4 3" xfId="33985"/>
    <cellStyle name="Input 5 2 3 4 3 2" xfId="33986"/>
    <cellStyle name="Input 5 2 3 4 3 2 2" xfId="33987"/>
    <cellStyle name="Input 5 2 3 4 3 2 2 2" xfId="33988"/>
    <cellStyle name="Input 5 2 3 4 3 2 2 2 2" xfId="33989"/>
    <cellStyle name="Input 5 2 3 4 3 2 2 3" xfId="33990"/>
    <cellStyle name="Input 5 2 3 4 3 2 2 3 2" xfId="33991"/>
    <cellStyle name="Input 5 2 3 4 3 2 2 4" xfId="33992"/>
    <cellStyle name="Input 5 2 3 4 3 2 2 5" xfId="33993"/>
    <cellStyle name="Input 5 2 3 4 3 2 2 6" xfId="33994"/>
    <cellStyle name="Input 5 2 3 4 3 2 3" xfId="33995"/>
    <cellStyle name="Input 5 2 3 4 3 2 3 2" xfId="33996"/>
    <cellStyle name="Input 5 2 3 4 3 2 4" xfId="33997"/>
    <cellStyle name="Input 5 2 3 4 3 2 4 2" xfId="33998"/>
    <cellStyle name="Input 5 2 3 4 3 2 5" xfId="33999"/>
    <cellStyle name="Input 5 2 3 4 3 2 6" xfId="34000"/>
    <cellStyle name="Input 5 2 3 4 3 2 7" xfId="34001"/>
    <cellStyle name="Input 5 2 3 4 3 3" xfId="34002"/>
    <cellStyle name="Input 5 2 3 4 3 3 2" xfId="34003"/>
    <cellStyle name="Input 5 2 3 4 3 3 2 2" xfId="34004"/>
    <cellStyle name="Input 5 2 3 4 3 3 3" xfId="34005"/>
    <cellStyle name="Input 5 2 3 4 3 3 3 2" xfId="34006"/>
    <cellStyle name="Input 5 2 3 4 3 3 4" xfId="34007"/>
    <cellStyle name="Input 5 2 3 4 3 3 5" xfId="34008"/>
    <cellStyle name="Input 5 2 3 4 3 3 6" xfId="34009"/>
    <cellStyle name="Input 5 2 3 4 3 4" xfId="34010"/>
    <cellStyle name="Input 5 2 3 4 3 4 2" xfId="34011"/>
    <cellStyle name="Input 5 2 3 4 3 5" xfId="34012"/>
    <cellStyle name="Input 5 2 3 4 3 5 2" xfId="34013"/>
    <cellStyle name="Input 5 2 3 4 3 6" xfId="34014"/>
    <cellStyle name="Input 5 2 3 4 3 7" xfId="34015"/>
    <cellStyle name="Input 5 2 3 4 3 8" xfId="34016"/>
    <cellStyle name="Input 5 2 3 4 4" xfId="34017"/>
    <cellStyle name="Input 5 2 3 4 4 2" xfId="34018"/>
    <cellStyle name="Input 5 2 3 4 4 2 2" xfId="34019"/>
    <cellStyle name="Input 5 2 3 4 4 2 2 2" xfId="34020"/>
    <cellStyle name="Input 5 2 3 4 4 2 3" xfId="34021"/>
    <cellStyle name="Input 5 2 3 4 4 2 3 2" xfId="34022"/>
    <cellStyle name="Input 5 2 3 4 4 2 4" xfId="34023"/>
    <cellStyle name="Input 5 2 3 4 4 2 5" xfId="34024"/>
    <cellStyle name="Input 5 2 3 4 4 2 6" xfId="34025"/>
    <cellStyle name="Input 5 2 3 4 4 3" xfId="34026"/>
    <cellStyle name="Input 5 2 3 4 4 3 2" xfId="34027"/>
    <cellStyle name="Input 5 2 3 4 4 4" xfId="34028"/>
    <cellStyle name="Input 5 2 3 4 4 4 2" xfId="34029"/>
    <cellStyle name="Input 5 2 3 4 4 5" xfId="34030"/>
    <cellStyle name="Input 5 2 3 4 4 6" xfId="34031"/>
    <cellStyle name="Input 5 2 3 4 4 7" xfId="34032"/>
    <cellStyle name="Input 5 2 3 4 5" xfId="34033"/>
    <cellStyle name="Input 5 2 3 4 5 2" xfId="34034"/>
    <cellStyle name="Input 5 2 3 4 5 2 2" xfId="34035"/>
    <cellStyle name="Input 5 2 3 4 5 3" xfId="34036"/>
    <cellStyle name="Input 5 2 3 4 5 3 2" xfId="34037"/>
    <cellStyle name="Input 5 2 3 4 5 4" xfId="34038"/>
    <cellStyle name="Input 5 2 3 4 5 5" xfId="34039"/>
    <cellStyle name="Input 5 2 3 4 5 6" xfId="34040"/>
    <cellStyle name="Input 5 2 3 4 6" xfId="34041"/>
    <cellStyle name="Input 5 2 3 4 6 2" xfId="34042"/>
    <cellStyle name="Input 5 2 3 4 7" xfId="34043"/>
    <cellStyle name="Input 5 2 3 4 7 2" xfId="34044"/>
    <cellStyle name="Input 5 2 3 4 8" xfId="34045"/>
    <cellStyle name="Input 5 2 3 4 9" xfId="34046"/>
    <cellStyle name="Input 5 2 3 5" xfId="34047"/>
    <cellStyle name="Input 5 2 3 5 2" xfId="34048"/>
    <cellStyle name="Input 5 2 3 5 2 2" xfId="34049"/>
    <cellStyle name="Input 5 2 3 5 2 2 2" xfId="34050"/>
    <cellStyle name="Input 5 2 3 5 2 2 2 2" xfId="34051"/>
    <cellStyle name="Input 5 2 3 5 2 2 3" xfId="34052"/>
    <cellStyle name="Input 5 2 3 5 2 2 3 2" xfId="34053"/>
    <cellStyle name="Input 5 2 3 5 2 2 4" xfId="34054"/>
    <cellStyle name="Input 5 2 3 5 2 2 5" xfId="34055"/>
    <cellStyle name="Input 5 2 3 5 2 2 6" xfId="34056"/>
    <cellStyle name="Input 5 2 3 5 2 3" xfId="34057"/>
    <cellStyle name="Input 5 2 3 5 2 3 2" xfId="34058"/>
    <cellStyle name="Input 5 2 3 5 2 4" xfId="34059"/>
    <cellStyle name="Input 5 2 3 5 2 4 2" xfId="34060"/>
    <cellStyle name="Input 5 2 3 5 2 5" xfId="34061"/>
    <cellStyle name="Input 5 2 3 5 2 6" xfId="34062"/>
    <cellStyle name="Input 5 2 3 5 2 7" xfId="34063"/>
    <cellStyle name="Input 5 2 3 5 3" xfId="34064"/>
    <cellStyle name="Input 5 2 3 5 3 2" xfId="34065"/>
    <cellStyle name="Input 5 2 3 5 3 2 2" xfId="34066"/>
    <cellStyle name="Input 5 2 3 5 3 3" xfId="34067"/>
    <cellStyle name="Input 5 2 3 5 3 3 2" xfId="34068"/>
    <cellStyle name="Input 5 2 3 5 3 4" xfId="34069"/>
    <cellStyle name="Input 5 2 3 5 3 5" xfId="34070"/>
    <cellStyle name="Input 5 2 3 5 3 6" xfId="34071"/>
    <cellStyle name="Input 5 2 3 5 4" xfId="34072"/>
    <cellStyle name="Input 5 2 3 5 4 2" xfId="34073"/>
    <cellStyle name="Input 5 2 3 5 5" xfId="34074"/>
    <cellStyle name="Input 5 2 3 5 5 2" xfId="34075"/>
    <cellStyle name="Input 5 2 3 5 6" xfId="34076"/>
    <cellStyle name="Input 5 2 3 5 7" xfId="34077"/>
    <cellStyle name="Input 5 2 3 5 8" xfId="34078"/>
    <cellStyle name="Input 5 2 3 6" xfId="34079"/>
    <cellStyle name="Input 5 2 3 6 2" xfId="34080"/>
    <cellStyle name="Input 5 2 3 6 2 2" xfId="34081"/>
    <cellStyle name="Input 5 2 3 6 2 2 2" xfId="34082"/>
    <cellStyle name="Input 5 2 3 6 2 3" xfId="34083"/>
    <cellStyle name="Input 5 2 3 6 2 3 2" xfId="34084"/>
    <cellStyle name="Input 5 2 3 6 2 4" xfId="34085"/>
    <cellStyle name="Input 5 2 3 6 2 5" xfId="34086"/>
    <cellStyle name="Input 5 2 3 6 2 6" xfId="34087"/>
    <cellStyle name="Input 5 2 3 6 3" xfId="34088"/>
    <cellStyle name="Input 5 2 3 6 3 2" xfId="34089"/>
    <cellStyle name="Input 5 2 3 6 4" xfId="34090"/>
    <cellStyle name="Input 5 2 3 6 4 2" xfId="34091"/>
    <cellStyle name="Input 5 2 3 6 5" xfId="34092"/>
    <cellStyle name="Input 5 2 3 6 6" xfId="34093"/>
    <cellStyle name="Input 5 2 3 6 7" xfId="34094"/>
    <cellStyle name="Input 5 2 3 7" xfId="34095"/>
    <cellStyle name="Input 5 2 3 7 2" xfId="34096"/>
    <cellStyle name="Input 5 2 3 7 2 2" xfId="34097"/>
    <cellStyle name="Input 5 2 3 7 3" xfId="34098"/>
    <cellStyle name="Input 5 2 3 7 3 2" xfId="34099"/>
    <cellStyle name="Input 5 2 3 7 4" xfId="34100"/>
    <cellStyle name="Input 5 2 3 7 5" xfId="34101"/>
    <cellStyle name="Input 5 2 3 7 6" xfId="34102"/>
    <cellStyle name="Input 5 2 3 8" xfId="34103"/>
    <cellStyle name="Input 5 2 3 8 2" xfId="34104"/>
    <cellStyle name="Input 5 2 3 9" xfId="34105"/>
    <cellStyle name="Input 5 2 3 9 2" xfId="34106"/>
    <cellStyle name="Input 5 2 4" xfId="34107"/>
    <cellStyle name="Input 5 2 4 10" xfId="34108"/>
    <cellStyle name="Input 5 2 4 11" xfId="34109"/>
    <cellStyle name="Input 5 2 4 2" xfId="34110"/>
    <cellStyle name="Input 5 2 4 2 10" xfId="34111"/>
    <cellStyle name="Input 5 2 4 2 2" xfId="34112"/>
    <cellStyle name="Input 5 2 4 2 2 10" xfId="34113"/>
    <cellStyle name="Input 5 2 4 2 2 2" xfId="34114"/>
    <cellStyle name="Input 5 2 4 2 2 2 2" xfId="34115"/>
    <cellStyle name="Input 5 2 4 2 2 2 2 2" xfId="34116"/>
    <cellStyle name="Input 5 2 4 2 2 2 2 2 2" xfId="34117"/>
    <cellStyle name="Input 5 2 4 2 2 2 2 2 2 2" xfId="34118"/>
    <cellStyle name="Input 5 2 4 2 2 2 2 2 3" xfId="34119"/>
    <cellStyle name="Input 5 2 4 2 2 2 2 2 3 2" xfId="34120"/>
    <cellStyle name="Input 5 2 4 2 2 2 2 2 4" xfId="34121"/>
    <cellStyle name="Input 5 2 4 2 2 2 2 2 5" xfId="34122"/>
    <cellStyle name="Input 5 2 4 2 2 2 2 2 6" xfId="34123"/>
    <cellStyle name="Input 5 2 4 2 2 2 2 3" xfId="34124"/>
    <cellStyle name="Input 5 2 4 2 2 2 2 3 2" xfId="34125"/>
    <cellStyle name="Input 5 2 4 2 2 2 2 4" xfId="34126"/>
    <cellStyle name="Input 5 2 4 2 2 2 2 4 2" xfId="34127"/>
    <cellStyle name="Input 5 2 4 2 2 2 2 5" xfId="34128"/>
    <cellStyle name="Input 5 2 4 2 2 2 2 6" xfId="34129"/>
    <cellStyle name="Input 5 2 4 2 2 2 2 7" xfId="34130"/>
    <cellStyle name="Input 5 2 4 2 2 2 3" xfId="34131"/>
    <cellStyle name="Input 5 2 4 2 2 2 3 2" xfId="34132"/>
    <cellStyle name="Input 5 2 4 2 2 2 3 2 2" xfId="34133"/>
    <cellStyle name="Input 5 2 4 2 2 2 3 3" xfId="34134"/>
    <cellStyle name="Input 5 2 4 2 2 2 3 3 2" xfId="34135"/>
    <cellStyle name="Input 5 2 4 2 2 2 3 4" xfId="34136"/>
    <cellStyle name="Input 5 2 4 2 2 2 3 5" xfId="34137"/>
    <cellStyle name="Input 5 2 4 2 2 2 3 6" xfId="34138"/>
    <cellStyle name="Input 5 2 4 2 2 2 4" xfId="34139"/>
    <cellStyle name="Input 5 2 4 2 2 2 4 2" xfId="34140"/>
    <cellStyle name="Input 5 2 4 2 2 2 5" xfId="34141"/>
    <cellStyle name="Input 5 2 4 2 2 2 5 2" xfId="34142"/>
    <cellStyle name="Input 5 2 4 2 2 2 6" xfId="34143"/>
    <cellStyle name="Input 5 2 4 2 2 2 7" xfId="34144"/>
    <cellStyle name="Input 5 2 4 2 2 2 8" xfId="34145"/>
    <cellStyle name="Input 5 2 4 2 2 3" xfId="34146"/>
    <cellStyle name="Input 5 2 4 2 2 3 2" xfId="34147"/>
    <cellStyle name="Input 5 2 4 2 2 3 2 2" xfId="34148"/>
    <cellStyle name="Input 5 2 4 2 2 3 2 2 2" xfId="34149"/>
    <cellStyle name="Input 5 2 4 2 2 3 2 2 2 2" xfId="34150"/>
    <cellStyle name="Input 5 2 4 2 2 3 2 2 3" xfId="34151"/>
    <cellStyle name="Input 5 2 4 2 2 3 2 2 3 2" xfId="34152"/>
    <cellStyle name="Input 5 2 4 2 2 3 2 2 4" xfId="34153"/>
    <cellStyle name="Input 5 2 4 2 2 3 2 2 5" xfId="34154"/>
    <cellStyle name="Input 5 2 4 2 2 3 2 2 6" xfId="34155"/>
    <cellStyle name="Input 5 2 4 2 2 3 2 3" xfId="34156"/>
    <cellStyle name="Input 5 2 4 2 2 3 2 3 2" xfId="34157"/>
    <cellStyle name="Input 5 2 4 2 2 3 2 4" xfId="34158"/>
    <cellStyle name="Input 5 2 4 2 2 3 2 4 2" xfId="34159"/>
    <cellStyle name="Input 5 2 4 2 2 3 2 5" xfId="34160"/>
    <cellStyle name="Input 5 2 4 2 2 3 2 6" xfId="34161"/>
    <cellStyle name="Input 5 2 4 2 2 3 2 7" xfId="34162"/>
    <cellStyle name="Input 5 2 4 2 2 3 3" xfId="34163"/>
    <cellStyle name="Input 5 2 4 2 2 3 3 2" xfId="34164"/>
    <cellStyle name="Input 5 2 4 2 2 3 3 2 2" xfId="34165"/>
    <cellStyle name="Input 5 2 4 2 2 3 3 3" xfId="34166"/>
    <cellStyle name="Input 5 2 4 2 2 3 3 3 2" xfId="34167"/>
    <cellStyle name="Input 5 2 4 2 2 3 3 4" xfId="34168"/>
    <cellStyle name="Input 5 2 4 2 2 3 3 5" xfId="34169"/>
    <cellStyle name="Input 5 2 4 2 2 3 3 6" xfId="34170"/>
    <cellStyle name="Input 5 2 4 2 2 3 4" xfId="34171"/>
    <cellStyle name="Input 5 2 4 2 2 3 4 2" xfId="34172"/>
    <cellStyle name="Input 5 2 4 2 2 3 5" xfId="34173"/>
    <cellStyle name="Input 5 2 4 2 2 3 5 2" xfId="34174"/>
    <cellStyle name="Input 5 2 4 2 2 3 6" xfId="34175"/>
    <cellStyle name="Input 5 2 4 2 2 3 7" xfId="34176"/>
    <cellStyle name="Input 5 2 4 2 2 3 8" xfId="34177"/>
    <cellStyle name="Input 5 2 4 2 2 4" xfId="34178"/>
    <cellStyle name="Input 5 2 4 2 2 4 2" xfId="34179"/>
    <cellStyle name="Input 5 2 4 2 2 4 2 2" xfId="34180"/>
    <cellStyle name="Input 5 2 4 2 2 4 2 2 2" xfId="34181"/>
    <cellStyle name="Input 5 2 4 2 2 4 2 3" xfId="34182"/>
    <cellStyle name="Input 5 2 4 2 2 4 2 3 2" xfId="34183"/>
    <cellStyle name="Input 5 2 4 2 2 4 2 4" xfId="34184"/>
    <cellStyle name="Input 5 2 4 2 2 4 2 5" xfId="34185"/>
    <cellStyle name="Input 5 2 4 2 2 4 2 6" xfId="34186"/>
    <cellStyle name="Input 5 2 4 2 2 4 3" xfId="34187"/>
    <cellStyle name="Input 5 2 4 2 2 4 3 2" xfId="34188"/>
    <cellStyle name="Input 5 2 4 2 2 4 4" xfId="34189"/>
    <cellStyle name="Input 5 2 4 2 2 4 4 2" xfId="34190"/>
    <cellStyle name="Input 5 2 4 2 2 4 5" xfId="34191"/>
    <cellStyle name="Input 5 2 4 2 2 4 6" xfId="34192"/>
    <cellStyle name="Input 5 2 4 2 2 4 7" xfId="34193"/>
    <cellStyle name="Input 5 2 4 2 2 5" xfId="34194"/>
    <cellStyle name="Input 5 2 4 2 2 5 2" xfId="34195"/>
    <cellStyle name="Input 5 2 4 2 2 5 2 2" xfId="34196"/>
    <cellStyle name="Input 5 2 4 2 2 5 3" xfId="34197"/>
    <cellStyle name="Input 5 2 4 2 2 5 3 2" xfId="34198"/>
    <cellStyle name="Input 5 2 4 2 2 5 4" xfId="34199"/>
    <cellStyle name="Input 5 2 4 2 2 5 5" xfId="34200"/>
    <cellStyle name="Input 5 2 4 2 2 5 6" xfId="34201"/>
    <cellStyle name="Input 5 2 4 2 2 6" xfId="34202"/>
    <cellStyle name="Input 5 2 4 2 2 6 2" xfId="34203"/>
    <cellStyle name="Input 5 2 4 2 2 7" xfId="34204"/>
    <cellStyle name="Input 5 2 4 2 2 7 2" xfId="34205"/>
    <cellStyle name="Input 5 2 4 2 2 8" xfId="34206"/>
    <cellStyle name="Input 5 2 4 2 2 9" xfId="34207"/>
    <cellStyle name="Input 5 2 4 2 3" xfId="34208"/>
    <cellStyle name="Input 5 2 4 2 3 2" xfId="34209"/>
    <cellStyle name="Input 5 2 4 2 3 2 2" xfId="34210"/>
    <cellStyle name="Input 5 2 4 2 3 2 2 2" xfId="34211"/>
    <cellStyle name="Input 5 2 4 2 3 2 2 2 2" xfId="34212"/>
    <cellStyle name="Input 5 2 4 2 3 2 2 3" xfId="34213"/>
    <cellStyle name="Input 5 2 4 2 3 2 2 3 2" xfId="34214"/>
    <cellStyle name="Input 5 2 4 2 3 2 2 4" xfId="34215"/>
    <cellStyle name="Input 5 2 4 2 3 2 2 5" xfId="34216"/>
    <cellStyle name="Input 5 2 4 2 3 2 2 6" xfId="34217"/>
    <cellStyle name="Input 5 2 4 2 3 2 3" xfId="34218"/>
    <cellStyle name="Input 5 2 4 2 3 2 3 2" xfId="34219"/>
    <cellStyle name="Input 5 2 4 2 3 2 4" xfId="34220"/>
    <cellStyle name="Input 5 2 4 2 3 2 4 2" xfId="34221"/>
    <cellStyle name="Input 5 2 4 2 3 2 5" xfId="34222"/>
    <cellStyle name="Input 5 2 4 2 3 2 6" xfId="34223"/>
    <cellStyle name="Input 5 2 4 2 3 2 7" xfId="34224"/>
    <cellStyle name="Input 5 2 4 2 3 3" xfId="34225"/>
    <cellStyle name="Input 5 2 4 2 3 3 2" xfId="34226"/>
    <cellStyle name="Input 5 2 4 2 3 3 2 2" xfId="34227"/>
    <cellStyle name="Input 5 2 4 2 3 3 3" xfId="34228"/>
    <cellStyle name="Input 5 2 4 2 3 3 3 2" xfId="34229"/>
    <cellStyle name="Input 5 2 4 2 3 3 4" xfId="34230"/>
    <cellStyle name="Input 5 2 4 2 3 3 5" xfId="34231"/>
    <cellStyle name="Input 5 2 4 2 3 3 6" xfId="34232"/>
    <cellStyle name="Input 5 2 4 2 3 4" xfId="34233"/>
    <cellStyle name="Input 5 2 4 2 3 4 2" xfId="34234"/>
    <cellStyle name="Input 5 2 4 2 3 5" xfId="34235"/>
    <cellStyle name="Input 5 2 4 2 3 5 2" xfId="34236"/>
    <cellStyle name="Input 5 2 4 2 3 6" xfId="34237"/>
    <cellStyle name="Input 5 2 4 2 3 7" xfId="34238"/>
    <cellStyle name="Input 5 2 4 2 3 8" xfId="34239"/>
    <cellStyle name="Input 5 2 4 2 4" xfId="34240"/>
    <cellStyle name="Input 5 2 4 2 4 2" xfId="34241"/>
    <cellStyle name="Input 5 2 4 2 4 2 2" xfId="34242"/>
    <cellStyle name="Input 5 2 4 2 4 2 2 2" xfId="34243"/>
    <cellStyle name="Input 5 2 4 2 4 2 3" xfId="34244"/>
    <cellStyle name="Input 5 2 4 2 4 2 3 2" xfId="34245"/>
    <cellStyle name="Input 5 2 4 2 4 2 4" xfId="34246"/>
    <cellStyle name="Input 5 2 4 2 4 2 5" xfId="34247"/>
    <cellStyle name="Input 5 2 4 2 4 2 6" xfId="34248"/>
    <cellStyle name="Input 5 2 4 2 4 3" xfId="34249"/>
    <cellStyle name="Input 5 2 4 2 4 3 2" xfId="34250"/>
    <cellStyle name="Input 5 2 4 2 4 4" xfId="34251"/>
    <cellStyle name="Input 5 2 4 2 4 4 2" xfId="34252"/>
    <cellStyle name="Input 5 2 4 2 4 5" xfId="34253"/>
    <cellStyle name="Input 5 2 4 2 4 6" xfId="34254"/>
    <cellStyle name="Input 5 2 4 2 4 7" xfId="34255"/>
    <cellStyle name="Input 5 2 4 2 5" xfId="34256"/>
    <cellStyle name="Input 5 2 4 2 5 2" xfId="34257"/>
    <cellStyle name="Input 5 2 4 2 5 2 2" xfId="34258"/>
    <cellStyle name="Input 5 2 4 2 5 3" xfId="34259"/>
    <cellStyle name="Input 5 2 4 2 5 3 2" xfId="34260"/>
    <cellStyle name="Input 5 2 4 2 5 4" xfId="34261"/>
    <cellStyle name="Input 5 2 4 2 5 5" xfId="34262"/>
    <cellStyle name="Input 5 2 4 2 5 6" xfId="34263"/>
    <cellStyle name="Input 5 2 4 2 6" xfId="34264"/>
    <cellStyle name="Input 5 2 4 2 6 2" xfId="34265"/>
    <cellStyle name="Input 5 2 4 2 7" xfId="34266"/>
    <cellStyle name="Input 5 2 4 2 7 2" xfId="34267"/>
    <cellStyle name="Input 5 2 4 2 8" xfId="34268"/>
    <cellStyle name="Input 5 2 4 2 9" xfId="34269"/>
    <cellStyle name="Input 5 2 4 3" xfId="34270"/>
    <cellStyle name="Input 5 2 4 3 10" xfId="34271"/>
    <cellStyle name="Input 5 2 4 3 2" xfId="34272"/>
    <cellStyle name="Input 5 2 4 3 2 2" xfId="34273"/>
    <cellStyle name="Input 5 2 4 3 2 2 2" xfId="34274"/>
    <cellStyle name="Input 5 2 4 3 2 2 2 2" xfId="34275"/>
    <cellStyle name="Input 5 2 4 3 2 2 2 2 2" xfId="34276"/>
    <cellStyle name="Input 5 2 4 3 2 2 2 3" xfId="34277"/>
    <cellStyle name="Input 5 2 4 3 2 2 2 3 2" xfId="34278"/>
    <cellStyle name="Input 5 2 4 3 2 2 2 4" xfId="34279"/>
    <cellStyle name="Input 5 2 4 3 2 2 2 5" xfId="34280"/>
    <cellStyle name="Input 5 2 4 3 2 2 2 6" xfId="34281"/>
    <cellStyle name="Input 5 2 4 3 2 2 3" xfId="34282"/>
    <cellStyle name="Input 5 2 4 3 2 2 3 2" xfId="34283"/>
    <cellStyle name="Input 5 2 4 3 2 2 4" xfId="34284"/>
    <cellStyle name="Input 5 2 4 3 2 2 4 2" xfId="34285"/>
    <cellStyle name="Input 5 2 4 3 2 2 5" xfId="34286"/>
    <cellStyle name="Input 5 2 4 3 2 2 6" xfId="34287"/>
    <cellStyle name="Input 5 2 4 3 2 2 7" xfId="34288"/>
    <cellStyle name="Input 5 2 4 3 2 3" xfId="34289"/>
    <cellStyle name="Input 5 2 4 3 2 3 2" xfId="34290"/>
    <cellStyle name="Input 5 2 4 3 2 3 2 2" xfId="34291"/>
    <cellStyle name="Input 5 2 4 3 2 3 3" xfId="34292"/>
    <cellStyle name="Input 5 2 4 3 2 3 3 2" xfId="34293"/>
    <cellStyle name="Input 5 2 4 3 2 3 4" xfId="34294"/>
    <cellStyle name="Input 5 2 4 3 2 3 5" xfId="34295"/>
    <cellStyle name="Input 5 2 4 3 2 3 6" xfId="34296"/>
    <cellStyle name="Input 5 2 4 3 2 4" xfId="34297"/>
    <cellStyle name="Input 5 2 4 3 2 4 2" xfId="34298"/>
    <cellStyle name="Input 5 2 4 3 2 5" xfId="34299"/>
    <cellStyle name="Input 5 2 4 3 2 5 2" xfId="34300"/>
    <cellStyle name="Input 5 2 4 3 2 6" xfId="34301"/>
    <cellStyle name="Input 5 2 4 3 2 7" xfId="34302"/>
    <cellStyle name="Input 5 2 4 3 2 8" xfId="34303"/>
    <cellStyle name="Input 5 2 4 3 3" xfId="34304"/>
    <cellStyle name="Input 5 2 4 3 3 2" xfId="34305"/>
    <cellStyle name="Input 5 2 4 3 3 2 2" xfId="34306"/>
    <cellStyle name="Input 5 2 4 3 3 2 2 2" xfId="34307"/>
    <cellStyle name="Input 5 2 4 3 3 2 2 2 2" xfId="34308"/>
    <cellStyle name="Input 5 2 4 3 3 2 2 3" xfId="34309"/>
    <cellStyle name="Input 5 2 4 3 3 2 2 3 2" xfId="34310"/>
    <cellStyle name="Input 5 2 4 3 3 2 2 4" xfId="34311"/>
    <cellStyle name="Input 5 2 4 3 3 2 2 5" xfId="34312"/>
    <cellStyle name="Input 5 2 4 3 3 2 2 6" xfId="34313"/>
    <cellStyle name="Input 5 2 4 3 3 2 3" xfId="34314"/>
    <cellStyle name="Input 5 2 4 3 3 2 3 2" xfId="34315"/>
    <cellStyle name="Input 5 2 4 3 3 2 4" xfId="34316"/>
    <cellStyle name="Input 5 2 4 3 3 2 4 2" xfId="34317"/>
    <cellStyle name="Input 5 2 4 3 3 2 5" xfId="34318"/>
    <cellStyle name="Input 5 2 4 3 3 2 6" xfId="34319"/>
    <cellStyle name="Input 5 2 4 3 3 2 7" xfId="34320"/>
    <cellStyle name="Input 5 2 4 3 3 3" xfId="34321"/>
    <cellStyle name="Input 5 2 4 3 3 3 2" xfId="34322"/>
    <cellStyle name="Input 5 2 4 3 3 3 2 2" xfId="34323"/>
    <cellStyle name="Input 5 2 4 3 3 3 3" xfId="34324"/>
    <cellStyle name="Input 5 2 4 3 3 3 3 2" xfId="34325"/>
    <cellStyle name="Input 5 2 4 3 3 3 4" xfId="34326"/>
    <cellStyle name="Input 5 2 4 3 3 3 5" xfId="34327"/>
    <cellStyle name="Input 5 2 4 3 3 3 6" xfId="34328"/>
    <cellStyle name="Input 5 2 4 3 3 4" xfId="34329"/>
    <cellStyle name="Input 5 2 4 3 3 4 2" xfId="34330"/>
    <cellStyle name="Input 5 2 4 3 3 5" xfId="34331"/>
    <cellStyle name="Input 5 2 4 3 3 5 2" xfId="34332"/>
    <cellStyle name="Input 5 2 4 3 3 6" xfId="34333"/>
    <cellStyle name="Input 5 2 4 3 3 7" xfId="34334"/>
    <cellStyle name="Input 5 2 4 3 3 8" xfId="34335"/>
    <cellStyle name="Input 5 2 4 3 4" xfId="34336"/>
    <cellStyle name="Input 5 2 4 3 4 2" xfId="34337"/>
    <cellStyle name="Input 5 2 4 3 4 2 2" xfId="34338"/>
    <cellStyle name="Input 5 2 4 3 4 2 2 2" xfId="34339"/>
    <cellStyle name="Input 5 2 4 3 4 2 3" xfId="34340"/>
    <cellStyle name="Input 5 2 4 3 4 2 3 2" xfId="34341"/>
    <cellStyle name="Input 5 2 4 3 4 2 4" xfId="34342"/>
    <cellStyle name="Input 5 2 4 3 4 2 5" xfId="34343"/>
    <cellStyle name="Input 5 2 4 3 4 2 6" xfId="34344"/>
    <cellStyle name="Input 5 2 4 3 4 3" xfId="34345"/>
    <cellStyle name="Input 5 2 4 3 4 3 2" xfId="34346"/>
    <cellStyle name="Input 5 2 4 3 4 4" xfId="34347"/>
    <cellStyle name="Input 5 2 4 3 4 4 2" xfId="34348"/>
    <cellStyle name="Input 5 2 4 3 4 5" xfId="34349"/>
    <cellStyle name="Input 5 2 4 3 4 6" xfId="34350"/>
    <cellStyle name="Input 5 2 4 3 4 7" xfId="34351"/>
    <cellStyle name="Input 5 2 4 3 5" xfId="34352"/>
    <cellStyle name="Input 5 2 4 3 5 2" xfId="34353"/>
    <cellStyle name="Input 5 2 4 3 5 2 2" xfId="34354"/>
    <cellStyle name="Input 5 2 4 3 5 3" xfId="34355"/>
    <cellStyle name="Input 5 2 4 3 5 3 2" xfId="34356"/>
    <cellStyle name="Input 5 2 4 3 5 4" xfId="34357"/>
    <cellStyle name="Input 5 2 4 3 5 5" xfId="34358"/>
    <cellStyle name="Input 5 2 4 3 5 6" xfId="34359"/>
    <cellStyle name="Input 5 2 4 3 6" xfId="34360"/>
    <cellStyle name="Input 5 2 4 3 6 2" xfId="34361"/>
    <cellStyle name="Input 5 2 4 3 7" xfId="34362"/>
    <cellStyle name="Input 5 2 4 3 7 2" xfId="34363"/>
    <cellStyle name="Input 5 2 4 3 8" xfId="34364"/>
    <cellStyle name="Input 5 2 4 3 9" xfId="34365"/>
    <cellStyle name="Input 5 2 4 4" xfId="34366"/>
    <cellStyle name="Input 5 2 4 4 2" xfId="34367"/>
    <cellStyle name="Input 5 2 4 4 2 2" xfId="34368"/>
    <cellStyle name="Input 5 2 4 4 2 2 2" xfId="34369"/>
    <cellStyle name="Input 5 2 4 4 2 2 2 2" xfId="34370"/>
    <cellStyle name="Input 5 2 4 4 2 2 3" xfId="34371"/>
    <cellStyle name="Input 5 2 4 4 2 2 3 2" xfId="34372"/>
    <cellStyle name="Input 5 2 4 4 2 2 4" xfId="34373"/>
    <cellStyle name="Input 5 2 4 4 2 2 5" xfId="34374"/>
    <cellStyle name="Input 5 2 4 4 2 2 6" xfId="34375"/>
    <cellStyle name="Input 5 2 4 4 2 3" xfId="34376"/>
    <cellStyle name="Input 5 2 4 4 2 3 2" xfId="34377"/>
    <cellStyle name="Input 5 2 4 4 2 4" xfId="34378"/>
    <cellStyle name="Input 5 2 4 4 2 4 2" xfId="34379"/>
    <cellStyle name="Input 5 2 4 4 2 5" xfId="34380"/>
    <cellStyle name="Input 5 2 4 4 2 6" xfId="34381"/>
    <cellStyle name="Input 5 2 4 4 2 7" xfId="34382"/>
    <cellStyle name="Input 5 2 4 4 3" xfId="34383"/>
    <cellStyle name="Input 5 2 4 4 3 2" xfId="34384"/>
    <cellStyle name="Input 5 2 4 4 3 2 2" xfId="34385"/>
    <cellStyle name="Input 5 2 4 4 3 3" xfId="34386"/>
    <cellStyle name="Input 5 2 4 4 3 3 2" xfId="34387"/>
    <cellStyle name="Input 5 2 4 4 3 4" xfId="34388"/>
    <cellStyle name="Input 5 2 4 4 3 5" xfId="34389"/>
    <cellStyle name="Input 5 2 4 4 3 6" xfId="34390"/>
    <cellStyle name="Input 5 2 4 4 4" xfId="34391"/>
    <cellStyle name="Input 5 2 4 4 4 2" xfId="34392"/>
    <cellStyle name="Input 5 2 4 4 5" xfId="34393"/>
    <cellStyle name="Input 5 2 4 4 5 2" xfId="34394"/>
    <cellStyle name="Input 5 2 4 4 6" xfId="34395"/>
    <cellStyle name="Input 5 2 4 4 7" xfId="34396"/>
    <cellStyle name="Input 5 2 4 4 8" xfId="34397"/>
    <cellStyle name="Input 5 2 4 5" xfId="34398"/>
    <cellStyle name="Input 5 2 4 5 2" xfId="34399"/>
    <cellStyle name="Input 5 2 4 5 2 2" xfId="34400"/>
    <cellStyle name="Input 5 2 4 5 2 2 2" xfId="34401"/>
    <cellStyle name="Input 5 2 4 5 2 3" xfId="34402"/>
    <cellStyle name="Input 5 2 4 5 2 3 2" xfId="34403"/>
    <cellStyle name="Input 5 2 4 5 2 4" xfId="34404"/>
    <cellStyle name="Input 5 2 4 5 2 5" xfId="34405"/>
    <cellStyle name="Input 5 2 4 5 2 6" xfId="34406"/>
    <cellStyle name="Input 5 2 4 5 3" xfId="34407"/>
    <cellStyle name="Input 5 2 4 5 3 2" xfId="34408"/>
    <cellStyle name="Input 5 2 4 5 4" xfId="34409"/>
    <cellStyle name="Input 5 2 4 5 4 2" xfId="34410"/>
    <cellStyle name="Input 5 2 4 5 5" xfId="34411"/>
    <cellStyle name="Input 5 2 4 5 6" xfId="34412"/>
    <cellStyle name="Input 5 2 4 5 7" xfId="34413"/>
    <cellStyle name="Input 5 2 4 6" xfId="34414"/>
    <cellStyle name="Input 5 2 4 6 2" xfId="34415"/>
    <cellStyle name="Input 5 2 4 6 2 2" xfId="34416"/>
    <cellStyle name="Input 5 2 4 6 3" xfId="34417"/>
    <cellStyle name="Input 5 2 4 6 3 2" xfId="34418"/>
    <cellStyle name="Input 5 2 4 6 4" xfId="34419"/>
    <cellStyle name="Input 5 2 4 6 5" xfId="34420"/>
    <cellStyle name="Input 5 2 4 6 6" xfId="34421"/>
    <cellStyle name="Input 5 2 4 7" xfId="34422"/>
    <cellStyle name="Input 5 2 4 7 2" xfId="34423"/>
    <cellStyle name="Input 5 2 4 8" xfId="34424"/>
    <cellStyle name="Input 5 2 4 8 2" xfId="34425"/>
    <cellStyle name="Input 5 2 4 9" xfId="34426"/>
    <cellStyle name="Input 5 2 5" xfId="34427"/>
    <cellStyle name="Input 5 2 5 10" xfId="34428"/>
    <cellStyle name="Input 5 2 5 2" xfId="34429"/>
    <cellStyle name="Input 5 2 5 2 2" xfId="34430"/>
    <cellStyle name="Input 5 2 5 2 2 2" xfId="34431"/>
    <cellStyle name="Input 5 2 5 2 2 2 2" xfId="34432"/>
    <cellStyle name="Input 5 2 5 2 2 2 2 2" xfId="34433"/>
    <cellStyle name="Input 5 2 5 2 2 2 3" xfId="34434"/>
    <cellStyle name="Input 5 2 5 2 2 2 3 2" xfId="34435"/>
    <cellStyle name="Input 5 2 5 2 2 2 4" xfId="34436"/>
    <cellStyle name="Input 5 2 5 2 2 2 5" xfId="34437"/>
    <cellStyle name="Input 5 2 5 2 2 2 6" xfId="34438"/>
    <cellStyle name="Input 5 2 5 2 2 3" xfId="34439"/>
    <cellStyle name="Input 5 2 5 2 2 3 2" xfId="34440"/>
    <cellStyle name="Input 5 2 5 2 2 4" xfId="34441"/>
    <cellStyle name="Input 5 2 5 2 2 4 2" xfId="34442"/>
    <cellStyle name="Input 5 2 5 2 2 5" xfId="34443"/>
    <cellStyle name="Input 5 2 5 2 2 6" xfId="34444"/>
    <cellStyle name="Input 5 2 5 2 2 7" xfId="34445"/>
    <cellStyle name="Input 5 2 5 2 3" xfId="34446"/>
    <cellStyle name="Input 5 2 5 2 3 2" xfId="34447"/>
    <cellStyle name="Input 5 2 5 2 3 2 2" xfId="34448"/>
    <cellStyle name="Input 5 2 5 2 3 3" xfId="34449"/>
    <cellStyle name="Input 5 2 5 2 3 3 2" xfId="34450"/>
    <cellStyle name="Input 5 2 5 2 3 4" xfId="34451"/>
    <cellStyle name="Input 5 2 5 2 3 5" xfId="34452"/>
    <cellStyle name="Input 5 2 5 2 3 6" xfId="34453"/>
    <cellStyle name="Input 5 2 5 2 4" xfId="34454"/>
    <cellStyle name="Input 5 2 5 2 4 2" xfId="34455"/>
    <cellStyle name="Input 5 2 5 2 5" xfId="34456"/>
    <cellStyle name="Input 5 2 5 2 5 2" xfId="34457"/>
    <cellStyle name="Input 5 2 5 2 6" xfId="34458"/>
    <cellStyle name="Input 5 2 5 2 7" xfId="34459"/>
    <cellStyle name="Input 5 2 5 2 8" xfId="34460"/>
    <cellStyle name="Input 5 2 5 3" xfId="34461"/>
    <cellStyle name="Input 5 2 5 3 2" xfId="34462"/>
    <cellStyle name="Input 5 2 5 3 2 2" xfId="34463"/>
    <cellStyle name="Input 5 2 5 3 2 2 2" xfId="34464"/>
    <cellStyle name="Input 5 2 5 3 2 2 2 2" xfId="34465"/>
    <cellStyle name="Input 5 2 5 3 2 2 3" xfId="34466"/>
    <cellStyle name="Input 5 2 5 3 2 2 3 2" xfId="34467"/>
    <cellStyle name="Input 5 2 5 3 2 2 4" xfId="34468"/>
    <cellStyle name="Input 5 2 5 3 2 2 5" xfId="34469"/>
    <cellStyle name="Input 5 2 5 3 2 2 6" xfId="34470"/>
    <cellStyle name="Input 5 2 5 3 2 3" xfId="34471"/>
    <cellStyle name="Input 5 2 5 3 2 3 2" xfId="34472"/>
    <cellStyle name="Input 5 2 5 3 2 4" xfId="34473"/>
    <cellStyle name="Input 5 2 5 3 2 4 2" xfId="34474"/>
    <cellStyle name="Input 5 2 5 3 2 5" xfId="34475"/>
    <cellStyle name="Input 5 2 5 3 2 6" xfId="34476"/>
    <cellStyle name="Input 5 2 5 3 2 7" xfId="34477"/>
    <cellStyle name="Input 5 2 5 3 3" xfId="34478"/>
    <cellStyle name="Input 5 2 5 3 3 2" xfId="34479"/>
    <cellStyle name="Input 5 2 5 3 3 2 2" xfId="34480"/>
    <cellStyle name="Input 5 2 5 3 3 3" xfId="34481"/>
    <cellStyle name="Input 5 2 5 3 3 3 2" xfId="34482"/>
    <cellStyle name="Input 5 2 5 3 3 4" xfId="34483"/>
    <cellStyle name="Input 5 2 5 3 3 5" xfId="34484"/>
    <cellStyle name="Input 5 2 5 3 3 6" xfId="34485"/>
    <cellStyle name="Input 5 2 5 3 4" xfId="34486"/>
    <cellStyle name="Input 5 2 5 3 4 2" xfId="34487"/>
    <cellStyle name="Input 5 2 5 3 5" xfId="34488"/>
    <cellStyle name="Input 5 2 5 3 5 2" xfId="34489"/>
    <cellStyle name="Input 5 2 5 3 6" xfId="34490"/>
    <cellStyle name="Input 5 2 5 3 7" xfId="34491"/>
    <cellStyle name="Input 5 2 5 3 8" xfId="34492"/>
    <cellStyle name="Input 5 2 5 4" xfId="34493"/>
    <cellStyle name="Input 5 2 5 4 2" xfId="34494"/>
    <cellStyle name="Input 5 2 5 4 2 2" xfId="34495"/>
    <cellStyle name="Input 5 2 5 4 2 2 2" xfId="34496"/>
    <cellStyle name="Input 5 2 5 4 2 3" xfId="34497"/>
    <cellStyle name="Input 5 2 5 4 2 3 2" xfId="34498"/>
    <cellStyle name="Input 5 2 5 4 2 4" xfId="34499"/>
    <cellStyle name="Input 5 2 5 4 2 5" xfId="34500"/>
    <cellStyle name="Input 5 2 5 4 2 6" xfId="34501"/>
    <cellStyle name="Input 5 2 5 4 3" xfId="34502"/>
    <cellStyle name="Input 5 2 5 4 3 2" xfId="34503"/>
    <cellStyle name="Input 5 2 5 4 4" xfId="34504"/>
    <cellStyle name="Input 5 2 5 4 4 2" xfId="34505"/>
    <cellStyle name="Input 5 2 5 4 5" xfId="34506"/>
    <cellStyle name="Input 5 2 5 4 6" xfId="34507"/>
    <cellStyle name="Input 5 2 5 4 7" xfId="34508"/>
    <cellStyle name="Input 5 2 5 5" xfId="34509"/>
    <cellStyle name="Input 5 2 5 5 2" xfId="34510"/>
    <cellStyle name="Input 5 2 5 5 2 2" xfId="34511"/>
    <cellStyle name="Input 5 2 5 5 3" xfId="34512"/>
    <cellStyle name="Input 5 2 5 5 3 2" xfId="34513"/>
    <cellStyle name="Input 5 2 5 5 4" xfId="34514"/>
    <cellStyle name="Input 5 2 5 5 5" xfId="34515"/>
    <cellStyle name="Input 5 2 5 5 6" xfId="34516"/>
    <cellStyle name="Input 5 2 5 6" xfId="34517"/>
    <cellStyle name="Input 5 2 5 6 2" xfId="34518"/>
    <cellStyle name="Input 5 2 5 7" xfId="34519"/>
    <cellStyle name="Input 5 2 5 7 2" xfId="34520"/>
    <cellStyle name="Input 5 2 5 8" xfId="34521"/>
    <cellStyle name="Input 5 2 5 9" xfId="34522"/>
    <cellStyle name="Input 5 2 6" xfId="34523"/>
    <cellStyle name="Input 5 2 6 2" xfId="34524"/>
    <cellStyle name="Input 5 2 6 2 2" xfId="34525"/>
    <cellStyle name="Input 5 2 6 2 2 2" xfId="34526"/>
    <cellStyle name="Input 5 2 6 2 2 2 2" xfId="34527"/>
    <cellStyle name="Input 5 2 6 2 2 3" xfId="34528"/>
    <cellStyle name="Input 5 2 6 2 2 3 2" xfId="34529"/>
    <cellStyle name="Input 5 2 6 2 2 4" xfId="34530"/>
    <cellStyle name="Input 5 2 6 2 2 5" xfId="34531"/>
    <cellStyle name="Input 5 2 6 2 2 6" xfId="34532"/>
    <cellStyle name="Input 5 2 6 2 3" xfId="34533"/>
    <cellStyle name="Input 5 2 6 2 3 2" xfId="34534"/>
    <cellStyle name="Input 5 2 6 2 4" xfId="34535"/>
    <cellStyle name="Input 5 2 6 2 4 2" xfId="34536"/>
    <cellStyle name="Input 5 2 6 2 5" xfId="34537"/>
    <cellStyle name="Input 5 2 6 2 6" xfId="34538"/>
    <cellStyle name="Input 5 2 6 2 7" xfId="34539"/>
    <cellStyle name="Input 5 2 6 3" xfId="34540"/>
    <cellStyle name="Input 5 2 6 3 2" xfId="34541"/>
    <cellStyle name="Input 5 2 6 3 2 2" xfId="34542"/>
    <cellStyle name="Input 5 2 6 3 3" xfId="34543"/>
    <cellStyle name="Input 5 2 6 3 3 2" xfId="34544"/>
    <cellStyle name="Input 5 2 6 3 4" xfId="34545"/>
    <cellStyle name="Input 5 2 6 3 5" xfId="34546"/>
    <cellStyle name="Input 5 2 6 3 6" xfId="34547"/>
    <cellStyle name="Input 5 2 6 4" xfId="34548"/>
    <cellStyle name="Input 5 2 6 4 2" xfId="34549"/>
    <cellStyle name="Input 5 2 6 5" xfId="34550"/>
    <cellStyle name="Input 5 2 6 5 2" xfId="34551"/>
    <cellStyle name="Input 5 2 6 6" xfId="34552"/>
    <cellStyle name="Input 5 2 6 7" xfId="34553"/>
    <cellStyle name="Input 5 2 6 8" xfId="34554"/>
    <cellStyle name="Input 5 2 7" xfId="34555"/>
    <cellStyle name="Input 5 2 7 2" xfId="34556"/>
    <cellStyle name="Input 5 2 7 2 2" xfId="34557"/>
    <cellStyle name="Input 5 2 7 2 2 2" xfId="34558"/>
    <cellStyle name="Input 5 2 7 2 3" xfId="34559"/>
    <cellStyle name="Input 5 2 7 2 3 2" xfId="34560"/>
    <cellStyle name="Input 5 2 7 2 4" xfId="34561"/>
    <cellStyle name="Input 5 2 7 2 5" xfId="34562"/>
    <cellStyle name="Input 5 2 7 2 6" xfId="34563"/>
    <cellStyle name="Input 5 2 7 3" xfId="34564"/>
    <cellStyle name="Input 5 2 7 3 2" xfId="34565"/>
    <cellStyle name="Input 5 2 7 4" xfId="34566"/>
    <cellStyle name="Input 5 2 7 4 2" xfId="34567"/>
    <cellStyle name="Input 5 2 7 5" xfId="34568"/>
    <cellStyle name="Input 5 2 7 6" xfId="34569"/>
    <cellStyle name="Input 5 2 7 7" xfId="34570"/>
    <cellStyle name="Input 5 2 8" xfId="34571"/>
    <cellStyle name="Input 5 2 8 2" xfId="34572"/>
    <cellStyle name="Input 5 2 9" xfId="34573"/>
    <cellStyle name="Input 5 2 9 2" xfId="34574"/>
    <cellStyle name="Input 5 3" xfId="34575"/>
    <cellStyle name="Input 5 3 10" xfId="34576"/>
    <cellStyle name="Input 5 3 11" xfId="34577"/>
    <cellStyle name="Input 5 3 12" xfId="34578"/>
    <cellStyle name="Input 5 3 2" xfId="34579"/>
    <cellStyle name="Input 5 3 2 10" xfId="34580"/>
    <cellStyle name="Input 5 3 2 11" xfId="34581"/>
    <cellStyle name="Input 5 3 2 2" xfId="34582"/>
    <cellStyle name="Input 5 3 2 2 10" xfId="34583"/>
    <cellStyle name="Input 5 3 2 2 2" xfId="34584"/>
    <cellStyle name="Input 5 3 2 2 2 2" xfId="34585"/>
    <cellStyle name="Input 5 3 2 2 2 2 2" xfId="34586"/>
    <cellStyle name="Input 5 3 2 2 2 2 2 2" xfId="34587"/>
    <cellStyle name="Input 5 3 2 2 2 2 2 2 2" xfId="34588"/>
    <cellStyle name="Input 5 3 2 2 2 2 2 3" xfId="34589"/>
    <cellStyle name="Input 5 3 2 2 2 2 2 3 2" xfId="34590"/>
    <cellStyle name="Input 5 3 2 2 2 2 2 4" xfId="34591"/>
    <cellStyle name="Input 5 3 2 2 2 2 2 5" xfId="34592"/>
    <cellStyle name="Input 5 3 2 2 2 2 2 6" xfId="34593"/>
    <cellStyle name="Input 5 3 2 2 2 2 3" xfId="34594"/>
    <cellStyle name="Input 5 3 2 2 2 2 3 2" xfId="34595"/>
    <cellStyle name="Input 5 3 2 2 2 2 4" xfId="34596"/>
    <cellStyle name="Input 5 3 2 2 2 2 4 2" xfId="34597"/>
    <cellStyle name="Input 5 3 2 2 2 2 5" xfId="34598"/>
    <cellStyle name="Input 5 3 2 2 2 2 6" xfId="34599"/>
    <cellStyle name="Input 5 3 2 2 2 2 7" xfId="34600"/>
    <cellStyle name="Input 5 3 2 2 2 3" xfId="34601"/>
    <cellStyle name="Input 5 3 2 2 2 3 2" xfId="34602"/>
    <cellStyle name="Input 5 3 2 2 2 3 2 2" xfId="34603"/>
    <cellStyle name="Input 5 3 2 2 2 3 3" xfId="34604"/>
    <cellStyle name="Input 5 3 2 2 2 3 3 2" xfId="34605"/>
    <cellStyle name="Input 5 3 2 2 2 3 4" xfId="34606"/>
    <cellStyle name="Input 5 3 2 2 2 3 5" xfId="34607"/>
    <cellStyle name="Input 5 3 2 2 2 3 6" xfId="34608"/>
    <cellStyle name="Input 5 3 2 2 2 4" xfId="34609"/>
    <cellStyle name="Input 5 3 2 2 2 4 2" xfId="34610"/>
    <cellStyle name="Input 5 3 2 2 2 5" xfId="34611"/>
    <cellStyle name="Input 5 3 2 2 2 5 2" xfId="34612"/>
    <cellStyle name="Input 5 3 2 2 2 6" xfId="34613"/>
    <cellStyle name="Input 5 3 2 2 2 7" xfId="34614"/>
    <cellStyle name="Input 5 3 2 2 2 8" xfId="34615"/>
    <cellStyle name="Input 5 3 2 2 3" xfId="34616"/>
    <cellStyle name="Input 5 3 2 2 3 2" xfId="34617"/>
    <cellStyle name="Input 5 3 2 2 3 2 2" xfId="34618"/>
    <cellStyle name="Input 5 3 2 2 3 2 2 2" xfId="34619"/>
    <cellStyle name="Input 5 3 2 2 3 2 2 2 2" xfId="34620"/>
    <cellStyle name="Input 5 3 2 2 3 2 2 3" xfId="34621"/>
    <cellStyle name="Input 5 3 2 2 3 2 2 3 2" xfId="34622"/>
    <cellStyle name="Input 5 3 2 2 3 2 2 4" xfId="34623"/>
    <cellStyle name="Input 5 3 2 2 3 2 2 5" xfId="34624"/>
    <cellStyle name="Input 5 3 2 2 3 2 2 6" xfId="34625"/>
    <cellStyle name="Input 5 3 2 2 3 2 3" xfId="34626"/>
    <cellStyle name="Input 5 3 2 2 3 2 3 2" xfId="34627"/>
    <cellStyle name="Input 5 3 2 2 3 2 4" xfId="34628"/>
    <cellStyle name="Input 5 3 2 2 3 2 4 2" xfId="34629"/>
    <cellStyle name="Input 5 3 2 2 3 2 5" xfId="34630"/>
    <cellStyle name="Input 5 3 2 2 3 2 6" xfId="34631"/>
    <cellStyle name="Input 5 3 2 2 3 2 7" xfId="34632"/>
    <cellStyle name="Input 5 3 2 2 3 3" xfId="34633"/>
    <cellStyle name="Input 5 3 2 2 3 3 2" xfId="34634"/>
    <cellStyle name="Input 5 3 2 2 3 3 2 2" xfId="34635"/>
    <cellStyle name="Input 5 3 2 2 3 3 3" xfId="34636"/>
    <cellStyle name="Input 5 3 2 2 3 3 3 2" xfId="34637"/>
    <cellStyle name="Input 5 3 2 2 3 3 4" xfId="34638"/>
    <cellStyle name="Input 5 3 2 2 3 3 5" xfId="34639"/>
    <cellStyle name="Input 5 3 2 2 3 3 6" xfId="34640"/>
    <cellStyle name="Input 5 3 2 2 3 4" xfId="34641"/>
    <cellStyle name="Input 5 3 2 2 3 4 2" xfId="34642"/>
    <cellStyle name="Input 5 3 2 2 3 5" xfId="34643"/>
    <cellStyle name="Input 5 3 2 2 3 5 2" xfId="34644"/>
    <cellStyle name="Input 5 3 2 2 3 6" xfId="34645"/>
    <cellStyle name="Input 5 3 2 2 3 7" xfId="34646"/>
    <cellStyle name="Input 5 3 2 2 3 8" xfId="34647"/>
    <cellStyle name="Input 5 3 2 2 4" xfId="34648"/>
    <cellStyle name="Input 5 3 2 2 4 2" xfId="34649"/>
    <cellStyle name="Input 5 3 2 2 4 2 2" xfId="34650"/>
    <cellStyle name="Input 5 3 2 2 4 2 2 2" xfId="34651"/>
    <cellStyle name="Input 5 3 2 2 4 2 3" xfId="34652"/>
    <cellStyle name="Input 5 3 2 2 4 2 3 2" xfId="34653"/>
    <cellStyle name="Input 5 3 2 2 4 2 4" xfId="34654"/>
    <cellStyle name="Input 5 3 2 2 4 2 5" xfId="34655"/>
    <cellStyle name="Input 5 3 2 2 4 2 6" xfId="34656"/>
    <cellStyle name="Input 5 3 2 2 4 3" xfId="34657"/>
    <cellStyle name="Input 5 3 2 2 4 3 2" xfId="34658"/>
    <cellStyle name="Input 5 3 2 2 4 4" xfId="34659"/>
    <cellStyle name="Input 5 3 2 2 4 4 2" xfId="34660"/>
    <cellStyle name="Input 5 3 2 2 4 5" xfId="34661"/>
    <cellStyle name="Input 5 3 2 2 4 6" xfId="34662"/>
    <cellStyle name="Input 5 3 2 2 4 7" xfId="34663"/>
    <cellStyle name="Input 5 3 2 2 5" xfId="34664"/>
    <cellStyle name="Input 5 3 2 2 5 2" xfId="34665"/>
    <cellStyle name="Input 5 3 2 2 5 2 2" xfId="34666"/>
    <cellStyle name="Input 5 3 2 2 5 3" xfId="34667"/>
    <cellStyle name="Input 5 3 2 2 5 3 2" xfId="34668"/>
    <cellStyle name="Input 5 3 2 2 5 4" xfId="34669"/>
    <cellStyle name="Input 5 3 2 2 5 5" xfId="34670"/>
    <cellStyle name="Input 5 3 2 2 5 6" xfId="34671"/>
    <cellStyle name="Input 5 3 2 2 6" xfId="34672"/>
    <cellStyle name="Input 5 3 2 2 6 2" xfId="34673"/>
    <cellStyle name="Input 5 3 2 2 7" xfId="34674"/>
    <cellStyle name="Input 5 3 2 2 7 2" xfId="34675"/>
    <cellStyle name="Input 5 3 2 2 8" xfId="34676"/>
    <cellStyle name="Input 5 3 2 2 9" xfId="34677"/>
    <cellStyle name="Input 5 3 2 3" xfId="34678"/>
    <cellStyle name="Input 5 3 2 3 2" xfId="34679"/>
    <cellStyle name="Input 5 3 2 3 2 2" xfId="34680"/>
    <cellStyle name="Input 5 3 2 3 2 2 2" xfId="34681"/>
    <cellStyle name="Input 5 3 2 3 2 2 2 2" xfId="34682"/>
    <cellStyle name="Input 5 3 2 3 2 2 3" xfId="34683"/>
    <cellStyle name="Input 5 3 2 3 2 2 3 2" xfId="34684"/>
    <cellStyle name="Input 5 3 2 3 2 2 4" xfId="34685"/>
    <cellStyle name="Input 5 3 2 3 2 2 5" xfId="34686"/>
    <cellStyle name="Input 5 3 2 3 2 2 6" xfId="34687"/>
    <cellStyle name="Input 5 3 2 3 2 3" xfId="34688"/>
    <cellStyle name="Input 5 3 2 3 2 3 2" xfId="34689"/>
    <cellStyle name="Input 5 3 2 3 2 4" xfId="34690"/>
    <cellStyle name="Input 5 3 2 3 2 4 2" xfId="34691"/>
    <cellStyle name="Input 5 3 2 3 2 5" xfId="34692"/>
    <cellStyle name="Input 5 3 2 3 2 6" xfId="34693"/>
    <cellStyle name="Input 5 3 2 3 2 7" xfId="34694"/>
    <cellStyle name="Input 5 3 2 3 3" xfId="34695"/>
    <cellStyle name="Input 5 3 2 3 3 2" xfId="34696"/>
    <cellStyle name="Input 5 3 2 3 3 2 2" xfId="34697"/>
    <cellStyle name="Input 5 3 2 3 3 3" xfId="34698"/>
    <cellStyle name="Input 5 3 2 3 3 3 2" xfId="34699"/>
    <cellStyle name="Input 5 3 2 3 3 4" xfId="34700"/>
    <cellStyle name="Input 5 3 2 3 3 5" xfId="34701"/>
    <cellStyle name="Input 5 3 2 3 3 6" xfId="34702"/>
    <cellStyle name="Input 5 3 2 3 4" xfId="34703"/>
    <cellStyle name="Input 5 3 2 3 4 2" xfId="34704"/>
    <cellStyle name="Input 5 3 2 3 5" xfId="34705"/>
    <cellStyle name="Input 5 3 2 3 5 2" xfId="34706"/>
    <cellStyle name="Input 5 3 2 3 6" xfId="34707"/>
    <cellStyle name="Input 5 3 2 3 7" xfId="34708"/>
    <cellStyle name="Input 5 3 2 3 8" xfId="34709"/>
    <cellStyle name="Input 5 3 2 4" xfId="34710"/>
    <cellStyle name="Input 5 3 2 4 2" xfId="34711"/>
    <cellStyle name="Input 5 3 2 4 2 2" xfId="34712"/>
    <cellStyle name="Input 5 3 2 4 2 2 2" xfId="34713"/>
    <cellStyle name="Input 5 3 2 4 2 2 2 2" xfId="34714"/>
    <cellStyle name="Input 5 3 2 4 2 2 3" xfId="34715"/>
    <cellStyle name="Input 5 3 2 4 2 2 3 2" xfId="34716"/>
    <cellStyle name="Input 5 3 2 4 2 2 4" xfId="34717"/>
    <cellStyle name="Input 5 3 2 4 2 2 5" xfId="34718"/>
    <cellStyle name="Input 5 3 2 4 2 2 6" xfId="34719"/>
    <cellStyle name="Input 5 3 2 4 2 3" xfId="34720"/>
    <cellStyle name="Input 5 3 2 4 2 3 2" xfId="34721"/>
    <cellStyle name="Input 5 3 2 4 2 4" xfId="34722"/>
    <cellStyle name="Input 5 3 2 4 2 4 2" xfId="34723"/>
    <cellStyle name="Input 5 3 2 4 2 5" xfId="34724"/>
    <cellStyle name="Input 5 3 2 4 2 6" xfId="34725"/>
    <cellStyle name="Input 5 3 2 4 2 7" xfId="34726"/>
    <cellStyle name="Input 5 3 2 4 3" xfId="34727"/>
    <cellStyle name="Input 5 3 2 4 3 2" xfId="34728"/>
    <cellStyle name="Input 5 3 2 4 3 2 2" xfId="34729"/>
    <cellStyle name="Input 5 3 2 4 3 3" xfId="34730"/>
    <cellStyle name="Input 5 3 2 4 3 3 2" xfId="34731"/>
    <cellStyle name="Input 5 3 2 4 3 4" xfId="34732"/>
    <cellStyle name="Input 5 3 2 4 3 5" xfId="34733"/>
    <cellStyle name="Input 5 3 2 4 3 6" xfId="34734"/>
    <cellStyle name="Input 5 3 2 4 4" xfId="34735"/>
    <cellStyle name="Input 5 3 2 4 4 2" xfId="34736"/>
    <cellStyle name="Input 5 3 2 4 5" xfId="34737"/>
    <cellStyle name="Input 5 3 2 4 5 2" xfId="34738"/>
    <cellStyle name="Input 5 3 2 4 6" xfId="34739"/>
    <cellStyle name="Input 5 3 2 4 7" xfId="34740"/>
    <cellStyle name="Input 5 3 2 4 8" xfId="34741"/>
    <cellStyle name="Input 5 3 2 5" xfId="34742"/>
    <cellStyle name="Input 5 3 2 5 2" xfId="34743"/>
    <cellStyle name="Input 5 3 2 5 2 2" xfId="34744"/>
    <cellStyle name="Input 5 3 2 5 2 2 2" xfId="34745"/>
    <cellStyle name="Input 5 3 2 5 2 3" xfId="34746"/>
    <cellStyle name="Input 5 3 2 5 2 3 2" xfId="34747"/>
    <cellStyle name="Input 5 3 2 5 2 4" xfId="34748"/>
    <cellStyle name="Input 5 3 2 5 2 5" xfId="34749"/>
    <cellStyle name="Input 5 3 2 5 2 6" xfId="34750"/>
    <cellStyle name="Input 5 3 2 5 3" xfId="34751"/>
    <cellStyle name="Input 5 3 2 5 3 2" xfId="34752"/>
    <cellStyle name="Input 5 3 2 5 4" xfId="34753"/>
    <cellStyle name="Input 5 3 2 5 4 2" xfId="34754"/>
    <cellStyle name="Input 5 3 2 5 5" xfId="34755"/>
    <cellStyle name="Input 5 3 2 5 6" xfId="34756"/>
    <cellStyle name="Input 5 3 2 5 7" xfId="34757"/>
    <cellStyle name="Input 5 3 2 6" xfId="34758"/>
    <cellStyle name="Input 5 3 2 6 2" xfId="34759"/>
    <cellStyle name="Input 5 3 2 6 2 2" xfId="34760"/>
    <cellStyle name="Input 5 3 2 6 3" xfId="34761"/>
    <cellStyle name="Input 5 3 2 6 3 2" xfId="34762"/>
    <cellStyle name="Input 5 3 2 6 4" xfId="34763"/>
    <cellStyle name="Input 5 3 2 6 5" xfId="34764"/>
    <cellStyle name="Input 5 3 2 6 6" xfId="34765"/>
    <cellStyle name="Input 5 3 2 7" xfId="34766"/>
    <cellStyle name="Input 5 3 2 7 2" xfId="34767"/>
    <cellStyle name="Input 5 3 2 8" xfId="34768"/>
    <cellStyle name="Input 5 3 2 8 2" xfId="34769"/>
    <cellStyle name="Input 5 3 2 9" xfId="34770"/>
    <cellStyle name="Input 5 3 3" xfId="34771"/>
    <cellStyle name="Input 5 3 3 10" xfId="34772"/>
    <cellStyle name="Input 5 3 3 2" xfId="34773"/>
    <cellStyle name="Input 5 3 3 2 10" xfId="34774"/>
    <cellStyle name="Input 5 3 3 2 2" xfId="34775"/>
    <cellStyle name="Input 5 3 3 2 2 2" xfId="34776"/>
    <cellStyle name="Input 5 3 3 2 2 2 2" xfId="34777"/>
    <cellStyle name="Input 5 3 3 2 2 2 2 2" xfId="34778"/>
    <cellStyle name="Input 5 3 3 2 2 2 2 2 2" xfId="34779"/>
    <cellStyle name="Input 5 3 3 2 2 2 2 3" xfId="34780"/>
    <cellStyle name="Input 5 3 3 2 2 2 2 3 2" xfId="34781"/>
    <cellStyle name="Input 5 3 3 2 2 2 2 4" xfId="34782"/>
    <cellStyle name="Input 5 3 3 2 2 2 2 5" xfId="34783"/>
    <cellStyle name="Input 5 3 3 2 2 2 2 6" xfId="34784"/>
    <cellStyle name="Input 5 3 3 2 2 2 3" xfId="34785"/>
    <cellStyle name="Input 5 3 3 2 2 2 3 2" xfId="34786"/>
    <cellStyle name="Input 5 3 3 2 2 2 4" xfId="34787"/>
    <cellStyle name="Input 5 3 3 2 2 2 4 2" xfId="34788"/>
    <cellStyle name="Input 5 3 3 2 2 2 5" xfId="34789"/>
    <cellStyle name="Input 5 3 3 2 2 2 6" xfId="34790"/>
    <cellStyle name="Input 5 3 3 2 2 2 7" xfId="34791"/>
    <cellStyle name="Input 5 3 3 2 2 3" xfId="34792"/>
    <cellStyle name="Input 5 3 3 2 2 3 2" xfId="34793"/>
    <cellStyle name="Input 5 3 3 2 2 3 2 2" xfId="34794"/>
    <cellStyle name="Input 5 3 3 2 2 3 3" xfId="34795"/>
    <cellStyle name="Input 5 3 3 2 2 3 3 2" xfId="34796"/>
    <cellStyle name="Input 5 3 3 2 2 3 4" xfId="34797"/>
    <cellStyle name="Input 5 3 3 2 2 3 5" xfId="34798"/>
    <cellStyle name="Input 5 3 3 2 2 3 6" xfId="34799"/>
    <cellStyle name="Input 5 3 3 2 2 4" xfId="34800"/>
    <cellStyle name="Input 5 3 3 2 2 4 2" xfId="34801"/>
    <cellStyle name="Input 5 3 3 2 2 5" xfId="34802"/>
    <cellStyle name="Input 5 3 3 2 2 5 2" xfId="34803"/>
    <cellStyle name="Input 5 3 3 2 2 6" xfId="34804"/>
    <cellStyle name="Input 5 3 3 2 2 7" xfId="34805"/>
    <cellStyle name="Input 5 3 3 2 2 8" xfId="34806"/>
    <cellStyle name="Input 5 3 3 2 3" xfId="34807"/>
    <cellStyle name="Input 5 3 3 2 3 2" xfId="34808"/>
    <cellStyle name="Input 5 3 3 2 3 2 2" xfId="34809"/>
    <cellStyle name="Input 5 3 3 2 3 2 2 2" xfId="34810"/>
    <cellStyle name="Input 5 3 3 2 3 2 2 2 2" xfId="34811"/>
    <cellStyle name="Input 5 3 3 2 3 2 2 3" xfId="34812"/>
    <cellStyle name="Input 5 3 3 2 3 2 2 3 2" xfId="34813"/>
    <cellStyle name="Input 5 3 3 2 3 2 2 4" xfId="34814"/>
    <cellStyle name="Input 5 3 3 2 3 2 2 5" xfId="34815"/>
    <cellStyle name="Input 5 3 3 2 3 2 2 6" xfId="34816"/>
    <cellStyle name="Input 5 3 3 2 3 2 3" xfId="34817"/>
    <cellStyle name="Input 5 3 3 2 3 2 3 2" xfId="34818"/>
    <cellStyle name="Input 5 3 3 2 3 2 4" xfId="34819"/>
    <cellStyle name="Input 5 3 3 2 3 2 4 2" xfId="34820"/>
    <cellStyle name="Input 5 3 3 2 3 2 5" xfId="34821"/>
    <cellStyle name="Input 5 3 3 2 3 2 6" xfId="34822"/>
    <cellStyle name="Input 5 3 3 2 3 2 7" xfId="34823"/>
    <cellStyle name="Input 5 3 3 2 3 3" xfId="34824"/>
    <cellStyle name="Input 5 3 3 2 3 3 2" xfId="34825"/>
    <cellStyle name="Input 5 3 3 2 3 3 2 2" xfId="34826"/>
    <cellStyle name="Input 5 3 3 2 3 3 3" xfId="34827"/>
    <cellStyle name="Input 5 3 3 2 3 3 3 2" xfId="34828"/>
    <cellStyle name="Input 5 3 3 2 3 3 4" xfId="34829"/>
    <cellStyle name="Input 5 3 3 2 3 3 5" xfId="34830"/>
    <cellStyle name="Input 5 3 3 2 3 3 6" xfId="34831"/>
    <cellStyle name="Input 5 3 3 2 3 4" xfId="34832"/>
    <cellStyle name="Input 5 3 3 2 3 4 2" xfId="34833"/>
    <cellStyle name="Input 5 3 3 2 3 5" xfId="34834"/>
    <cellStyle name="Input 5 3 3 2 3 5 2" xfId="34835"/>
    <cellStyle name="Input 5 3 3 2 3 6" xfId="34836"/>
    <cellStyle name="Input 5 3 3 2 3 7" xfId="34837"/>
    <cellStyle name="Input 5 3 3 2 3 8" xfId="34838"/>
    <cellStyle name="Input 5 3 3 2 4" xfId="34839"/>
    <cellStyle name="Input 5 3 3 2 4 2" xfId="34840"/>
    <cellStyle name="Input 5 3 3 2 4 2 2" xfId="34841"/>
    <cellStyle name="Input 5 3 3 2 4 2 2 2" xfId="34842"/>
    <cellStyle name="Input 5 3 3 2 4 2 3" xfId="34843"/>
    <cellStyle name="Input 5 3 3 2 4 2 3 2" xfId="34844"/>
    <cellStyle name="Input 5 3 3 2 4 2 4" xfId="34845"/>
    <cellStyle name="Input 5 3 3 2 4 2 5" xfId="34846"/>
    <cellStyle name="Input 5 3 3 2 4 2 6" xfId="34847"/>
    <cellStyle name="Input 5 3 3 2 4 3" xfId="34848"/>
    <cellStyle name="Input 5 3 3 2 4 3 2" xfId="34849"/>
    <cellStyle name="Input 5 3 3 2 4 4" xfId="34850"/>
    <cellStyle name="Input 5 3 3 2 4 4 2" xfId="34851"/>
    <cellStyle name="Input 5 3 3 2 4 5" xfId="34852"/>
    <cellStyle name="Input 5 3 3 2 4 6" xfId="34853"/>
    <cellStyle name="Input 5 3 3 2 4 7" xfId="34854"/>
    <cellStyle name="Input 5 3 3 2 5" xfId="34855"/>
    <cellStyle name="Input 5 3 3 2 5 2" xfId="34856"/>
    <cellStyle name="Input 5 3 3 2 5 2 2" xfId="34857"/>
    <cellStyle name="Input 5 3 3 2 5 3" xfId="34858"/>
    <cellStyle name="Input 5 3 3 2 5 3 2" xfId="34859"/>
    <cellStyle name="Input 5 3 3 2 5 4" xfId="34860"/>
    <cellStyle name="Input 5 3 3 2 5 5" xfId="34861"/>
    <cellStyle name="Input 5 3 3 2 5 6" xfId="34862"/>
    <cellStyle name="Input 5 3 3 2 6" xfId="34863"/>
    <cellStyle name="Input 5 3 3 2 6 2" xfId="34864"/>
    <cellStyle name="Input 5 3 3 2 7" xfId="34865"/>
    <cellStyle name="Input 5 3 3 2 7 2" xfId="34866"/>
    <cellStyle name="Input 5 3 3 2 8" xfId="34867"/>
    <cellStyle name="Input 5 3 3 2 9" xfId="34868"/>
    <cellStyle name="Input 5 3 3 3" xfId="34869"/>
    <cellStyle name="Input 5 3 3 3 2" xfId="34870"/>
    <cellStyle name="Input 5 3 3 3 2 2" xfId="34871"/>
    <cellStyle name="Input 5 3 3 3 2 2 2" xfId="34872"/>
    <cellStyle name="Input 5 3 3 3 2 2 2 2" xfId="34873"/>
    <cellStyle name="Input 5 3 3 3 2 2 3" xfId="34874"/>
    <cellStyle name="Input 5 3 3 3 2 2 3 2" xfId="34875"/>
    <cellStyle name="Input 5 3 3 3 2 2 4" xfId="34876"/>
    <cellStyle name="Input 5 3 3 3 2 2 5" xfId="34877"/>
    <cellStyle name="Input 5 3 3 3 2 2 6" xfId="34878"/>
    <cellStyle name="Input 5 3 3 3 2 3" xfId="34879"/>
    <cellStyle name="Input 5 3 3 3 2 3 2" xfId="34880"/>
    <cellStyle name="Input 5 3 3 3 2 4" xfId="34881"/>
    <cellStyle name="Input 5 3 3 3 2 4 2" xfId="34882"/>
    <cellStyle name="Input 5 3 3 3 2 5" xfId="34883"/>
    <cellStyle name="Input 5 3 3 3 2 6" xfId="34884"/>
    <cellStyle name="Input 5 3 3 3 2 7" xfId="34885"/>
    <cellStyle name="Input 5 3 3 3 3" xfId="34886"/>
    <cellStyle name="Input 5 3 3 3 3 2" xfId="34887"/>
    <cellStyle name="Input 5 3 3 3 3 2 2" xfId="34888"/>
    <cellStyle name="Input 5 3 3 3 3 3" xfId="34889"/>
    <cellStyle name="Input 5 3 3 3 3 3 2" xfId="34890"/>
    <cellStyle name="Input 5 3 3 3 3 4" xfId="34891"/>
    <cellStyle name="Input 5 3 3 3 3 5" xfId="34892"/>
    <cellStyle name="Input 5 3 3 3 3 6" xfId="34893"/>
    <cellStyle name="Input 5 3 3 3 4" xfId="34894"/>
    <cellStyle name="Input 5 3 3 3 4 2" xfId="34895"/>
    <cellStyle name="Input 5 3 3 3 5" xfId="34896"/>
    <cellStyle name="Input 5 3 3 3 5 2" xfId="34897"/>
    <cellStyle name="Input 5 3 3 3 6" xfId="34898"/>
    <cellStyle name="Input 5 3 3 3 7" xfId="34899"/>
    <cellStyle name="Input 5 3 3 3 8" xfId="34900"/>
    <cellStyle name="Input 5 3 3 4" xfId="34901"/>
    <cellStyle name="Input 5 3 3 4 2" xfId="34902"/>
    <cellStyle name="Input 5 3 3 4 2 2" xfId="34903"/>
    <cellStyle name="Input 5 3 3 4 2 2 2" xfId="34904"/>
    <cellStyle name="Input 5 3 3 4 2 3" xfId="34905"/>
    <cellStyle name="Input 5 3 3 4 2 3 2" xfId="34906"/>
    <cellStyle name="Input 5 3 3 4 2 4" xfId="34907"/>
    <cellStyle name="Input 5 3 3 4 2 5" xfId="34908"/>
    <cellStyle name="Input 5 3 3 4 2 6" xfId="34909"/>
    <cellStyle name="Input 5 3 3 4 3" xfId="34910"/>
    <cellStyle name="Input 5 3 3 4 3 2" xfId="34911"/>
    <cellStyle name="Input 5 3 3 4 4" xfId="34912"/>
    <cellStyle name="Input 5 3 3 4 4 2" xfId="34913"/>
    <cellStyle name="Input 5 3 3 4 5" xfId="34914"/>
    <cellStyle name="Input 5 3 3 4 6" xfId="34915"/>
    <cellStyle name="Input 5 3 3 4 7" xfId="34916"/>
    <cellStyle name="Input 5 3 3 5" xfId="34917"/>
    <cellStyle name="Input 5 3 3 5 2" xfId="34918"/>
    <cellStyle name="Input 5 3 3 5 2 2" xfId="34919"/>
    <cellStyle name="Input 5 3 3 5 3" xfId="34920"/>
    <cellStyle name="Input 5 3 3 5 3 2" xfId="34921"/>
    <cellStyle name="Input 5 3 3 5 4" xfId="34922"/>
    <cellStyle name="Input 5 3 3 5 5" xfId="34923"/>
    <cellStyle name="Input 5 3 3 5 6" xfId="34924"/>
    <cellStyle name="Input 5 3 3 6" xfId="34925"/>
    <cellStyle name="Input 5 3 3 6 2" xfId="34926"/>
    <cellStyle name="Input 5 3 3 7" xfId="34927"/>
    <cellStyle name="Input 5 3 3 7 2" xfId="34928"/>
    <cellStyle name="Input 5 3 3 8" xfId="34929"/>
    <cellStyle name="Input 5 3 3 9" xfId="34930"/>
    <cellStyle name="Input 5 3 4" xfId="34931"/>
    <cellStyle name="Input 5 3 4 10" xfId="34932"/>
    <cellStyle name="Input 5 3 4 2" xfId="34933"/>
    <cellStyle name="Input 5 3 4 2 2" xfId="34934"/>
    <cellStyle name="Input 5 3 4 2 2 2" xfId="34935"/>
    <cellStyle name="Input 5 3 4 2 2 2 2" xfId="34936"/>
    <cellStyle name="Input 5 3 4 2 2 2 2 2" xfId="34937"/>
    <cellStyle name="Input 5 3 4 2 2 2 3" xfId="34938"/>
    <cellStyle name="Input 5 3 4 2 2 2 3 2" xfId="34939"/>
    <cellStyle name="Input 5 3 4 2 2 2 4" xfId="34940"/>
    <cellStyle name="Input 5 3 4 2 2 2 5" xfId="34941"/>
    <cellStyle name="Input 5 3 4 2 2 2 6" xfId="34942"/>
    <cellStyle name="Input 5 3 4 2 2 3" xfId="34943"/>
    <cellStyle name="Input 5 3 4 2 2 3 2" xfId="34944"/>
    <cellStyle name="Input 5 3 4 2 2 4" xfId="34945"/>
    <cellStyle name="Input 5 3 4 2 2 4 2" xfId="34946"/>
    <cellStyle name="Input 5 3 4 2 2 5" xfId="34947"/>
    <cellStyle name="Input 5 3 4 2 2 6" xfId="34948"/>
    <cellStyle name="Input 5 3 4 2 2 7" xfId="34949"/>
    <cellStyle name="Input 5 3 4 2 3" xfId="34950"/>
    <cellStyle name="Input 5 3 4 2 3 2" xfId="34951"/>
    <cellStyle name="Input 5 3 4 2 3 2 2" xfId="34952"/>
    <cellStyle name="Input 5 3 4 2 3 3" xfId="34953"/>
    <cellStyle name="Input 5 3 4 2 3 3 2" xfId="34954"/>
    <cellStyle name="Input 5 3 4 2 3 4" xfId="34955"/>
    <cellStyle name="Input 5 3 4 2 3 5" xfId="34956"/>
    <cellStyle name="Input 5 3 4 2 3 6" xfId="34957"/>
    <cellStyle name="Input 5 3 4 2 4" xfId="34958"/>
    <cellStyle name="Input 5 3 4 2 4 2" xfId="34959"/>
    <cellStyle name="Input 5 3 4 2 5" xfId="34960"/>
    <cellStyle name="Input 5 3 4 2 5 2" xfId="34961"/>
    <cellStyle name="Input 5 3 4 2 6" xfId="34962"/>
    <cellStyle name="Input 5 3 4 2 7" xfId="34963"/>
    <cellStyle name="Input 5 3 4 2 8" xfId="34964"/>
    <cellStyle name="Input 5 3 4 3" xfId="34965"/>
    <cellStyle name="Input 5 3 4 3 2" xfId="34966"/>
    <cellStyle name="Input 5 3 4 3 2 2" xfId="34967"/>
    <cellStyle name="Input 5 3 4 3 2 2 2" xfId="34968"/>
    <cellStyle name="Input 5 3 4 3 2 2 2 2" xfId="34969"/>
    <cellStyle name="Input 5 3 4 3 2 2 3" xfId="34970"/>
    <cellStyle name="Input 5 3 4 3 2 2 3 2" xfId="34971"/>
    <cellStyle name="Input 5 3 4 3 2 2 4" xfId="34972"/>
    <cellStyle name="Input 5 3 4 3 2 2 5" xfId="34973"/>
    <cellStyle name="Input 5 3 4 3 2 2 6" xfId="34974"/>
    <cellStyle name="Input 5 3 4 3 2 3" xfId="34975"/>
    <cellStyle name="Input 5 3 4 3 2 3 2" xfId="34976"/>
    <cellStyle name="Input 5 3 4 3 2 4" xfId="34977"/>
    <cellStyle name="Input 5 3 4 3 2 4 2" xfId="34978"/>
    <cellStyle name="Input 5 3 4 3 2 5" xfId="34979"/>
    <cellStyle name="Input 5 3 4 3 2 6" xfId="34980"/>
    <cellStyle name="Input 5 3 4 3 2 7" xfId="34981"/>
    <cellStyle name="Input 5 3 4 3 3" xfId="34982"/>
    <cellStyle name="Input 5 3 4 3 3 2" xfId="34983"/>
    <cellStyle name="Input 5 3 4 3 3 2 2" xfId="34984"/>
    <cellStyle name="Input 5 3 4 3 3 3" xfId="34985"/>
    <cellStyle name="Input 5 3 4 3 3 3 2" xfId="34986"/>
    <cellStyle name="Input 5 3 4 3 3 4" xfId="34987"/>
    <cellStyle name="Input 5 3 4 3 3 5" xfId="34988"/>
    <cellStyle name="Input 5 3 4 3 3 6" xfId="34989"/>
    <cellStyle name="Input 5 3 4 3 4" xfId="34990"/>
    <cellStyle name="Input 5 3 4 3 4 2" xfId="34991"/>
    <cellStyle name="Input 5 3 4 3 5" xfId="34992"/>
    <cellStyle name="Input 5 3 4 3 5 2" xfId="34993"/>
    <cellStyle name="Input 5 3 4 3 6" xfId="34994"/>
    <cellStyle name="Input 5 3 4 3 7" xfId="34995"/>
    <cellStyle name="Input 5 3 4 3 8" xfId="34996"/>
    <cellStyle name="Input 5 3 4 4" xfId="34997"/>
    <cellStyle name="Input 5 3 4 4 2" xfId="34998"/>
    <cellStyle name="Input 5 3 4 4 2 2" xfId="34999"/>
    <cellStyle name="Input 5 3 4 4 2 2 2" xfId="35000"/>
    <cellStyle name="Input 5 3 4 4 2 3" xfId="35001"/>
    <cellStyle name="Input 5 3 4 4 2 3 2" xfId="35002"/>
    <cellStyle name="Input 5 3 4 4 2 4" xfId="35003"/>
    <cellStyle name="Input 5 3 4 4 2 5" xfId="35004"/>
    <cellStyle name="Input 5 3 4 4 2 6" xfId="35005"/>
    <cellStyle name="Input 5 3 4 4 3" xfId="35006"/>
    <cellStyle name="Input 5 3 4 4 3 2" xfId="35007"/>
    <cellStyle name="Input 5 3 4 4 4" xfId="35008"/>
    <cellStyle name="Input 5 3 4 4 4 2" xfId="35009"/>
    <cellStyle name="Input 5 3 4 4 5" xfId="35010"/>
    <cellStyle name="Input 5 3 4 4 6" xfId="35011"/>
    <cellStyle name="Input 5 3 4 4 7" xfId="35012"/>
    <cellStyle name="Input 5 3 4 5" xfId="35013"/>
    <cellStyle name="Input 5 3 4 5 2" xfId="35014"/>
    <cellStyle name="Input 5 3 4 5 2 2" xfId="35015"/>
    <cellStyle name="Input 5 3 4 5 3" xfId="35016"/>
    <cellStyle name="Input 5 3 4 5 3 2" xfId="35017"/>
    <cellStyle name="Input 5 3 4 5 4" xfId="35018"/>
    <cellStyle name="Input 5 3 4 5 5" xfId="35019"/>
    <cellStyle name="Input 5 3 4 5 6" xfId="35020"/>
    <cellStyle name="Input 5 3 4 6" xfId="35021"/>
    <cellStyle name="Input 5 3 4 6 2" xfId="35022"/>
    <cellStyle name="Input 5 3 4 7" xfId="35023"/>
    <cellStyle name="Input 5 3 4 7 2" xfId="35024"/>
    <cellStyle name="Input 5 3 4 8" xfId="35025"/>
    <cellStyle name="Input 5 3 4 9" xfId="35026"/>
    <cellStyle name="Input 5 3 5" xfId="35027"/>
    <cellStyle name="Input 5 3 5 2" xfId="35028"/>
    <cellStyle name="Input 5 3 5 2 2" xfId="35029"/>
    <cellStyle name="Input 5 3 5 2 2 2" xfId="35030"/>
    <cellStyle name="Input 5 3 5 2 2 2 2" xfId="35031"/>
    <cellStyle name="Input 5 3 5 2 2 3" xfId="35032"/>
    <cellStyle name="Input 5 3 5 2 2 3 2" xfId="35033"/>
    <cellStyle name="Input 5 3 5 2 2 4" xfId="35034"/>
    <cellStyle name="Input 5 3 5 2 2 5" xfId="35035"/>
    <cellStyle name="Input 5 3 5 2 2 6" xfId="35036"/>
    <cellStyle name="Input 5 3 5 2 3" xfId="35037"/>
    <cellStyle name="Input 5 3 5 2 3 2" xfId="35038"/>
    <cellStyle name="Input 5 3 5 2 4" xfId="35039"/>
    <cellStyle name="Input 5 3 5 2 4 2" xfId="35040"/>
    <cellStyle name="Input 5 3 5 2 5" xfId="35041"/>
    <cellStyle name="Input 5 3 5 2 6" xfId="35042"/>
    <cellStyle name="Input 5 3 5 2 7" xfId="35043"/>
    <cellStyle name="Input 5 3 5 3" xfId="35044"/>
    <cellStyle name="Input 5 3 5 3 2" xfId="35045"/>
    <cellStyle name="Input 5 3 5 3 2 2" xfId="35046"/>
    <cellStyle name="Input 5 3 5 3 3" xfId="35047"/>
    <cellStyle name="Input 5 3 5 3 3 2" xfId="35048"/>
    <cellStyle name="Input 5 3 5 3 4" xfId="35049"/>
    <cellStyle name="Input 5 3 5 3 5" xfId="35050"/>
    <cellStyle name="Input 5 3 5 3 6" xfId="35051"/>
    <cellStyle name="Input 5 3 5 4" xfId="35052"/>
    <cellStyle name="Input 5 3 5 4 2" xfId="35053"/>
    <cellStyle name="Input 5 3 5 5" xfId="35054"/>
    <cellStyle name="Input 5 3 5 5 2" xfId="35055"/>
    <cellStyle name="Input 5 3 5 6" xfId="35056"/>
    <cellStyle name="Input 5 3 5 7" xfId="35057"/>
    <cellStyle name="Input 5 3 5 8" xfId="35058"/>
    <cellStyle name="Input 5 3 6" xfId="35059"/>
    <cellStyle name="Input 5 3 6 2" xfId="35060"/>
    <cellStyle name="Input 5 3 6 2 2" xfId="35061"/>
    <cellStyle name="Input 5 3 6 2 2 2" xfId="35062"/>
    <cellStyle name="Input 5 3 6 2 3" xfId="35063"/>
    <cellStyle name="Input 5 3 6 2 3 2" xfId="35064"/>
    <cellStyle name="Input 5 3 6 2 4" xfId="35065"/>
    <cellStyle name="Input 5 3 6 2 5" xfId="35066"/>
    <cellStyle name="Input 5 3 6 2 6" xfId="35067"/>
    <cellStyle name="Input 5 3 6 3" xfId="35068"/>
    <cellStyle name="Input 5 3 6 3 2" xfId="35069"/>
    <cellStyle name="Input 5 3 6 4" xfId="35070"/>
    <cellStyle name="Input 5 3 6 4 2" xfId="35071"/>
    <cellStyle name="Input 5 3 6 5" xfId="35072"/>
    <cellStyle name="Input 5 3 6 6" xfId="35073"/>
    <cellStyle name="Input 5 3 6 7" xfId="35074"/>
    <cellStyle name="Input 5 3 7" xfId="35075"/>
    <cellStyle name="Input 5 3 7 2" xfId="35076"/>
    <cellStyle name="Input 5 3 7 2 2" xfId="35077"/>
    <cellStyle name="Input 5 3 7 3" xfId="35078"/>
    <cellStyle name="Input 5 3 7 3 2" xfId="35079"/>
    <cellStyle name="Input 5 3 7 4" xfId="35080"/>
    <cellStyle name="Input 5 3 7 5" xfId="35081"/>
    <cellStyle name="Input 5 3 7 6" xfId="35082"/>
    <cellStyle name="Input 5 3 8" xfId="35083"/>
    <cellStyle name="Input 5 3 8 2" xfId="35084"/>
    <cellStyle name="Input 5 3 9" xfId="35085"/>
    <cellStyle name="Input 5 3 9 2" xfId="35086"/>
    <cellStyle name="Input 5 4" xfId="35087"/>
    <cellStyle name="Input 5 4 10" xfId="35088"/>
    <cellStyle name="Input 5 4 11" xfId="35089"/>
    <cellStyle name="Input 5 4 2" xfId="35090"/>
    <cellStyle name="Input 5 4 2 10" xfId="35091"/>
    <cellStyle name="Input 5 4 2 2" xfId="35092"/>
    <cellStyle name="Input 5 4 2 2 10" xfId="35093"/>
    <cellStyle name="Input 5 4 2 2 2" xfId="35094"/>
    <cellStyle name="Input 5 4 2 2 2 2" xfId="35095"/>
    <cellStyle name="Input 5 4 2 2 2 2 2" xfId="35096"/>
    <cellStyle name="Input 5 4 2 2 2 2 2 2" xfId="35097"/>
    <cellStyle name="Input 5 4 2 2 2 2 2 2 2" xfId="35098"/>
    <cellStyle name="Input 5 4 2 2 2 2 2 3" xfId="35099"/>
    <cellStyle name="Input 5 4 2 2 2 2 2 3 2" xfId="35100"/>
    <cellStyle name="Input 5 4 2 2 2 2 2 4" xfId="35101"/>
    <cellStyle name="Input 5 4 2 2 2 2 2 5" xfId="35102"/>
    <cellStyle name="Input 5 4 2 2 2 2 2 6" xfId="35103"/>
    <cellStyle name="Input 5 4 2 2 2 2 3" xfId="35104"/>
    <cellStyle name="Input 5 4 2 2 2 2 3 2" xfId="35105"/>
    <cellStyle name="Input 5 4 2 2 2 2 4" xfId="35106"/>
    <cellStyle name="Input 5 4 2 2 2 2 4 2" xfId="35107"/>
    <cellStyle name="Input 5 4 2 2 2 2 5" xfId="35108"/>
    <cellStyle name="Input 5 4 2 2 2 2 6" xfId="35109"/>
    <cellStyle name="Input 5 4 2 2 2 2 7" xfId="35110"/>
    <cellStyle name="Input 5 4 2 2 2 3" xfId="35111"/>
    <cellStyle name="Input 5 4 2 2 2 3 2" xfId="35112"/>
    <cellStyle name="Input 5 4 2 2 2 3 2 2" xfId="35113"/>
    <cellStyle name="Input 5 4 2 2 2 3 3" xfId="35114"/>
    <cellStyle name="Input 5 4 2 2 2 3 3 2" xfId="35115"/>
    <cellStyle name="Input 5 4 2 2 2 3 4" xfId="35116"/>
    <cellStyle name="Input 5 4 2 2 2 3 5" xfId="35117"/>
    <cellStyle name="Input 5 4 2 2 2 3 6" xfId="35118"/>
    <cellStyle name="Input 5 4 2 2 2 4" xfId="35119"/>
    <cellStyle name="Input 5 4 2 2 2 4 2" xfId="35120"/>
    <cellStyle name="Input 5 4 2 2 2 5" xfId="35121"/>
    <cellStyle name="Input 5 4 2 2 2 5 2" xfId="35122"/>
    <cellStyle name="Input 5 4 2 2 2 6" xfId="35123"/>
    <cellStyle name="Input 5 4 2 2 2 7" xfId="35124"/>
    <cellStyle name="Input 5 4 2 2 2 8" xfId="35125"/>
    <cellStyle name="Input 5 4 2 2 3" xfId="35126"/>
    <cellStyle name="Input 5 4 2 2 3 2" xfId="35127"/>
    <cellStyle name="Input 5 4 2 2 3 2 2" xfId="35128"/>
    <cellStyle name="Input 5 4 2 2 3 2 2 2" xfId="35129"/>
    <cellStyle name="Input 5 4 2 2 3 2 2 2 2" xfId="35130"/>
    <cellStyle name="Input 5 4 2 2 3 2 2 3" xfId="35131"/>
    <cellStyle name="Input 5 4 2 2 3 2 2 3 2" xfId="35132"/>
    <cellStyle name="Input 5 4 2 2 3 2 2 4" xfId="35133"/>
    <cellStyle name="Input 5 4 2 2 3 2 2 5" xfId="35134"/>
    <cellStyle name="Input 5 4 2 2 3 2 2 6" xfId="35135"/>
    <cellStyle name="Input 5 4 2 2 3 2 3" xfId="35136"/>
    <cellStyle name="Input 5 4 2 2 3 2 3 2" xfId="35137"/>
    <cellStyle name="Input 5 4 2 2 3 2 4" xfId="35138"/>
    <cellStyle name="Input 5 4 2 2 3 2 4 2" xfId="35139"/>
    <cellStyle name="Input 5 4 2 2 3 2 5" xfId="35140"/>
    <cellStyle name="Input 5 4 2 2 3 2 6" xfId="35141"/>
    <cellStyle name="Input 5 4 2 2 3 2 7" xfId="35142"/>
    <cellStyle name="Input 5 4 2 2 3 3" xfId="35143"/>
    <cellStyle name="Input 5 4 2 2 3 3 2" xfId="35144"/>
    <cellStyle name="Input 5 4 2 2 3 3 2 2" xfId="35145"/>
    <cellStyle name="Input 5 4 2 2 3 3 3" xfId="35146"/>
    <cellStyle name="Input 5 4 2 2 3 3 3 2" xfId="35147"/>
    <cellStyle name="Input 5 4 2 2 3 3 4" xfId="35148"/>
    <cellStyle name="Input 5 4 2 2 3 3 5" xfId="35149"/>
    <cellStyle name="Input 5 4 2 2 3 3 6" xfId="35150"/>
    <cellStyle name="Input 5 4 2 2 3 4" xfId="35151"/>
    <cellStyle name="Input 5 4 2 2 3 4 2" xfId="35152"/>
    <cellStyle name="Input 5 4 2 2 3 5" xfId="35153"/>
    <cellStyle name="Input 5 4 2 2 3 5 2" xfId="35154"/>
    <cellStyle name="Input 5 4 2 2 3 6" xfId="35155"/>
    <cellStyle name="Input 5 4 2 2 3 7" xfId="35156"/>
    <cellStyle name="Input 5 4 2 2 3 8" xfId="35157"/>
    <cellStyle name="Input 5 4 2 2 4" xfId="35158"/>
    <cellStyle name="Input 5 4 2 2 4 2" xfId="35159"/>
    <cellStyle name="Input 5 4 2 2 4 2 2" xfId="35160"/>
    <cellStyle name="Input 5 4 2 2 4 2 2 2" xfId="35161"/>
    <cellStyle name="Input 5 4 2 2 4 2 3" xfId="35162"/>
    <cellStyle name="Input 5 4 2 2 4 2 3 2" xfId="35163"/>
    <cellStyle name="Input 5 4 2 2 4 2 4" xfId="35164"/>
    <cellStyle name="Input 5 4 2 2 4 2 5" xfId="35165"/>
    <cellStyle name="Input 5 4 2 2 4 2 6" xfId="35166"/>
    <cellStyle name="Input 5 4 2 2 4 3" xfId="35167"/>
    <cellStyle name="Input 5 4 2 2 4 3 2" xfId="35168"/>
    <cellStyle name="Input 5 4 2 2 4 4" xfId="35169"/>
    <cellStyle name="Input 5 4 2 2 4 4 2" xfId="35170"/>
    <cellStyle name="Input 5 4 2 2 4 5" xfId="35171"/>
    <cellStyle name="Input 5 4 2 2 4 6" xfId="35172"/>
    <cellStyle name="Input 5 4 2 2 4 7" xfId="35173"/>
    <cellStyle name="Input 5 4 2 2 5" xfId="35174"/>
    <cellStyle name="Input 5 4 2 2 5 2" xfId="35175"/>
    <cellStyle name="Input 5 4 2 2 5 2 2" xfId="35176"/>
    <cellStyle name="Input 5 4 2 2 5 3" xfId="35177"/>
    <cellStyle name="Input 5 4 2 2 5 3 2" xfId="35178"/>
    <cellStyle name="Input 5 4 2 2 5 4" xfId="35179"/>
    <cellStyle name="Input 5 4 2 2 5 5" xfId="35180"/>
    <cellStyle name="Input 5 4 2 2 5 6" xfId="35181"/>
    <cellStyle name="Input 5 4 2 2 6" xfId="35182"/>
    <cellStyle name="Input 5 4 2 2 6 2" xfId="35183"/>
    <cellStyle name="Input 5 4 2 2 7" xfId="35184"/>
    <cellStyle name="Input 5 4 2 2 7 2" xfId="35185"/>
    <cellStyle name="Input 5 4 2 2 8" xfId="35186"/>
    <cellStyle name="Input 5 4 2 2 9" xfId="35187"/>
    <cellStyle name="Input 5 4 2 3" xfId="35188"/>
    <cellStyle name="Input 5 4 2 3 2" xfId="35189"/>
    <cellStyle name="Input 5 4 2 3 2 2" xfId="35190"/>
    <cellStyle name="Input 5 4 2 3 2 2 2" xfId="35191"/>
    <cellStyle name="Input 5 4 2 3 2 2 2 2" xfId="35192"/>
    <cellStyle name="Input 5 4 2 3 2 2 3" xfId="35193"/>
    <cellStyle name="Input 5 4 2 3 2 2 3 2" xfId="35194"/>
    <cellStyle name="Input 5 4 2 3 2 2 4" xfId="35195"/>
    <cellStyle name="Input 5 4 2 3 2 2 5" xfId="35196"/>
    <cellStyle name="Input 5 4 2 3 2 2 6" xfId="35197"/>
    <cellStyle name="Input 5 4 2 3 2 3" xfId="35198"/>
    <cellStyle name="Input 5 4 2 3 2 3 2" xfId="35199"/>
    <cellStyle name="Input 5 4 2 3 2 4" xfId="35200"/>
    <cellStyle name="Input 5 4 2 3 2 4 2" xfId="35201"/>
    <cellStyle name="Input 5 4 2 3 2 5" xfId="35202"/>
    <cellStyle name="Input 5 4 2 3 2 6" xfId="35203"/>
    <cellStyle name="Input 5 4 2 3 2 7" xfId="35204"/>
    <cellStyle name="Input 5 4 2 3 3" xfId="35205"/>
    <cellStyle name="Input 5 4 2 3 3 2" xfId="35206"/>
    <cellStyle name="Input 5 4 2 3 3 2 2" xfId="35207"/>
    <cellStyle name="Input 5 4 2 3 3 3" xfId="35208"/>
    <cellStyle name="Input 5 4 2 3 3 3 2" xfId="35209"/>
    <cellStyle name="Input 5 4 2 3 3 4" xfId="35210"/>
    <cellStyle name="Input 5 4 2 3 3 5" xfId="35211"/>
    <cellStyle name="Input 5 4 2 3 3 6" xfId="35212"/>
    <cellStyle name="Input 5 4 2 3 4" xfId="35213"/>
    <cellStyle name="Input 5 4 2 3 4 2" xfId="35214"/>
    <cellStyle name="Input 5 4 2 3 5" xfId="35215"/>
    <cellStyle name="Input 5 4 2 3 5 2" xfId="35216"/>
    <cellStyle name="Input 5 4 2 3 6" xfId="35217"/>
    <cellStyle name="Input 5 4 2 3 7" xfId="35218"/>
    <cellStyle name="Input 5 4 2 3 8" xfId="35219"/>
    <cellStyle name="Input 5 4 2 4" xfId="35220"/>
    <cellStyle name="Input 5 4 2 4 2" xfId="35221"/>
    <cellStyle name="Input 5 4 2 4 2 2" xfId="35222"/>
    <cellStyle name="Input 5 4 2 4 2 2 2" xfId="35223"/>
    <cellStyle name="Input 5 4 2 4 2 3" xfId="35224"/>
    <cellStyle name="Input 5 4 2 4 2 3 2" xfId="35225"/>
    <cellStyle name="Input 5 4 2 4 2 4" xfId="35226"/>
    <cellStyle name="Input 5 4 2 4 2 5" xfId="35227"/>
    <cellStyle name="Input 5 4 2 4 2 6" xfId="35228"/>
    <cellStyle name="Input 5 4 2 4 3" xfId="35229"/>
    <cellStyle name="Input 5 4 2 4 3 2" xfId="35230"/>
    <cellStyle name="Input 5 4 2 4 4" xfId="35231"/>
    <cellStyle name="Input 5 4 2 4 4 2" xfId="35232"/>
    <cellStyle name="Input 5 4 2 4 5" xfId="35233"/>
    <cellStyle name="Input 5 4 2 4 6" xfId="35234"/>
    <cellStyle name="Input 5 4 2 4 7" xfId="35235"/>
    <cellStyle name="Input 5 4 2 5" xfId="35236"/>
    <cellStyle name="Input 5 4 2 5 2" xfId="35237"/>
    <cellStyle name="Input 5 4 2 5 2 2" xfId="35238"/>
    <cellStyle name="Input 5 4 2 5 3" xfId="35239"/>
    <cellStyle name="Input 5 4 2 5 3 2" xfId="35240"/>
    <cellStyle name="Input 5 4 2 5 4" xfId="35241"/>
    <cellStyle name="Input 5 4 2 5 5" xfId="35242"/>
    <cellStyle name="Input 5 4 2 5 6" xfId="35243"/>
    <cellStyle name="Input 5 4 2 6" xfId="35244"/>
    <cellStyle name="Input 5 4 2 6 2" xfId="35245"/>
    <cellStyle name="Input 5 4 2 7" xfId="35246"/>
    <cellStyle name="Input 5 4 2 7 2" xfId="35247"/>
    <cellStyle name="Input 5 4 2 8" xfId="35248"/>
    <cellStyle name="Input 5 4 2 9" xfId="35249"/>
    <cellStyle name="Input 5 4 3" xfId="35250"/>
    <cellStyle name="Input 5 4 3 10" xfId="35251"/>
    <cellStyle name="Input 5 4 3 2" xfId="35252"/>
    <cellStyle name="Input 5 4 3 2 2" xfId="35253"/>
    <cellStyle name="Input 5 4 3 2 2 2" xfId="35254"/>
    <cellStyle name="Input 5 4 3 2 2 2 2" xfId="35255"/>
    <cellStyle name="Input 5 4 3 2 2 2 2 2" xfId="35256"/>
    <cellStyle name="Input 5 4 3 2 2 2 3" xfId="35257"/>
    <cellStyle name="Input 5 4 3 2 2 2 3 2" xfId="35258"/>
    <cellStyle name="Input 5 4 3 2 2 2 4" xfId="35259"/>
    <cellStyle name="Input 5 4 3 2 2 2 5" xfId="35260"/>
    <cellStyle name="Input 5 4 3 2 2 2 6" xfId="35261"/>
    <cellStyle name="Input 5 4 3 2 2 3" xfId="35262"/>
    <cellStyle name="Input 5 4 3 2 2 3 2" xfId="35263"/>
    <cellStyle name="Input 5 4 3 2 2 4" xfId="35264"/>
    <cellStyle name="Input 5 4 3 2 2 4 2" xfId="35265"/>
    <cellStyle name="Input 5 4 3 2 2 5" xfId="35266"/>
    <cellStyle name="Input 5 4 3 2 2 6" xfId="35267"/>
    <cellStyle name="Input 5 4 3 2 2 7" xfId="35268"/>
    <cellStyle name="Input 5 4 3 2 3" xfId="35269"/>
    <cellStyle name="Input 5 4 3 2 3 2" xfId="35270"/>
    <cellStyle name="Input 5 4 3 2 3 2 2" xfId="35271"/>
    <cellStyle name="Input 5 4 3 2 3 3" xfId="35272"/>
    <cellStyle name="Input 5 4 3 2 3 3 2" xfId="35273"/>
    <cellStyle name="Input 5 4 3 2 3 4" xfId="35274"/>
    <cellStyle name="Input 5 4 3 2 3 5" xfId="35275"/>
    <cellStyle name="Input 5 4 3 2 3 6" xfId="35276"/>
    <cellStyle name="Input 5 4 3 2 4" xfId="35277"/>
    <cellStyle name="Input 5 4 3 2 4 2" xfId="35278"/>
    <cellStyle name="Input 5 4 3 2 5" xfId="35279"/>
    <cellStyle name="Input 5 4 3 2 5 2" xfId="35280"/>
    <cellStyle name="Input 5 4 3 2 6" xfId="35281"/>
    <cellStyle name="Input 5 4 3 2 7" xfId="35282"/>
    <cellStyle name="Input 5 4 3 2 8" xfId="35283"/>
    <cellStyle name="Input 5 4 3 3" xfId="35284"/>
    <cellStyle name="Input 5 4 3 3 2" xfId="35285"/>
    <cellStyle name="Input 5 4 3 3 2 2" xfId="35286"/>
    <cellStyle name="Input 5 4 3 3 2 2 2" xfId="35287"/>
    <cellStyle name="Input 5 4 3 3 2 2 2 2" xfId="35288"/>
    <cellStyle name="Input 5 4 3 3 2 2 3" xfId="35289"/>
    <cellStyle name="Input 5 4 3 3 2 2 3 2" xfId="35290"/>
    <cellStyle name="Input 5 4 3 3 2 2 4" xfId="35291"/>
    <cellStyle name="Input 5 4 3 3 2 2 5" xfId="35292"/>
    <cellStyle name="Input 5 4 3 3 2 2 6" xfId="35293"/>
    <cellStyle name="Input 5 4 3 3 2 3" xfId="35294"/>
    <cellStyle name="Input 5 4 3 3 2 3 2" xfId="35295"/>
    <cellStyle name="Input 5 4 3 3 2 4" xfId="35296"/>
    <cellStyle name="Input 5 4 3 3 2 4 2" xfId="35297"/>
    <cellStyle name="Input 5 4 3 3 2 5" xfId="35298"/>
    <cellStyle name="Input 5 4 3 3 2 6" xfId="35299"/>
    <cellStyle name="Input 5 4 3 3 2 7" xfId="35300"/>
    <cellStyle name="Input 5 4 3 3 3" xfId="35301"/>
    <cellStyle name="Input 5 4 3 3 3 2" xfId="35302"/>
    <cellStyle name="Input 5 4 3 3 3 2 2" xfId="35303"/>
    <cellStyle name="Input 5 4 3 3 3 3" xfId="35304"/>
    <cellStyle name="Input 5 4 3 3 3 3 2" xfId="35305"/>
    <cellStyle name="Input 5 4 3 3 3 4" xfId="35306"/>
    <cellStyle name="Input 5 4 3 3 3 5" xfId="35307"/>
    <cellStyle name="Input 5 4 3 3 3 6" xfId="35308"/>
    <cellStyle name="Input 5 4 3 3 4" xfId="35309"/>
    <cellStyle name="Input 5 4 3 3 4 2" xfId="35310"/>
    <cellStyle name="Input 5 4 3 3 5" xfId="35311"/>
    <cellStyle name="Input 5 4 3 3 5 2" xfId="35312"/>
    <cellStyle name="Input 5 4 3 3 6" xfId="35313"/>
    <cellStyle name="Input 5 4 3 3 7" xfId="35314"/>
    <cellStyle name="Input 5 4 3 3 8" xfId="35315"/>
    <cellStyle name="Input 5 4 3 4" xfId="35316"/>
    <cellStyle name="Input 5 4 3 4 2" xfId="35317"/>
    <cellStyle name="Input 5 4 3 4 2 2" xfId="35318"/>
    <cellStyle name="Input 5 4 3 4 2 2 2" xfId="35319"/>
    <cellStyle name="Input 5 4 3 4 2 3" xfId="35320"/>
    <cellStyle name="Input 5 4 3 4 2 3 2" xfId="35321"/>
    <cellStyle name="Input 5 4 3 4 2 4" xfId="35322"/>
    <cellStyle name="Input 5 4 3 4 2 5" xfId="35323"/>
    <cellStyle name="Input 5 4 3 4 2 6" xfId="35324"/>
    <cellStyle name="Input 5 4 3 4 3" xfId="35325"/>
    <cellStyle name="Input 5 4 3 4 3 2" xfId="35326"/>
    <cellStyle name="Input 5 4 3 4 4" xfId="35327"/>
    <cellStyle name="Input 5 4 3 4 4 2" xfId="35328"/>
    <cellStyle name="Input 5 4 3 4 5" xfId="35329"/>
    <cellStyle name="Input 5 4 3 4 6" xfId="35330"/>
    <cellStyle name="Input 5 4 3 4 7" xfId="35331"/>
    <cellStyle name="Input 5 4 3 5" xfId="35332"/>
    <cellStyle name="Input 5 4 3 5 2" xfId="35333"/>
    <cellStyle name="Input 5 4 3 5 2 2" xfId="35334"/>
    <cellStyle name="Input 5 4 3 5 3" xfId="35335"/>
    <cellStyle name="Input 5 4 3 5 3 2" xfId="35336"/>
    <cellStyle name="Input 5 4 3 5 4" xfId="35337"/>
    <cellStyle name="Input 5 4 3 5 5" xfId="35338"/>
    <cellStyle name="Input 5 4 3 5 6" xfId="35339"/>
    <cellStyle name="Input 5 4 3 6" xfId="35340"/>
    <cellStyle name="Input 5 4 3 6 2" xfId="35341"/>
    <cellStyle name="Input 5 4 3 7" xfId="35342"/>
    <cellStyle name="Input 5 4 3 7 2" xfId="35343"/>
    <cellStyle name="Input 5 4 3 8" xfId="35344"/>
    <cellStyle name="Input 5 4 3 9" xfId="35345"/>
    <cellStyle name="Input 5 4 4" xfId="35346"/>
    <cellStyle name="Input 5 4 4 2" xfId="35347"/>
    <cellStyle name="Input 5 4 4 2 2" xfId="35348"/>
    <cellStyle name="Input 5 4 4 2 2 2" xfId="35349"/>
    <cellStyle name="Input 5 4 4 2 2 2 2" xfId="35350"/>
    <cellStyle name="Input 5 4 4 2 2 3" xfId="35351"/>
    <cellStyle name="Input 5 4 4 2 2 3 2" xfId="35352"/>
    <cellStyle name="Input 5 4 4 2 2 4" xfId="35353"/>
    <cellStyle name="Input 5 4 4 2 2 5" xfId="35354"/>
    <cellStyle name="Input 5 4 4 2 2 6" xfId="35355"/>
    <cellStyle name="Input 5 4 4 2 3" xfId="35356"/>
    <cellStyle name="Input 5 4 4 2 3 2" xfId="35357"/>
    <cellStyle name="Input 5 4 4 2 4" xfId="35358"/>
    <cellStyle name="Input 5 4 4 2 4 2" xfId="35359"/>
    <cellStyle name="Input 5 4 4 2 5" xfId="35360"/>
    <cellStyle name="Input 5 4 4 2 6" xfId="35361"/>
    <cellStyle name="Input 5 4 4 2 7" xfId="35362"/>
    <cellStyle name="Input 5 4 4 3" xfId="35363"/>
    <cellStyle name="Input 5 4 4 3 2" xfId="35364"/>
    <cellStyle name="Input 5 4 4 3 2 2" xfId="35365"/>
    <cellStyle name="Input 5 4 4 3 3" xfId="35366"/>
    <cellStyle name="Input 5 4 4 3 3 2" xfId="35367"/>
    <cellStyle name="Input 5 4 4 3 4" xfId="35368"/>
    <cellStyle name="Input 5 4 4 3 5" xfId="35369"/>
    <cellStyle name="Input 5 4 4 3 6" xfId="35370"/>
    <cellStyle name="Input 5 4 4 4" xfId="35371"/>
    <cellStyle name="Input 5 4 4 4 2" xfId="35372"/>
    <cellStyle name="Input 5 4 4 5" xfId="35373"/>
    <cellStyle name="Input 5 4 4 5 2" xfId="35374"/>
    <cellStyle name="Input 5 4 4 6" xfId="35375"/>
    <cellStyle name="Input 5 4 4 7" xfId="35376"/>
    <cellStyle name="Input 5 4 4 8" xfId="35377"/>
    <cellStyle name="Input 5 4 5" xfId="35378"/>
    <cellStyle name="Input 5 4 5 2" xfId="35379"/>
    <cellStyle name="Input 5 4 5 2 2" xfId="35380"/>
    <cellStyle name="Input 5 4 5 2 2 2" xfId="35381"/>
    <cellStyle name="Input 5 4 5 2 3" xfId="35382"/>
    <cellStyle name="Input 5 4 5 2 3 2" xfId="35383"/>
    <cellStyle name="Input 5 4 5 2 4" xfId="35384"/>
    <cellStyle name="Input 5 4 5 2 5" xfId="35385"/>
    <cellStyle name="Input 5 4 5 2 6" xfId="35386"/>
    <cellStyle name="Input 5 4 5 3" xfId="35387"/>
    <cellStyle name="Input 5 4 5 3 2" xfId="35388"/>
    <cellStyle name="Input 5 4 5 4" xfId="35389"/>
    <cellStyle name="Input 5 4 5 4 2" xfId="35390"/>
    <cellStyle name="Input 5 4 5 5" xfId="35391"/>
    <cellStyle name="Input 5 4 5 6" xfId="35392"/>
    <cellStyle name="Input 5 4 5 7" xfId="35393"/>
    <cellStyle name="Input 5 4 6" xfId="35394"/>
    <cellStyle name="Input 5 4 6 2" xfId="35395"/>
    <cellStyle name="Input 5 4 6 2 2" xfId="35396"/>
    <cellStyle name="Input 5 4 6 3" xfId="35397"/>
    <cellStyle name="Input 5 4 6 3 2" xfId="35398"/>
    <cellStyle name="Input 5 4 6 4" xfId="35399"/>
    <cellStyle name="Input 5 4 6 5" xfId="35400"/>
    <cellStyle name="Input 5 4 6 6" xfId="35401"/>
    <cellStyle name="Input 5 4 7" xfId="35402"/>
    <cellStyle name="Input 5 4 7 2" xfId="35403"/>
    <cellStyle name="Input 5 4 8" xfId="35404"/>
    <cellStyle name="Input 5 4 8 2" xfId="35405"/>
    <cellStyle name="Input 5 4 9" xfId="35406"/>
    <cellStyle name="Input 5 5" xfId="35407"/>
    <cellStyle name="Input 5 5 10" xfId="35408"/>
    <cellStyle name="Input 5 5 11" xfId="35409"/>
    <cellStyle name="Input 5 5 2" xfId="35410"/>
    <cellStyle name="Input 5 5 2 10" xfId="35411"/>
    <cellStyle name="Input 5 5 2 2" xfId="35412"/>
    <cellStyle name="Input 5 5 2 2 2" xfId="35413"/>
    <cellStyle name="Input 5 5 2 2 2 2" xfId="35414"/>
    <cellStyle name="Input 5 5 2 2 2 2 2" xfId="35415"/>
    <cellStyle name="Input 5 5 2 2 2 2 2 2" xfId="35416"/>
    <cellStyle name="Input 5 5 2 2 2 2 3" xfId="35417"/>
    <cellStyle name="Input 5 5 2 2 2 2 3 2" xfId="35418"/>
    <cellStyle name="Input 5 5 2 2 2 2 4" xfId="35419"/>
    <cellStyle name="Input 5 5 2 2 2 2 5" xfId="35420"/>
    <cellStyle name="Input 5 5 2 2 2 2 6" xfId="35421"/>
    <cellStyle name="Input 5 5 2 2 2 3" xfId="35422"/>
    <cellStyle name="Input 5 5 2 2 2 3 2" xfId="35423"/>
    <cellStyle name="Input 5 5 2 2 2 4" xfId="35424"/>
    <cellStyle name="Input 5 5 2 2 2 4 2" xfId="35425"/>
    <cellStyle name="Input 5 5 2 2 2 5" xfId="35426"/>
    <cellStyle name="Input 5 5 2 2 2 6" xfId="35427"/>
    <cellStyle name="Input 5 5 2 2 2 7" xfId="35428"/>
    <cellStyle name="Input 5 5 2 2 3" xfId="35429"/>
    <cellStyle name="Input 5 5 2 2 3 2" xfId="35430"/>
    <cellStyle name="Input 5 5 2 2 3 2 2" xfId="35431"/>
    <cellStyle name="Input 5 5 2 2 3 3" xfId="35432"/>
    <cellStyle name="Input 5 5 2 2 3 3 2" xfId="35433"/>
    <cellStyle name="Input 5 5 2 2 3 4" xfId="35434"/>
    <cellStyle name="Input 5 5 2 2 3 5" xfId="35435"/>
    <cellStyle name="Input 5 5 2 2 3 6" xfId="35436"/>
    <cellStyle name="Input 5 5 2 2 4" xfId="35437"/>
    <cellStyle name="Input 5 5 2 2 4 2" xfId="35438"/>
    <cellStyle name="Input 5 5 2 2 5" xfId="35439"/>
    <cellStyle name="Input 5 5 2 2 5 2" xfId="35440"/>
    <cellStyle name="Input 5 5 2 2 6" xfId="35441"/>
    <cellStyle name="Input 5 5 2 2 7" xfId="35442"/>
    <cellStyle name="Input 5 5 2 2 8" xfId="35443"/>
    <cellStyle name="Input 5 5 2 3" xfId="35444"/>
    <cellStyle name="Input 5 5 2 3 2" xfId="35445"/>
    <cellStyle name="Input 5 5 2 3 2 2" xfId="35446"/>
    <cellStyle name="Input 5 5 2 3 2 2 2" xfId="35447"/>
    <cellStyle name="Input 5 5 2 3 2 2 2 2" xfId="35448"/>
    <cellStyle name="Input 5 5 2 3 2 2 3" xfId="35449"/>
    <cellStyle name="Input 5 5 2 3 2 2 3 2" xfId="35450"/>
    <cellStyle name="Input 5 5 2 3 2 2 4" xfId="35451"/>
    <cellStyle name="Input 5 5 2 3 2 2 5" xfId="35452"/>
    <cellStyle name="Input 5 5 2 3 2 2 6" xfId="35453"/>
    <cellStyle name="Input 5 5 2 3 2 3" xfId="35454"/>
    <cellStyle name="Input 5 5 2 3 2 3 2" xfId="35455"/>
    <cellStyle name="Input 5 5 2 3 2 4" xfId="35456"/>
    <cellStyle name="Input 5 5 2 3 2 4 2" xfId="35457"/>
    <cellStyle name="Input 5 5 2 3 2 5" xfId="35458"/>
    <cellStyle name="Input 5 5 2 3 2 6" xfId="35459"/>
    <cellStyle name="Input 5 5 2 3 2 7" xfId="35460"/>
    <cellStyle name="Input 5 5 2 3 3" xfId="35461"/>
    <cellStyle name="Input 5 5 2 3 3 2" xfId="35462"/>
    <cellStyle name="Input 5 5 2 3 3 2 2" xfId="35463"/>
    <cellStyle name="Input 5 5 2 3 3 3" xfId="35464"/>
    <cellStyle name="Input 5 5 2 3 3 3 2" xfId="35465"/>
    <cellStyle name="Input 5 5 2 3 3 4" xfId="35466"/>
    <cellStyle name="Input 5 5 2 3 3 5" xfId="35467"/>
    <cellStyle name="Input 5 5 2 3 3 6" xfId="35468"/>
    <cellStyle name="Input 5 5 2 3 4" xfId="35469"/>
    <cellStyle name="Input 5 5 2 3 4 2" xfId="35470"/>
    <cellStyle name="Input 5 5 2 3 5" xfId="35471"/>
    <cellStyle name="Input 5 5 2 3 5 2" xfId="35472"/>
    <cellStyle name="Input 5 5 2 3 6" xfId="35473"/>
    <cellStyle name="Input 5 5 2 3 7" xfId="35474"/>
    <cellStyle name="Input 5 5 2 3 8" xfId="35475"/>
    <cellStyle name="Input 5 5 2 4" xfId="35476"/>
    <cellStyle name="Input 5 5 2 4 2" xfId="35477"/>
    <cellStyle name="Input 5 5 2 4 2 2" xfId="35478"/>
    <cellStyle name="Input 5 5 2 4 2 2 2" xfId="35479"/>
    <cellStyle name="Input 5 5 2 4 2 3" xfId="35480"/>
    <cellStyle name="Input 5 5 2 4 2 3 2" xfId="35481"/>
    <cellStyle name="Input 5 5 2 4 2 4" xfId="35482"/>
    <cellStyle name="Input 5 5 2 4 2 5" xfId="35483"/>
    <cellStyle name="Input 5 5 2 4 2 6" xfId="35484"/>
    <cellStyle name="Input 5 5 2 4 3" xfId="35485"/>
    <cellStyle name="Input 5 5 2 4 3 2" xfId="35486"/>
    <cellStyle name="Input 5 5 2 4 4" xfId="35487"/>
    <cellStyle name="Input 5 5 2 4 4 2" xfId="35488"/>
    <cellStyle name="Input 5 5 2 4 5" xfId="35489"/>
    <cellStyle name="Input 5 5 2 4 6" xfId="35490"/>
    <cellStyle name="Input 5 5 2 4 7" xfId="35491"/>
    <cellStyle name="Input 5 5 2 5" xfId="35492"/>
    <cellStyle name="Input 5 5 2 5 2" xfId="35493"/>
    <cellStyle name="Input 5 5 2 5 2 2" xfId="35494"/>
    <cellStyle name="Input 5 5 2 5 3" xfId="35495"/>
    <cellStyle name="Input 5 5 2 5 3 2" xfId="35496"/>
    <cellStyle name="Input 5 5 2 5 4" xfId="35497"/>
    <cellStyle name="Input 5 5 2 5 5" xfId="35498"/>
    <cellStyle name="Input 5 5 2 5 6" xfId="35499"/>
    <cellStyle name="Input 5 5 2 6" xfId="35500"/>
    <cellStyle name="Input 5 5 2 6 2" xfId="35501"/>
    <cellStyle name="Input 5 5 2 7" xfId="35502"/>
    <cellStyle name="Input 5 5 2 7 2" xfId="35503"/>
    <cellStyle name="Input 5 5 2 8" xfId="35504"/>
    <cellStyle name="Input 5 5 2 9" xfId="35505"/>
    <cellStyle name="Input 5 5 3" xfId="35506"/>
    <cellStyle name="Input 5 5 3 2" xfId="35507"/>
    <cellStyle name="Input 5 5 3 2 2" xfId="35508"/>
    <cellStyle name="Input 5 5 3 2 2 2" xfId="35509"/>
    <cellStyle name="Input 5 5 3 2 2 2 2" xfId="35510"/>
    <cellStyle name="Input 5 5 3 2 2 3" xfId="35511"/>
    <cellStyle name="Input 5 5 3 2 2 3 2" xfId="35512"/>
    <cellStyle name="Input 5 5 3 2 2 4" xfId="35513"/>
    <cellStyle name="Input 5 5 3 2 2 5" xfId="35514"/>
    <cellStyle name="Input 5 5 3 2 2 6" xfId="35515"/>
    <cellStyle name="Input 5 5 3 2 3" xfId="35516"/>
    <cellStyle name="Input 5 5 3 2 3 2" xfId="35517"/>
    <cellStyle name="Input 5 5 3 2 4" xfId="35518"/>
    <cellStyle name="Input 5 5 3 2 4 2" xfId="35519"/>
    <cellStyle name="Input 5 5 3 2 5" xfId="35520"/>
    <cellStyle name="Input 5 5 3 2 6" xfId="35521"/>
    <cellStyle name="Input 5 5 3 2 7" xfId="35522"/>
    <cellStyle name="Input 5 5 3 3" xfId="35523"/>
    <cellStyle name="Input 5 5 3 3 2" xfId="35524"/>
    <cellStyle name="Input 5 5 3 3 2 2" xfId="35525"/>
    <cellStyle name="Input 5 5 3 3 3" xfId="35526"/>
    <cellStyle name="Input 5 5 3 3 3 2" xfId="35527"/>
    <cellStyle name="Input 5 5 3 3 4" xfId="35528"/>
    <cellStyle name="Input 5 5 3 3 5" xfId="35529"/>
    <cellStyle name="Input 5 5 3 3 6" xfId="35530"/>
    <cellStyle name="Input 5 5 3 4" xfId="35531"/>
    <cellStyle name="Input 5 5 3 4 2" xfId="35532"/>
    <cellStyle name="Input 5 5 3 5" xfId="35533"/>
    <cellStyle name="Input 5 5 3 5 2" xfId="35534"/>
    <cellStyle name="Input 5 5 3 6" xfId="35535"/>
    <cellStyle name="Input 5 5 3 7" xfId="35536"/>
    <cellStyle name="Input 5 5 3 8" xfId="35537"/>
    <cellStyle name="Input 5 5 4" xfId="35538"/>
    <cellStyle name="Input 5 5 4 2" xfId="35539"/>
    <cellStyle name="Input 5 5 4 2 2" xfId="35540"/>
    <cellStyle name="Input 5 5 4 2 2 2" xfId="35541"/>
    <cellStyle name="Input 5 5 4 2 2 2 2" xfId="35542"/>
    <cellStyle name="Input 5 5 4 2 2 3" xfId="35543"/>
    <cellStyle name="Input 5 5 4 2 2 3 2" xfId="35544"/>
    <cellStyle name="Input 5 5 4 2 2 4" xfId="35545"/>
    <cellStyle name="Input 5 5 4 2 2 5" xfId="35546"/>
    <cellStyle name="Input 5 5 4 2 2 6" xfId="35547"/>
    <cellStyle name="Input 5 5 4 2 3" xfId="35548"/>
    <cellStyle name="Input 5 5 4 2 3 2" xfId="35549"/>
    <cellStyle name="Input 5 5 4 2 4" xfId="35550"/>
    <cellStyle name="Input 5 5 4 2 4 2" xfId="35551"/>
    <cellStyle name="Input 5 5 4 2 5" xfId="35552"/>
    <cellStyle name="Input 5 5 4 2 6" xfId="35553"/>
    <cellStyle name="Input 5 5 4 2 7" xfId="35554"/>
    <cellStyle name="Input 5 5 4 3" xfId="35555"/>
    <cellStyle name="Input 5 5 4 3 2" xfId="35556"/>
    <cellStyle name="Input 5 5 4 3 2 2" xfId="35557"/>
    <cellStyle name="Input 5 5 4 3 3" xfId="35558"/>
    <cellStyle name="Input 5 5 4 3 3 2" xfId="35559"/>
    <cellStyle name="Input 5 5 4 3 4" xfId="35560"/>
    <cellStyle name="Input 5 5 4 3 5" xfId="35561"/>
    <cellStyle name="Input 5 5 4 3 6" xfId="35562"/>
    <cellStyle name="Input 5 5 4 4" xfId="35563"/>
    <cellStyle name="Input 5 5 4 4 2" xfId="35564"/>
    <cellStyle name="Input 5 5 4 5" xfId="35565"/>
    <cellStyle name="Input 5 5 4 5 2" xfId="35566"/>
    <cellStyle name="Input 5 5 4 6" xfId="35567"/>
    <cellStyle name="Input 5 5 4 7" xfId="35568"/>
    <cellStyle name="Input 5 5 4 8" xfId="35569"/>
    <cellStyle name="Input 5 5 5" xfId="35570"/>
    <cellStyle name="Input 5 5 5 2" xfId="35571"/>
    <cellStyle name="Input 5 5 5 2 2" xfId="35572"/>
    <cellStyle name="Input 5 5 5 2 2 2" xfId="35573"/>
    <cellStyle name="Input 5 5 5 2 3" xfId="35574"/>
    <cellStyle name="Input 5 5 5 2 3 2" xfId="35575"/>
    <cellStyle name="Input 5 5 5 2 4" xfId="35576"/>
    <cellStyle name="Input 5 5 5 2 5" xfId="35577"/>
    <cellStyle name="Input 5 5 5 2 6" xfId="35578"/>
    <cellStyle name="Input 5 5 5 3" xfId="35579"/>
    <cellStyle name="Input 5 5 5 3 2" xfId="35580"/>
    <cellStyle name="Input 5 5 5 4" xfId="35581"/>
    <cellStyle name="Input 5 5 5 4 2" xfId="35582"/>
    <cellStyle name="Input 5 5 5 5" xfId="35583"/>
    <cellStyle name="Input 5 5 5 6" xfId="35584"/>
    <cellStyle name="Input 5 5 5 7" xfId="35585"/>
    <cellStyle name="Input 5 5 6" xfId="35586"/>
    <cellStyle name="Input 5 5 6 2" xfId="35587"/>
    <cellStyle name="Input 5 5 6 2 2" xfId="35588"/>
    <cellStyle name="Input 5 5 6 3" xfId="35589"/>
    <cellStyle name="Input 5 5 6 3 2" xfId="35590"/>
    <cellStyle name="Input 5 5 6 4" xfId="35591"/>
    <cellStyle name="Input 5 5 6 5" xfId="35592"/>
    <cellStyle name="Input 5 5 6 6" xfId="35593"/>
    <cellStyle name="Input 5 5 7" xfId="35594"/>
    <cellStyle name="Input 5 5 7 2" xfId="35595"/>
    <cellStyle name="Input 5 5 8" xfId="35596"/>
    <cellStyle name="Input 5 5 8 2" xfId="35597"/>
    <cellStyle name="Input 5 5 9" xfId="35598"/>
    <cellStyle name="Input 5 6" xfId="35599"/>
    <cellStyle name="Input 5 6 2" xfId="35600"/>
    <cellStyle name="Input 5 6 2 2" xfId="35601"/>
    <cellStyle name="Input 5 6 2 2 2" xfId="35602"/>
    <cellStyle name="Input 5 6 2 3" xfId="35603"/>
    <cellStyle name="Input 5 6 2 3 2" xfId="35604"/>
    <cellStyle name="Input 5 6 2 4" xfId="35605"/>
    <cellStyle name="Input 5 6 2 5" xfId="35606"/>
    <cellStyle name="Input 5 6 2 6" xfId="35607"/>
    <cellStyle name="Input 5 6 3" xfId="35608"/>
    <cellStyle name="Input 5 6 3 2" xfId="35609"/>
    <cellStyle name="Input 5 6 4" xfId="35610"/>
    <cellStyle name="Input 5 6 4 2" xfId="35611"/>
    <cellStyle name="Input 5 6 5" xfId="35612"/>
    <cellStyle name="Input 5 6 6" xfId="35613"/>
    <cellStyle name="Input 5 6 7" xfId="35614"/>
    <cellStyle name="Input 5 7" xfId="35615"/>
    <cellStyle name="Input 5 7 2" xfId="35616"/>
    <cellStyle name="Input 5 8" xfId="35617"/>
    <cellStyle name="Input 5 8 2" xfId="35618"/>
    <cellStyle name="Input 5 9" xfId="35619"/>
    <cellStyle name="Input 50" xfId="35620"/>
    <cellStyle name="Input 50 2" xfId="35621"/>
    <cellStyle name="Input 50 2 2" xfId="35622"/>
    <cellStyle name="Input 50 2 2 2" xfId="35623"/>
    <cellStyle name="Input 50 2 3" xfId="35624"/>
    <cellStyle name="Input 50 2 3 2" xfId="35625"/>
    <cellStyle name="Input 50 2 4" xfId="35626"/>
    <cellStyle name="Input 50 2 5" xfId="35627"/>
    <cellStyle name="Input 50 2 6" xfId="35628"/>
    <cellStyle name="Input 50 3" xfId="35629"/>
    <cellStyle name="Input 50 3 2" xfId="35630"/>
    <cellStyle name="Input 50 4" xfId="35631"/>
    <cellStyle name="Input 50 4 2" xfId="35632"/>
    <cellStyle name="Input 50 5" xfId="35633"/>
    <cellStyle name="Input 50 6" xfId="35634"/>
    <cellStyle name="Input 50 7" xfId="35635"/>
    <cellStyle name="Input 51" xfId="35636"/>
    <cellStyle name="Input 51 2" xfId="35637"/>
    <cellStyle name="Input 51 2 2" xfId="35638"/>
    <cellStyle name="Input 51 2 2 2" xfId="35639"/>
    <cellStyle name="Input 51 2 3" xfId="35640"/>
    <cellStyle name="Input 51 2 3 2" xfId="35641"/>
    <cellStyle name="Input 51 2 4" xfId="35642"/>
    <cellStyle name="Input 51 2 5" xfId="35643"/>
    <cellStyle name="Input 51 2 6" xfId="35644"/>
    <cellStyle name="Input 51 3" xfId="35645"/>
    <cellStyle name="Input 51 3 2" xfId="35646"/>
    <cellStyle name="Input 51 4" xfId="35647"/>
    <cellStyle name="Input 51 4 2" xfId="35648"/>
    <cellStyle name="Input 51 5" xfId="35649"/>
    <cellStyle name="Input 51 6" xfId="35650"/>
    <cellStyle name="Input 51 7" xfId="35651"/>
    <cellStyle name="Input 52" xfId="35652"/>
    <cellStyle name="Input 52 2" xfId="35653"/>
    <cellStyle name="Input 52 2 2" xfId="35654"/>
    <cellStyle name="Input 52 2 2 2" xfId="35655"/>
    <cellStyle name="Input 52 2 3" xfId="35656"/>
    <cellStyle name="Input 52 2 3 2" xfId="35657"/>
    <cellStyle name="Input 52 2 4" xfId="35658"/>
    <cellStyle name="Input 52 2 5" xfId="35659"/>
    <cellStyle name="Input 52 2 6" xfId="35660"/>
    <cellStyle name="Input 52 3" xfId="35661"/>
    <cellStyle name="Input 52 3 2" xfId="35662"/>
    <cellStyle name="Input 52 4" xfId="35663"/>
    <cellStyle name="Input 52 4 2" xfId="35664"/>
    <cellStyle name="Input 52 5" xfId="35665"/>
    <cellStyle name="Input 52 6" xfId="35666"/>
    <cellStyle name="Input 52 7" xfId="35667"/>
    <cellStyle name="Input 53" xfId="35668"/>
    <cellStyle name="Input 53 2" xfId="35669"/>
    <cellStyle name="Input 53 2 2" xfId="35670"/>
    <cellStyle name="Input 53 2 2 2" xfId="35671"/>
    <cellStyle name="Input 53 2 3" xfId="35672"/>
    <cellStyle name="Input 53 2 3 2" xfId="35673"/>
    <cellStyle name="Input 53 2 4" xfId="35674"/>
    <cellStyle name="Input 53 2 5" xfId="35675"/>
    <cellStyle name="Input 53 2 6" xfId="35676"/>
    <cellStyle name="Input 53 3" xfId="35677"/>
    <cellStyle name="Input 53 3 2" xfId="35678"/>
    <cellStyle name="Input 53 4" xfId="35679"/>
    <cellStyle name="Input 53 4 2" xfId="35680"/>
    <cellStyle name="Input 53 5" xfId="35681"/>
    <cellStyle name="Input 53 6" xfId="35682"/>
    <cellStyle name="Input 53 7" xfId="35683"/>
    <cellStyle name="Input 54" xfId="35684"/>
    <cellStyle name="Input 54 2" xfId="35685"/>
    <cellStyle name="Input 54 2 2" xfId="35686"/>
    <cellStyle name="Input 54 2 2 2" xfId="35687"/>
    <cellStyle name="Input 54 2 3" xfId="35688"/>
    <cellStyle name="Input 54 2 3 2" xfId="35689"/>
    <cellStyle name="Input 54 2 4" xfId="35690"/>
    <cellStyle name="Input 54 2 5" xfId="35691"/>
    <cellStyle name="Input 54 2 6" xfId="35692"/>
    <cellStyle name="Input 54 3" xfId="35693"/>
    <cellStyle name="Input 54 3 2" xfId="35694"/>
    <cellStyle name="Input 54 4" xfId="35695"/>
    <cellStyle name="Input 54 4 2" xfId="35696"/>
    <cellStyle name="Input 54 5" xfId="35697"/>
    <cellStyle name="Input 54 6" xfId="35698"/>
    <cellStyle name="Input 54 7" xfId="35699"/>
    <cellStyle name="Input 55" xfId="35700"/>
    <cellStyle name="Input 55 2" xfId="35701"/>
    <cellStyle name="Input 55 2 2" xfId="35702"/>
    <cellStyle name="Input 55 2 2 2" xfId="35703"/>
    <cellStyle name="Input 55 2 3" xfId="35704"/>
    <cellStyle name="Input 55 2 3 2" xfId="35705"/>
    <cellStyle name="Input 55 2 4" xfId="35706"/>
    <cellStyle name="Input 55 2 5" xfId="35707"/>
    <cellStyle name="Input 55 2 6" xfId="35708"/>
    <cellStyle name="Input 55 3" xfId="35709"/>
    <cellStyle name="Input 55 3 2" xfId="35710"/>
    <cellStyle name="Input 55 4" xfId="35711"/>
    <cellStyle name="Input 55 4 2" xfId="35712"/>
    <cellStyle name="Input 55 5" xfId="35713"/>
    <cellStyle name="Input 55 6" xfId="35714"/>
    <cellStyle name="Input 55 7" xfId="35715"/>
    <cellStyle name="Input 56" xfId="35716"/>
    <cellStyle name="Input 56 2" xfId="35717"/>
    <cellStyle name="Input 56 2 2" xfId="35718"/>
    <cellStyle name="Input 56 2 2 2" xfId="35719"/>
    <cellStyle name="Input 56 2 3" xfId="35720"/>
    <cellStyle name="Input 56 2 3 2" xfId="35721"/>
    <cellStyle name="Input 56 2 4" xfId="35722"/>
    <cellStyle name="Input 56 2 5" xfId="35723"/>
    <cellStyle name="Input 56 2 6" xfId="35724"/>
    <cellStyle name="Input 56 3" xfId="35725"/>
    <cellStyle name="Input 56 3 2" xfId="35726"/>
    <cellStyle name="Input 56 4" xfId="35727"/>
    <cellStyle name="Input 56 4 2" xfId="35728"/>
    <cellStyle name="Input 56 5" xfId="35729"/>
    <cellStyle name="Input 56 6" xfId="35730"/>
    <cellStyle name="Input 56 7" xfId="35731"/>
    <cellStyle name="Input 57" xfId="35732"/>
    <cellStyle name="Input 57 2" xfId="35733"/>
    <cellStyle name="Input 57 2 2" xfId="35734"/>
    <cellStyle name="Input 57 2 2 2" xfId="35735"/>
    <cellStyle name="Input 57 2 3" xfId="35736"/>
    <cellStyle name="Input 57 2 3 2" xfId="35737"/>
    <cellStyle name="Input 57 2 4" xfId="35738"/>
    <cellStyle name="Input 57 2 5" xfId="35739"/>
    <cellStyle name="Input 57 2 6" xfId="35740"/>
    <cellStyle name="Input 57 3" xfId="35741"/>
    <cellStyle name="Input 57 3 2" xfId="35742"/>
    <cellStyle name="Input 57 4" xfId="35743"/>
    <cellStyle name="Input 57 4 2" xfId="35744"/>
    <cellStyle name="Input 57 5" xfId="35745"/>
    <cellStyle name="Input 57 6" xfId="35746"/>
    <cellStyle name="Input 57 7" xfId="35747"/>
    <cellStyle name="Input 58" xfId="35748"/>
    <cellStyle name="Input 58 2" xfId="35749"/>
    <cellStyle name="Input 58 2 2" xfId="35750"/>
    <cellStyle name="Input 58 2 2 2" xfId="35751"/>
    <cellStyle name="Input 58 2 3" xfId="35752"/>
    <cellStyle name="Input 58 2 3 2" xfId="35753"/>
    <cellStyle name="Input 58 2 4" xfId="35754"/>
    <cellStyle name="Input 58 2 5" xfId="35755"/>
    <cellStyle name="Input 58 2 6" xfId="35756"/>
    <cellStyle name="Input 58 3" xfId="35757"/>
    <cellStyle name="Input 58 3 2" xfId="35758"/>
    <cellStyle name="Input 58 4" xfId="35759"/>
    <cellStyle name="Input 58 4 2" xfId="35760"/>
    <cellStyle name="Input 58 5" xfId="35761"/>
    <cellStyle name="Input 58 6" xfId="35762"/>
    <cellStyle name="Input 58 7" xfId="35763"/>
    <cellStyle name="Input 59" xfId="35764"/>
    <cellStyle name="Input 59 2" xfId="35765"/>
    <cellStyle name="Input 59 2 2" xfId="35766"/>
    <cellStyle name="Input 59 2 2 2" xfId="35767"/>
    <cellStyle name="Input 59 2 3" xfId="35768"/>
    <cellStyle name="Input 59 2 3 2" xfId="35769"/>
    <cellStyle name="Input 59 2 4" xfId="35770"/>
    <cellStyle name="Input 59 2 5" xfId="35771"/>
    <cellStyle name="Input 59 2 6" xfId="35772"/>
    <cellStyle name="Input 59 3" xfId="35773"/>
    <cellStyle name="Input 59 3 2" xfId="35774"/>
    <cellStyle name="Input 59 4" xfId="35775"/>
    <cellStyle name="Input 59 4 2" xfId="35776"/>
    <cellStyle name="Input 59 5" xfId="35777"/>
    <cellStyle name="Input 59 6" xfId="35778"/>
    <cellStyle name="Input 59 7" xfId="35779"/>
    <cellStyle name="Input 6" xfId="35780"/>
    <cellStyle name="Input 6 10" xfId="35781"/>
    <cellStyle name="Input 6 11" xfId="35782"/>
    <cellStyle name="Input 6 12" xfId="35783"/>
    <cellStyle name="Input 6 2" xfId="35784"/>
    <cellStyle name="Input 6 2 10" xfId="35785"/>
    <cellStyle name="Input 6 2 11" xfId="35786"/>
    <cellStyle name="Input 6 2 12" xfId="35787"/>
    <cellStyle name="Input 6 2 2" xfId="35788"/>
    <cellStyle name="Input 6 2 2 10" xfId="35789"/>
    <cellStyle name="Input 6 2 2 11" xfId="35790"/>
    <cellStyle name="Input 6 2 2 2" xfId="35791"/>
    <cellStyle name="Input 6 2 2 2 10" xfId="35792"/>
    <cellStyle name="Input 6 2 2 2 2" xfId="35793"/>
    <cellStyle name="Input 6 2 2 2 2 2" xfId="35794"/>
    <cellStyle name="Input 6 2 2 2 2 2 2" xfId="35795"/>
    <cellStyle name="Input 6 2 2 2 2 2 2 2" xfId="35796"/>
    <cellStyle name="Input 6 2 2 2 2 2 2 2 2" xfId="35797"/>
    <cellStyle name="Input 6 2 2 2 2 2 2 3" xfId="35798"/>
    <cellStyle name="Input 6 2 2 2 2 2 2 3 2" xfId="35799"/>
    <cellStyle name="Input 6 2 2 2 2 2 2 4" xfId="35800"/>
    <cellStyle name="Input 6 2 2 2 2 2 2 5" xfId="35801"/>
    <cellStyle name="Input 6 2 2 2 2 2 2 6" xfId="35802"/>
    <cellStyle name="Input 6 2 2 2 2 2 3" xfId="35803"/>
    <cellStyle name="Input 6 2 2 2 2 2 3 2" xfId="35804"/>
    <cellStyle name="Input 6 2 2 2 2 2 4" xfId="35805"/>
    <cellStyle name="Input 6 2 2 2 2 2 4 2" xfId="35806"/>
    <cellStyle name="Input 6 2 2 2 2 2 5" xfId="35807"/>
    <cellStyle name="Input 6 2 2 2 2 2 6" xfId="35808"/>
    <cellStyle name="Input 6 2 2 2 2 2 7" xfId="35809"/>
    <cellStyle name="Input 6 2 2 2 2 3" xfId="35810"/>
    <cellStyle name="Input 6 2 2 2 2 3 2" xfId="35811"/>
    <cellStyle name="Input 6 2 2 2 2 3 2 2" xfId="35812"/>
    <cellStyle name="Input 6 2 2 2 2 3 3" xfId="35813"/>
    <cellStyle name="Input 6 2 2 2 2 3 3 2" xfId="35814"/>
    <cellStyle name="Input 6 2 2 2 2 3 4" xfId="35815"/>
    <cellStyle name="Input 6 2 2 2 2 3 5" xfId="35816"/>
    <cellStyle name="Input 6 2 2 2 2 3 6" xfId="35817"/>
    <cellStyle name="Input 6 2 2 2 2 4" xfId="35818"/>
    <cellStyle name="Input 6 2 2 2 2 4 2" xfId="35819"/>
    <cellStyle name="Input 6 2 2 2 2 5" xfId="35820"/>
    <cellStyle name="Input 6 2 2 2 2 5 2" xfId="35821"/>
    <cellStyle name="Input 6 2 2 2 2 6" xfId="35822"/>
    <cellStyle name="Input 6 2 2 2 2 7" xfId="35823"/>
    <cellStyle name="Input 6 2 2 2 2 8" xfId="35824"/>
    <cellStyle name="Input 6 2 2 2 3" xfId="35825"/>
    <cellStyle name="Input 6 2 2 2 3 2" xfId="35826"/>
    <cellStyle name="Input 6 2 2 2 3 2 2" xfId="35827"/>
    <cellStyle name="Input 6 2 2 2 3 2 2 2" xfId="35828"/>
    <cellStyle name="Input 6 2 2 2 3 2 2 2 2" xfId="35829"/>
    <cellStyle name="Input 6 2 2 2 3 2 2 3" xfId="35830"/>
    <cellStyle name="Input 6 2 2 2 3 2 2 3 2" xfId="35831"/>
    <cellStyle name="Input 6 2 2 2 3 2 2 4" xfId="35832"/>
    <cellStyle name="Input 6 2 2 2 3 2 2 5" xfId="35833"/>
    <cellStyle name="Input 6 2 2 2 3 2 2 6" xfId="35834"/>
    <cellStyle name="Input 6 2 2 2 3 2 3" xfId="35835"/>
    <cellStyle name="Input 6 2 2 2 3 2 3 2" xfId="35836"/>
    <cellStyle name="Input 6 2 2 2 3 2 4" xfId="35837"/>
    <cellStyle name="Input 6 2 2 2 3 2 4 2" xfId="35838"/>
    <cellStyle name="Input 6 2 2 2 3 2 5" xfId="35839"/>
    <cellStyle name="Input 6 2 2 2 3 2 6" xfId="35840"/>
    <cellStyle name="Input 6 2 2 2 3 2 7" xfId="35841"/>
    <cellStyle name="Input 6 2 2 2 3 3" xfId="35842"/>
    <cellStyle name="Input 6 2 2 2 3 3 2" xfId="35843"/>
    <cellStyle name="Input 6 2 2 2 3 3 2 2" xfId="35844"/>
    <cellStyle name="Input 6 2 2 2 3 3 3" xfId="35845"/>
    <cellStyle name="Input 6 2 2 2 3 3 3 2" xfId="35846"/>
    <cellStyle name="Input 6 2 2 2 3 3 4" xfId="35847"/>
    <cellStyle name="Input 6 2 2 2 3 3 5" xfId="35848"/>
    <cellStyle name="Input 6 2 2 2 3 3 6" xfId="35849"/>
    <cellStyle name="Input 6 2 2 2 3 4" xfId="35850"/>
    <cellStyle name="Input 6 2 2 2 3 4 2" xfId="35851"/>
    <cellStyle name="Input 6 2 2 2 3 5" xfId="35852"/>
    <cellStyle name="Input 6 2 2 2 3 5 2" xfId="35853"/>
    <cellStyle name="Input 6 2 2 2 3 6" xfId="35854"/>
    <cellStyle name="Input 6 2 2 2 3 7" xfId="35855"/>
    <cellStyle name="Input 6 2 2 2 3 8" xfId="35856"/>
    <cellStyle name="Input 6 2 2 2 4" xfId="35857"/>
    <cellStyle name="Input 6 2 2 2 4 2" xfId="35858"/>
    <cellStyle name="Input 6 2 2 2 4 2 2" xfId="35859"/>
    <cellStyle name="Input 6 2 2 2 4 2 2 2" xfId="35860"/>
    <cellStyle name="Input 6 2 2 2 4 2 3" xfId="35861"/>
    <cellStyle name="Input 6 2 2 2 4 2 3 2" xfId="35862"/>
    <cellStyle name="Input 6 2 2 2 4 2 4" xfId="35863"/>
    <cellStyle name="Input 6 2 2 2 4 2 5" xfId="35864"/>
    <cellStyle name="Input 6 2 2 2 4 2 6" xfId="35865"/>
    <cellStyle name="Input 6 2 2 2 4 3" xfId="35866"/>
    <cellStyle name="Input 6 2 2 2 4 3 2" xfId="35867"/>
    <cellStyle name="Input 6 2 2 2 4 4" xfId="35868"/>
    <cellStyle name="Input 6 2 2 2 4 4 2" xfId="35869"/>
    <cellStyle name="Input 6 2 2 2 4 5" xfId="35870"/>
    <cellStyle name="Input 6 2 2 2 4 6" xfId="35871"/>
    <cellStyle name="Input 6 2 2 2 4 7" xfId="35872"/>
    <cellStyle name="Input 6 2 2 2 5" xfId="35873"/>
    <cellStyle name="Input 6 2 2 2 5 2" xfId="35874"/>
    <cellStyle name="Input 6 2 2 2 5 2 2" xfId="35875"/>
    <cellStyle name="Input 6 2 2 2 5 3" xfId="35876"/>
    <cellStyle name="Input 6 2 2 2 5 3 2" xfId="35877"/>
    <cellStyle name="Input 6 2 2 2 5 4" xfId="35878"/>
    <cellStyle name="Input 6 2 2 2 5 5" xfId="35879"/>
    <cellStyle name="Input 6 2 2 2 5 6" xfId="35880"/>
    <cellStyle name="Input 6 2 2 2 6" xfId="35881"/>
    <cellStyle name="Input 6 2 2 2 6 2" xfId="35882"/>
    <cellStyle name="Input 6 2 2 2 7" xfId="35883"/>
    <cellStyle name="Input 6 2 2 2 7 2" xfId="35884"/>
    <cellStyle name="Input 6 2 2 2 8" xfId="35885"/>
    <cellStyle name="Input 6 2 2 2 9" xfId="35886"/>
    <cellStyle name="Input 6 2 2 3" xfId="35887"/>
    <cellStyle name="Input 6 2 2 3 2" xfId="35888"/>
    <cellStyle name="Input 6 2 2 3 2 2" xfId="35889"/>
    <cellStyle name="Input 6 2 2 3 2 2 2" xfId="35890"/>
    <cellStyle name="Input 6 2 2 3 2 2 2 2" xfId="35891"/>
    <cellStyle name="Input 6 2 2 3 2 2 3" xfId="35892"/>
    <cellStyle name="Input 6 2 2 3 2 2 3 2" xfId="35893"/>
    <cellStyle name="Input 6 2 2 3 2 2 4" xfId="35894"/>
    <cellStyle name="Input 6 2 2 3 2 2 5" xfId="35895"/>
    <cellStyle name="Input 6 2 2 3 2 2 6" xfId="35896"/>
    <cellStyle name="Input 6 2 2 3 2 3" xfId="35897"/>
    <cellStyle name="Input 6 2 2 3 2 3 2" xfId="35898"/>
    <cellStyle name="Input 6 2 2 3 2 4" xfId="35899"/>
    <cellStyle name="Input 6 2 2 3 2 4 2" xfId="35900"/>
    <cellStyle name="Input 6 2 2 3 2 5" xfId="35901"/>
    <cellStyle name="Input 6 2 2 3 2 6" xfId="35902"/>
    <cellStyle name="Input 6 2 2 3 2 7" xfId="35903"/>
    <cellStyle name="Input 6 2 2 3 3" xfId="35904"/>
    <cellStyle name="Input 6 2 2 3 3 2" xfId="35905"/>
    <cellStyle name="Input 6 2 2 3 3 2 2" xfId="35906"/>
    <cellStyle name="Input 6 2 2 3 3 3" xfId="35907"/>
    <cellStyle name="Input 6 2 2 3 3 3 2" xfId="35908"/>
    <cellStyle name="Input 6 2 2 3 3 4" xfId="35909"/>
    <cellStyle name="Input 6 2 2 3 3 5" xfId="35910"/>
    <cellStyle name="Input 6 2 2 3 3 6" xfId="35911"/>
    <cellStyle name="Input 6 2 2 3 4" xfId="35912"/>
    <cellStyle name="Input 6 2 2 3 4 2" xfId="35913"/>
    <cellStyle name="Input 6 2 2 3 5" xfId="35914"/>
    <cellStyle name="Input 6 2 2 3 5 2" xfId="35915"/>
    <cellStyle name="Input 6 2 2 3 6" xfId="35916"/>
    <cellStyle name="Input 6 2 2 3 7" xfId="35917"/>
    <cellStyle name="Input 6 2 2 3 8" xfId="35918"/>
    <cellStyle name="Input 6 2 2 4" xfId="35919"/>
    <cellStyle name="Input 6 2 2 4 2" xfId="35920"/>
    <cellStyle name="Input 6 2 2 4 2 2" xfId="35921"/>
    <cellStyle name="Input 6 2 2 4 2 2 2" xfId="35922"/>
    <cellStyle name="Input 6 2 2 4 2 2 2 2" xfId="35923"/>
    <cellStyle name="Input 6 2 2 4 2 2 3" xfId="35924"/>
    <cellStyle name="Input 6 2 2 4 2 2 3 2" xfId="35925"/>
    <cellStyle name="Input 6 2 2 4 2 2 4" xfId="35926"/>
    <cellStyle name="Input 6 2 2 4 2 2 5" xfId="35927"/>
    <cellStyle name="Input 6 2 2 4 2 2 6" xfId="35928"/>
    <cellStyle name="Input 6 2 2 4 2 3" xfId="35929"/>
    <cellStyle name="Input 6 2 2 4 2 3 2" xfId="35930"/>
    <cellStyle name="Input 6 2 2 4 2 4" xfId="35931"/>
    <cellStyle name="Input 6 2 2 4 2 4 2" xfId="35932"/>
    <cellStyle name="Input 6 2 2 4 2 5" xfId="35933"/>
    <cellStyle name="Input 6 2 2 4 2 6" xfId="35934"/>
    <cellStyle name="Input 6 2 2 4 2 7" xfId="35935"/>
    <cellStyle name="Input 6 2 2 4 3" xfId="35936"/>
    <cellStyle name="Input 6 2 2 4 3 2" xfId="35937"/>
    <cellStyle name="Input 6 2 2 4 3 2 2" xfId="35938"/>
    <cellStyle name="Input 6 2 2 4 3 3" xfId="35939"/>
    <cellStyle name="Input 6 2 2 4 3 3 2" xfId="35940"/>
    <cellStyle name="Input 6 2 2 4 3 4" xfId="35941"/>
    <cellStyle name="Input 6 2 2 4 3 5" xfId="35942"/>
    <cellStyle name="Input 6 2 2 4 3 6" xfId="35943"/>
    <cellStyle name="Input 6 2 2 4 4" xfId="35944"/>
    <cellStyle name="Input 6 2 2 4 4 2" xfId="35945"/>
    <cellStyle name="Input 6 2 2 4 5" xfId="35946"/>
    <cellStyle name="Input 6 2 2 4 5 2" xfId="35947"/>
    <cellStyle name="Input 6 2 2 4 6" xfId="35948"/>
    <cellStyle name="Input 6 2 2 4 7" xfId="35949"/>
    <cellStyle name="Input 6 2 2 4 8" xfId="35950"/>
    <cellStyle name="Input 6 2 2 5" xfId="35951"/>
    <cellStyle name="Input 6 2 2 5 2" xfId="35952"/>
    <cellStyle name="Input 6 2 2 5 2 2" xfId="35953"/>
    <cellStyle name="Input 6 2 2 5 2 2 2" xfId="35954"/>
    <cellStyle name="Input 6 2 2 5 2 3" xfId="35955"/>
    <cellStyle name="Input 6 2 2 5 2 3 2" xfId="35956"/>
    <cellStyle name="Input 6 2 2 5 2 4" xfId="35957"/>
    <cellStyle name="Input 6 2 2 5 2 5" xfId="35958"/>
    <cellStyle name="Input 6 2 2 5 2 6" xfId="35959"/>
    <cellStyle name="Input 6 2 2 5 3" xfId="35960"/>
    <cellStyle name="Input 6 2 2 5 3 2" xfId="35961"/>
    <cellStyle name="Input 6 2 2 5 4" xfId="35962"/>
    <cellStyle name="Input 6 2 2 5 4 2" xfId="35963"/>
    <cellStyle name="Input 6 2 2 5 5" xfId="35964"/>
    <cellStyle name="Input 6 2 2 5 6" xfId="35965"/>
    <cellStyle name="Input 6 2 2 5 7" xfId="35966"/>
    <cellStyle name="Input 6 2 2 6" xfId="35967"/>
    <cellStyle name="Input 6 2 2 6 2" xfId="35968"/>
    <cellStyle name="Input 6 2 2 6 2 2" xfId="35969"/>
    <cellStyle name="Input 6 2 2 6 3" xfId="35970"/>
    <cellStyle name="Input 6 2 2 6 3 2" xfId="35971"/>
    <cellStyle name="Input 6 2 2 6 4" xfId="35972"/>
    <cellStyle name="Input 6 2 2 6 5" xfId="35973"/>
    <cellStyle name="Input 6 2 2 6 6" xfId="35974"/>
    <cellStyle name="Input 6 2 2 7" xfId="35975"/>
    <cellStyle name="Input 6 2 2 7 2" xfId="35976"/>
    <cellStyle name="Input 6 2 2 8" xfId="35977"/>
    <cellStyle name="Input 6 2 2 8 2" xfId="35978"/>
    <cellStyle name="Input 6 2 2 9" xfId="35979"/>
    <cellStyle name="Input 6 2 3" xfId="35980"/>
    <cellStyle name="Input 6 2 3 10" xfId="35981"/>
    <cellStyle name="Input 6 2 3 2" xfId="35982"/>
    <cellStyle name="Input 6 2 3 2 10" xfId="35983"/>
    <cellStyle name="Input 6 2 3 2 2" xfId="35984"/>
    <cellStyle name="Input 6 2 3 2 2 2" xfId="35985"/>
    <cellStyle name="Input 6 2 3 2 2 2 2" xfId="35986"/>
    <cellStyle name="Input 6 2 3 2 2 2 2 2" xfId="35987"/>
    <cellStyle name="Input 6 2 3 2 2 2 2 2 2" xfId="35988"/>
    <cellStyle name="Input 6 2 3 2 2 2 2 3" xfId="35989"/>
    <cellStyle name="Input 6 2 3 2 2 2 2 3 2" xfId="35990"/>
    <cellStyle name="Input 6 2 3 2 2 2 2 4" xfId="35991"/>
    <cellStyle name="Input 6 2 3 2 2 2 2 5" xfId="35992"/>
    <cellStyle name="Input 6 2 3 2 2 2 2 6" xfId="35993"/>
    <cellStyle name="Input 6 2 3 2 2 2 3" xfId="35994"/>
    <cellStyle name="Input 6 2 3 2 2 2 3 2" xfId="35995"/>
    <cellStyle name="Input 6 2 3 2 2 2 4" xfId="35996"/>
    <cellStyle name="Input 6 2 3 2 2 2 4 2" xfId="35997"/>
    <cellStyle name="Input 6 2 3 2 2 2 5" xfId="35998"/>
    <cellStyle name="Input 6 2 3 2 2 2 6" xfId="35999"/>
    <cellStyle name="Input 6 2 3 2 2 2 7" xfId="36000"/>
    <cellStyle name="Input 6 2 3 2 2 3" xfId="36001"/>
    <cellStyle name="Input 6 2 3 2 2 3 2" xfId="36002"/>
    <cellStyle name="Input 6 2 3 2 2 3 2 2" xfId="36003"/>
    <cellStyle name="Input 6 2 3 2 2 3 3" xfId="36004"/>
    <cellStyle name="Input 6 2 3 2 2 3 3 2" xfId="36005"/>
    <cellStyle name="Input 6 2 3 2 2 3 4" xfId="36006"/>
    <cellStyle name="Input 6 2 3 2 2 3 5" xfId="36007"/>
    <cellStyle name="Input 6 2 3 2 2 3 6" xfId="36008"/>
    <cellStyle name="Input 6 2 3 2 2 4" xfId="36009"/>
    <cellStyle name="Input 6 2 3 2 2 4 2" xfId="36010"/>
    <cellStyle name="Input 6 2 3 2 2 5" xfId="36011"/>
    <cellStyle name="Input 6 2 3 2 2 5 2" xfId="36012"/>
    <cellStyle name="Input 6 2 3 2 2 6" xfId="36013"/>
    <cellStyle name="Input 6 2 3 2 2 7" xfId="36014"/>
    <cellStyle name="Input 6 2 3 2 2 8" xfId="36015"/>
    <cellStyle name="Input 6 2 3 2 3" xfId="36016"/>
    <cellStyle name="Input 6 2 3 2 3 2" xfId="36017"/>
    <cellStyle name="Input 6 2 3 2 3 2 2" xfId="36018"/>
    <cellStyle name="Input 6 2 3 2 3 2 2 2" xfId="36019"/>
    <cellStyle name="Input 6 2 3 2 3 2 2 2 2" xfId="36020"/>
    <cellStyle name="Input 6 2 3 2 3 2 2 3" xfId="36021"/>
    <cellStyle name="Input 6 2 3 2 3 2 2 3 2" xfId="36022"/>
    <cellStyle name="Input 6 2 3 2 3 2 2 4" xfId="36023"/>
    <cellStyle name="Input 6 2 3 2 3 2 2 5" xfId="36024"/>
    <cellStyle name="Input 6 2 3 2 3 2 2 6" xfId="36025"/>
    <cellStyle name="Input 6 2 3 2 3 2 3" xfId="36026"/>
    <cellStyle name="Input 6 2 3 2 3 2 3 2" xfId="36027"/>
    <cellStyle name="Input 6 2 3 2 3 2 4" xfId="36028"/>
    <cellStyle name="Input 6 2 3 2 3 2 4 2" xfId="36029"/>
    <cellStyle name="Input 6 2 3 2 3 2 5" xfId="36030"/>
    <cellStyle name="Input 6 2 3 2 3 2 6" xfId="36031"/>
    <cellStyle name="Input 6 2 3 2 3 2 7" xfId="36032"/>
    <cellStyle name="Input 6 2 3 2 3 3" xfId="36033"/>
    <cellStyle name="Input 6 2 3 2 3 3 2" xfId="36034"/>
    <cellStyle name="Input 6 2 3 2 3 3 2 2" xfId="36035"/>
    <cellStyle name="Input 6 2 3 2 3 3 3" xfId="36036"/>
    <cellStyle name="Input 6 2 3 2 3 3 3 2" xfId="36037"/>
    <cellStyle name="Input 6 2 3 2 3 3 4" xfId="36038"/>
    <cellStyle name="Input 6 2 3 2 3 3 5" xfId="36039"/>
    <cellStyle name="Input 6 2 3 2 3 3 6" xfId="36040"/>
    <cellStyle name="Input 6 2 3 2 3 4" xfId="36041"/>
    <cellStyle name="Input 6 2 3 2 3 4 2" xfId="36042"/>
    <cellStyle name="Input 6 2 3 2 3 5" xfId="36043"/>
    <cellStyle name="Input 6 2 3 2 3 5 2" xfId="36044"/>
    <cellStyle name="Input 6 2 3 2 3 6" xfId="36045"/>
    <cellStyle name="Input 6 2 3 2 3 7" xfId="36046"/>
    <cellStyle name="Input 6 2 3 2 3 8" xfId="36047"/>
    <cellStyle name="Input 6 2 3 2 4" xfId="36048"/>
    <cellStyle name="Input 6 2 3 2 4 2" xfId="36049"/>
    <cellStyle name="Input 6 2 3 2 4 2 2" xfId="36050"/>
    <cellStyle name="Input 6 2 3 2 4 2 2 2" xfId="36051"/>
    <cellStyle name="Input 6 2 3 2 4 2 3" xfId="36052"/>
    <cellStyle name="Input 6 2 3 2 4 2 3 2" xfId="36053"/>
    <cellStyle name="Input 6 2 3 2 4 2 4" xfId="36054"/>
    <cellStyle name="Input 6 2 3 2 4 2 5" xfId="36055"/>
    <cellStyle name="Input 6 2 3 2 4 2 6" xfId="36056"/>
    <cellStyle name="Input 6 2 3 2 4 3" xfId="36057"/>
    <cellStyle name="Input 6 2 3 2 4 3 2" xfId="36058"/>
    <cellStyle name="Input 6 2 3 2 4 4" xfId="36059"/>
    <cellStyle name="Input 6 2 3 2 4 4 2" xfId="36060"/>
    <cellStyle name="Input 6 2 3 2 4 5" xfId="36061"/>
    <cellStyle name="Input 6 2 3 2 4 6" xfId="36062"/>
    <cellStyle name="Input 6 2 3 2 4 7" xfId="36063"/>
    <cellStyle name="Input 6 2 3 2 5" xfId="36064"/>
    <cellStyle name="Input 6 2 3 2 5 2" xfId="36065"/>
    <cellStyle name="Input 6 2 3 2 5 2 2" xfId="36066"/>
    <cellStyle name="Input 6 2 3 2 5 3" xfId="36067"/>
    <cellStyle name="Input 6 2 3 2 5 3 2" xfId="36068"/>
    <cellStyle name="Input 6 2 3 2 5 4" xfId="36069"/>
    <cellStyle name="Input 6 2 3 2 5 5" xfId="36070"/>
    <cellStyle name="Input 6 2 3 2 5 6" xfId="36071"/>
    <cellStyle name="Input 6 2 3 2 6" xfId="36072"/>
    <cellStyle name="Input 6 2 3 2 6 2" xfId="36073"/>
    <cellStyle name="Input 6 2 3 2 7" xfId="36074"/>
    <cellStyle name="Input 6 2 3 2 7 2" xfId="36075"/>
    <cellStyle name="Input 6 2 3 2 8" xfId="36076"/>
    <cellStyle name="Input 6 2 3 2 9" xfId="36077"/>
    <cellStyle name="Input 6 2 3 3" xfId="36078"/>
    <cellStyle name="Input 6 2 3 3 2" xfId="36079"/>
    <cellStyle name="Input 6 2 3 3 2 2" xfId="36080"/>
    <cellStyle name="Input 6 2 3 3 2 2 2" xfId="36081"/>
    <cellStyle name="Input 6 2 3 3 2 2 2 2" xfId="36082"/>
    <cellStyle name="Input 6 2 3 3 2 2 3" xfId="36083"/>
    <cellStyle name="Input 6 2 3 3 2 2 3 2" xfId="36084"/>
    <cellStyle name="Input 6 2 3 3 2 2 4" xfId="36085"/>
    <cellStyle name="Input 6 2 3 3 2 2 5" xfId="36086"/>
    <cellStyle name="Input 6 2 3 3 2 2 6" xfId="36087"/>
    <cellStyle name="Input 6 2 3 3 2 3" xfId="36088"/>
    <cellStyle name="Input 6 2 3 3 2 3 2" xfId="36089"/>
    <cellStyle name="Input 6 2 3 3 2 4" xfId="36090"/>
    <cellStyle name="Input 6 2 3 3 2 4 2" xfId="36091"/>
    <cellStyle name="Input 6 2 3 3 2 5" xfId="36092"/>
    <cellStyle name="Input 6 2 3 3 2 6" xfId="36093"/>
    <cellStyle name="Input 6 2 3 3 2 7" xfId="36094"/>
    <cellStyle name="Input 6 2 3 3 3" xfId="36095"/>
    <cellStyle name="Input 6 2 3 3 3 2" xfId="36096"/>
    <cellStyle name="Input 6 2 3 3 3 2 2" xfId="36097"/>
    <cellStyle name="Input 6 2 3 3 3 3" xfId="36098"/>
    <cellStyle name="Input 6 2 3 3 3 3 2" xfId="36099"/>
    <cellStyle name="Input 6 2 3 3 3 4" xfId="36100"/>
    <cellStyle name="Input 6 2 3 3 3 5" xfId="36101"/>
    <cellStyle name="Input 6 2 3 3 3 6" xfId="36102"/>
    <cellStyle name="Input 6 2 3 3 4" xfId="36103"/>
    <cellStyle name="Input 6 2 3 3 4 2" xfId="36104"/>
    <cellStyle name="Input 6 2 3 3 5" xfId="36105"/>
    <cellStyle name="Input 6 2 3 3 5 2" xfId="36106"/>
    <cellStyle name="Input 6 2 3 3 6" xfId="36107"/>
    <cellStyle name="Input 6 2 3 3 7" xfId="36108"/>
    <cellStyle name="Input 6 2 3 3 8" xfId="36109"/>
    <cellStyle name="Input 6 2 3 4" xfId="36110"/>
    <cellStyle name="Input 6 2 3 4 2" xfId="36111"/>
    <cellStyle name="Input 6 2 3 4 2 2" xfId="36112"/>
    <cellStyle name="Input 6 2 3 4 2 2 2" xfId="36113"/>
    <cellStyle name="Input 6 2 3 4 2 3" xfId="36114"/>
    <cellStyle name="Input 6 2 3 4 2 3 2" xfId="36115"/>
    <cellStyle name="Input 6 2 3 4 2 4" xfId="36116"/>
    <cellStyle name="Input 6 2 3 4 2 5" xfId="36117"/>
    <cellStyle name="Input 6 2 3 4 2 6" xfId="36118"/>
    <cellStyle name="Input 6 2 3 4 3" xfId="36119"/>
    <cellStyle name="Input 6 2 3 4 3 2" xfId="36120"/>
    <cellStyle name="Input 6 2 3 4 4" xfId="36121"/>
    <cellStyle name="Input 6 2 3 4 4 2" xfId="36122"/>
    <cellStyle name="Input 6 2 3 4 5" xfId="36123"/>
    <cellStyle name="Input 6 2 3 4 6" xfId="36124"/>
    <cellStyle name="Input 6 2 3 4 7" xfId="36125"/>
    <cellStyle name="Input 6 2 3 5" xfId="36126"/>
    <cellStyle name="Input 6 2 3 5 2" xfId="36127"/>
    <cellStyle name="Input 6 2 3 5 2 2" xfId="36128"/>
    <cellStyle name="Input 6 2 3 5 3" xfId="36129"/>
    <cellStyle name="Input 6 2 3 5 3 2" xfId="36130"/>
    <cellStyle name="Input 6 2 3 5 4" xfId="36131"/>
    <cellStyle name="Input 6 2 3 5 5" xfId="36132"/>
    <cellStyle name="Input 6 2 3 5 6" xfId="36133"/>
    <cellStyle name="Input 6 2 3 6" xfId="36134"/>
    <cellStyle name="Input 6 2 3 6 2" xfId="36135"/>
    <cellStyle name="Input 6 2 3 7" xfId="36136"/>
    <cellStyle name="Input 6 2 3 7 2" xfId="36137"/>
    <cellStyle name="Input 6 2 3 8" xfId="36138"/>
    <cellStyle name="Input 6 2 3 9" xfId="36139"/>
    <cellStyle name="Input 6 2 4" xfId="36140"/>
    <cellStyle name="Input 6 2 4 10" xfId="36141"/>
    <cellStyle name="Input 6 2 4 2" xfId="36142"/>
    <cellStyle name="Input 6 2 4 2 2" xfId="36143"/>
    <cellStyle name="Input 6 2 4 2 2 2" xfId="36144"/>
    <cellStyle name="Input 6 2 4 2 2 2 2" xfId="36145"/>
    <cellStyle name="Input 6 2 4 2 2 2 2 2" xfId="36146"/>
    <cellStyle name="Input 6 2 4 2 2 2 3" xfId="36147"/>
    <cellStyle name="Input 6 2 4 2 2 2 3 2" xfId="36148"/>
    <cellStyle name="Input 6 2 4 2 2 2 4" xfId="36149"/>
    <cellStyle name="Input 6 2 4 2 2 2 5" xfId="36150"/>
    <cellStyle name="Input 6 2 4 2 2 2 6" xfId="36151"/>
    <cellStyle name="Input 6 2 4 2 2 3" xfId="36152"/>
    <cellStyle name="Input 6 2 4 2 2 3 2" xfId="36153"/>
    <cellStyle name="Input 6 2 4 2 2 4" xfId="36154"/>
    <cellStyle name="Input 6 2 4 2 2 4 2" xfId="36155"/>
    <cellStyle name="Input 6 2 4 2 2 5" xfId="36156"/>
    <cellStyle name="Input 6 2 4 2 2 6" xfId="36157"/>
    <cellStyle name="Input 6 2 4 2 2 7" xfId="36158"/>
    <cellStyle name="Input 6 2 4 2 3" xfId="36159"/>
    <cellStyle name="Input 6 2 4 2 3 2" xfId="36160"/>
    <cellStyle name="Input 6 2 4 2 3 2 2" xfId="36161"/>
    <cellStyle name="Input 6 2 4 2 3 3" xfId="36162"/>
    <cellStyle name="Input 6 2 4 2 3 3 2" xfId="36163"/>
    <cellStyle name="Input 6 2 4 2 3 4" xfId="36164"/>
    <cellStyle name="Input 6 2 4 2 3 5" xfId="36165"/>
    <cellStyle name="Input 6 2 4 2 3 6" xfId="36166"/>
    <cellStyle name="Input 6 2 4 2 4" xfId="36167"/>
    <cellStyle name="Input 6 2 4 2 4 2" xfId="36168"/>
    <cellStyle name="Input 6 2 4 2 5" xfId="36169"/>
    <cellStyle name="Input 6 2 4 2 5 2" xfId="36170"/>
    <cellStyle name="Input 6 2 4 2 6" xfId="36171"/>
    <cellStyle name="Input 6 2 4 2 7" xfId="36172"/>
    <cellStyle name="Input 6 2 4 2 8" xfId="36173"/>
    <cellStyle name="Input 6 2 4 3" xfId="36174"/>
    <cellStyle name="Input 6 2 4 3 2" xfId="36175"/>
    <cellStyle name="Input 6 2 4 3 2 2" xfId="36176"/>
    <cellStyle name="Input 6 2 4 3 2 2 2" xfId="36177"/>
    <cellStyle name="Input 6 2 4 3 2 2 2 2" xfId="36178"/>
    <cellStyle name="Input 6 2 4 3 2 2 3" xfId="36179"/>
    <cellStyle name="Input 6 2 4 3 2 2 3 2" xfId="36180"/>
    <cellStyle name="Input 6 2 4 3 2 2 4" xfId="36181"/>
    <cellStyle name="Input 6 2 4 3 2 2 5" xfId="36182"/>
    <cellStyle name="Input 6 2 4 3 2 2 6" xfId="36183"/>
    <cellStyle name="Input 6 2 4 3 2 3" xfId="36184"/>
    <cellStyle name="Input 6 2 4 3 2 3 2" xfId="36185"/>
    <cellStyle name="Input 6 2 4 3 2 4" xfId="36186"/>
    <cellStyle name="Input 6 2 4 3 2 4 2" xfId="36187"/>
    <cellStyle name="Input 6 2 4 3 2 5" xfId="36188"/>
    <cellStyle name="Input 6 2 4 3 2 6" xfId="36189"/>
    <cellStyle name="Input 6 2 4 3 2 7" xfId="36190"/>
    <cellStyle name="Input 6 2 4 3 3" xfId="36191"/>
    <cellStyle name="Input 6 2 4 3 3 2" xfId="36192"/>
    <cellStyle name="Input 6 2 4 3 3 2 2" xfId="36193"/>
    <cellStyle name="Input 6 2 4 3 3 3" xfId="36194"/>
    <cellStyle name="Input 6 2 4 3 3 3 2" xfId="36195"/>
    <cellStyle name="Input 6 2 4 3 3 4" xfId="36196"/>
    <cellStyle name="Input 6 2 4 3 3 5" xfId="36197"/>
    <cellStyle name="Input 6 2 4 3 3 6" xfId="36198"/>
    <cellStyle name="Input 6 2 4 3 4" xfId="36199"/>
    <cellStyle name="Input 6 2 4 3 4 2" xfId="36200"/>
    <cellStyle name="Input 6 2 4 3 5" xfId="36201"/>
    <cellStyle name="Input 6 2 4 3 5 2" xfId="36202"/>
    <cellStyle name="Input 6 2 4 3 6" xfId="36203"/>
    <cellStyle name="Input 6 2 4 3 7" xfId="36204"/>
    <cellStyle name="Input 6 2 4 3 8" xfId="36205"/>
    <cellStyle name="Input 6 2 4 4" xfId="36206"/>
    <cellStyle name="Input 6 2 4 4 2" xfId="36207"/>
    <cellStyle name="Input 6 2 4 4 2 2" xfId="36208"/>
    <cellStyle name="Input 6 2 4 4 2 2 2" xfId="36209"/>
    <cellStyle name="Input 6 2 4 4 2 3" xfId="36210"/>
    <cellStyle name="Input 6 2 4 4 2 3 2" xfId="36211"/>
    <cellStyle name="Input 6 2 4 4 2 4" xfId="36212"/>
    <cellStyle name="Input 6 2 4 4 2 5" xfId="36213"/>
    <cellStyle name="Input 6 2 4 4 2 6" xfId="36214"/>
    <cellStyle name="Input 6 2 4 4 3" xfId="36215"/>
    <cellStyle name="Input 6 2 4 4 3 2" xfId="36216"/>
    <cellStyle name="Input 6 2 4 4 4" xfId="36217"/>
    <cellStyle name="Input 6 2 4 4 4 2" xfId="36218"/>
    <cellStyle name="Input 6 2 4 4 5" xfId="36219"/>
    <cellStyle name="Input 6 2 4 4 6" xfId="36220"/>
    <cellStyle name="Input 6 2 4 4 7" xfId="36221"/>
    <cellStyle name="Input 6 2 4 5" xfId="36222"/>
    <cellStyle name="Input 6 2 4 5 2" xfId="36223"/>
    <cellStyle name="Input 6 2 4 5 2 2" xfId="36224"/>
    <cellStyle name="Input 6 2 4 5 3" xfId="36225"/>
    <cellStyle name="Input 6 2 4 5 3 2" xfId="36226"/>
    <cellStyle name="Input 6 2 4 5 4" xfId="36227"/>
    <cellStyle name="Input 6 2 4 5 5" xfId="36228"/>
    <cellStyle name="Input 6 2 4 5 6" xfId="36229"/>
    <cellStyle name="Input 6 2 4 6" xfId="36230"/>
    <cellStyle name="Input 6 2 4 6 2" xfId="36231"/>
    <cellStyle name="Input 6 2 4 7" xfId="36232"/>
    <cellStyle name="Input 6 2 4 7 2" xfId="36233"/>
    <cellStyle name="Input 6 2 4 8" xfId="36234"/>
    <cellStyle name="Input 6 2 4 9" xfId="36235"/>
    <cellStyle name="Input 6 2 5" xfId="36236"/>
    <cellStyle name="Input 6 2 5 2" xfId="36237"/>
    <cellStyle name="Input 6 2 5 2 2" xfId="36238"/>
    <cellStyle name="Input 6 2 5 2 2 2" xfId="36239"/>
    <cellStyle name="Input 6 2 5 2 2 2 2" xfId="36240"/>
    <cellStyle name="Input 6 2 5 2 2 3" xfId="36241"/>
    <cellStyle name="Input 6 2 5 2 2 3 2" xfId="36242"/>
    <cellStyle name="Input 6 2 5 2 2 4" xfId="36243"/>
    <cellStyle name="Input 6 2 5 2 2 5" xfId="36244"/>
    <cellStyle name="Input 6 2 5 2 2 6" xfId="36245"/>
    <cellStyle name="Input 6 2 5 2 3" xfId="36246"/>
    <cellStyle name="Input 6 2 5 2 3 2" xfId="36247"/>
    <cellStyle name="Input 6 2 5 2 4" xfId="36248"/>
    <cellStyle name="Input 6 2 5 2 4 2" xfId="36249"/>
    <cellStyle name="Input 6 2 5 2 5" xfId="36250"/>
    <cellStyle name="Input 6 2 5 2 6" xfId="36251"/>
    <cellStyle name="Input 6 2 5 2 7" xfId="36252"/>
    <cellStyle name="Input 6 2 5 3" xfId="36253"/>
    <cellStyle name="Input 6 2 5 3 2" xfId="36254"/>
    <cellStyle name="Input 6 2 5 3 2 2" xfId="36255"/>
    <cellStyle name="Input 6 2 5 3 3" xfId="36256"/>
    <cellStyle name="Input 6 2 5 3 3 2" xfId="36257"/>
    <cellStyle name="Input 6 2 5 3 4" xfId="36258"/>
    <cellStyle name="Input 6 2 5 3 5" xfId="36259"/>
    <cellStyle name="Input 6 2 5 3 6" xfId="36260"/>
    <cellStyle name="Input 6 2 5 4" xfId="36261"/>
    <cellStyle name="Input 6 2 5 4 2" xfId="36262"/>
    <cellStyle name="Input 6 2 5 5" xfId="36263"/>
    <cellStyle name="Input 6 2 5 5 2" xfId="36264"/>
    <cellStyle name="Input 6 2 5 6" xfId="36265"/>
    <cellStyle name="Input 6 2 5 7" xfId="36266"/>
    <cellStyle name="Input 6 2 5 8" xfId="36267"/>
    <cellStyle name="Input 6 2 6" xfId="36268"/>
    <cellStyle name="Input 6 2 6 2" xfId="36269"/>
    <cellStyle name="Input 6 2 6 2 2" xfId="36270"/>
    <cellStyle name="Input 6 2 6 2 2 2" xfId="36271"/>
    <cellStyle name="Input 6 2 6 2 3" xfId="36272"/>
    <cellStyle name="Input 6 2 6 2 3 2" xfId="36273"/>
    <cellStyle name="Input 6 2 6 2 4" xfId="36274"/>
    <cellStyle name="Input 6 2 6 2 5" xfId="36275"/>
    <cellStyle name="Input 6 2 6 2 6" xfId="36276"/>
    <cellStyle name="Input 6 2 6 3" xfId="36277"/>
    <cellStyle name="Input 6 2 6 3 2" xfId="36278"/>
    <cellStyle name="Input 6 2 6 4" xfId="36279"/>
    <cellStyle name="Input 6 2 6 4 2" xfId="36280"/>
    <cellStyle name="Input 6 2 6 5" xfId="36281"/>
    <cellStyle name="Input 6 2 6 6" xfId="36282"/>
    <cellStyle name="Input 6 2 6 7" xfId="36283"/>
    <cellStyle name="Input 6 2 7" xfId="36284"/>
    <cellStyle name="Input 6 2 7 2" xfId="36285"/>
    <cellStyle name="Input 6 2 7 2 2" xfId="36286"/>
    <cellStyle name="Input 6 2 7 3" xfId="36287"/>
    <cellStyle name="Input 6 2 7 3 2" xfId="36288"/>
    <cellStyle name="Input 6 2 7 4" xfId="36289"/>
    <cellStyle name="Input 6 2 7 5" xfId="36290"/>
    <cellStyle name="Input 6 2 7 6" xfId="36291"/>
    <cellStyle name="Input 6 2 8" xfId="36292"/>
    <cellStyle name="Input 6 2 8 2" xfId="36293"/>
    <cellStyle name="Input 6 2 9" xfId="36294"/>
    <cellStyle name="Input 6 2 9 2" xfId="36295"/>
    <cellStyle name="Input 6 3" xfId="36296"/>
    <cellStyle name="Input 6 3 10" xfId="36297"/>
    <cellStyle name="Input 6 3 11" xfId="36298"/>
    <cellStyle name="Input 6 3 2" xfId="36299"/>
    <cellStyle name="Input 6 3 2 10" xfId="36300"/>
    <cellStyle name="Input 6 3 2 2" xfId="36301"/>
    <cellStyle name="Input 6 3 2 2 10" xfId="36302"/>
    <cellStyle name="Input 6 3 2 2 2" xfId="36303"/>
    <cellStyle name="Input 6 3 2 2 2 2" xfId="36304"/>
    <cellStyle name="Input 6 3 2 2 2 2 2" xfId="36305"/>
    <cellStyle name="Input 6 3 2 2 2 2 2 2" xfId="36306"/>
    <cellStyle name="Input 6 3 2 2 2 2 2 2 2" xfId="36307"/>
    <cellStyle name="Input 6 3 2 2 2 2 2 3" xfId="36308"/>
    <cellStyle name="Input 6 3 2 2 2 2 2 3 2" xfId="36309"/>
    <cellStyle name="Input 6 3 2 2 2 2 2 4" xfId="36310"/>
    <cellStyle name="Input 6 3 2 2 2 2 2 5" xfId="36311"/>
    <cellStyle name="Input 6 3 2 2 2 2 2 6" xfId="36312"/>
    <cellStyle name="Input 6 3 2 2 2 2 3" xfId="36313"/>
    <cellStyle name="Input 6 3 2 2 2 2 3 2" xfId="36314"/>
    <cellStyle name="Input 6 3 2 2 2 2 4" xfId="36315"/>
    <cellStyle name="Input 6 3 2 2 2 2 4 2" xfId="36316"/>
    <cellStyle name="Input 6 3 2 2 2 2 5" xfId="36317"/>
    <cellStyle name="Input 6 3 2 2 2 2 6" xfId="36318"/>
    <cellStyle name="Input 6 3 2 2 2 2 7" xfId="36319"/>
    <cellStyle name="Input 6 3 2 2 2 3" xfId="36320"/>
    <cellStyle name="Input 6 3 2 2 2 3 2" xfId="36321"/>
    <cellStyle name="Input 6 3 2 2 2 3 2 2" xfId="36322"/>
    <cellStyle name="Input 6 3 2 2 2 3 3" xfId="36323"/>
    <cellStyle name="Input 6 3 2 2 2 3 3 2" xfId="36324"/>
    <cellStyle name="Input 6 3 2 2 2 3 4" xfId="36325"/>
    <cellStyle name="Input 6 3 2 2 2 3 5" xfId="36326"/>
    <cellStyle name="Input 6 3 2 2 2 3 6" xfId="36327"/>
    <cellStyle name="Input 6 3 2 2 2 4" xfId="36328"/>
    <cellStyle name="Input 6 3 2 2 2 4 2" xfId="36329"/>
    <cellStyle name="Input 6 3 2 2 2 5" xfId="36330"/>
    <cellStyle name="Input 6 3 2 2 2 5 2" xfId="36331"/>
    <cellStyle name="Input 6 3 2 2 2 6" xfId="36332"/>
    <cellStyle name="Input 6 3 2 2 2 7" xfId="36333"/>
    <cellStyle name="Input 6 3 2 2 2 8" xfId="36334"/>
    <cellStyle name="Input 6 3 2 2 3" xfId="36335"/>
    <cellStyle name="Input 6 3 2 2 3 2" xfId="36336"/>
    <cellStyle name="Input 6 3 2 2 3 2 2" xfId="36337"/>
    <cellStyle name="Input 6 3 2 2 3 2 2 2" xfId="36338"/>
    <cellStyle name="Input 6 3 2 2 3 2 2 2 2" xfId="36339"/>
    <cellStyle name="Input 6 3 2 2 3 2 2 3" xfId="36340"/>
    <cellStyle name="Input 6 3 2 2 3 2 2 3 2" xfId="36341"/>
    <cellStyle name="Input 6 3 2 2 3 2 2 4" xfId="36342"/>
    <cellStyle name="Input 6 3 2 2 3 2 2 5" xfId="36343"/>
    <cellStyle name="Input 6 3 2 2 3 2 2 6" xfId="36344"/>
    <cellStyle name="Input 6 3 2 2 3 2 3" xfId="36345"/>
    <cellStyle name="Input 6 3 2 2 3 2 3 2" xfId="36346"/>
    <cellStyle name="Input 6 3 2 2 3 2 4" xfId="36347"/>
    <cellStyle name="Input 6 3 2 2 3 2 4 2" xfId="36348"/>
    <cellStyle name="Input 6 3 2 2 3 2 5" xfId="36349"/>
    <cellStyle name="Input 6 3 2 2 3 2 6" xfId="36350"/>
    <cellStyle name="Input 6 3 2 2 3 2 7" xfId="36351"/>
    <cellStyle name="Input 6 3 2 2 3 3" xfId="36352"/>
    <cellStyle name="Input 6 3 2 2 3 3 2" xfId="36353"/>
    <cellStyle name="Input 6 3 2 2 3 3 2 2" xfId="36354"/>
    <cellStyle name="Input 6 3 2 2 3 3 3" xfId="36355"/>
    <cellStyle name="Input 6 3 2 2 3 3 3 2" xfId="36356"/>
    <cellStyle name="Input 6 3 2 2 3 3 4" xfId="36357"/>
    <cellStyle name="Input 6 3 2 2 3 3 5" xfId="36358"/>
    <cellStyle name="Input 6 3 2 2 3 3 6" xfId="36359"/>
    <cellStyle name="Input 6 3 2 2 3 4" xfId="36360"/>
    <cellStyle name="Input 6 3 2 2 3 4 2" xfId="36361"/>
    <cellStyle name="Input 6 3 2 2 3 5" xfId="36362"/>
    <cellStyle name="Input 6 3 2 2 3 5 2" xfId="36363"/>
    <cellStyle name="Input 6 3 2 2 3 6" xfId="36364"/>
    <cellStyle name="Input 6 3 2 2 3 7" xfId="36365"/>
    <cellStyle name="Input 6 3 2 2 3 8" xfId="36366"/>
    <cellStyle name="Input 6 3 2 2 4" xfId="36367"/>
    <cellStyle name="Input 6 3 2 2 4 2" xfId="36368"/>
    <cellStyle name="Input 6 3 2 2 4 2 2" xfId="36369"/>
    <cellStyle name="Input 6 3 2 2 4 2 2 2" xfId="36370"/>
    <cellStyle name="Input 6 3 2 2 4 2 3" xfId="36371"/>
    <cellStyle name="Input 6 3 2 2 4 2 3 2" xfId="36372"/>
    <cellStyle name="Input 6 3 2 2 4 2 4" xfId="36373"/>
    <cellStyle name="Input 6 3 2 2 4 2 5" xfId="36374"/>
    <cellStyle name="Input 6 3 2 2 4 2 6" xfId="36375"/>
    <cellStyle name="Input 6 3 2 2 4 3" xfId="36376"/>
    <cellStyle name="Input 6 3 2 2 4 3 2" xfId="36377"/>
    <cellStyle name="Input 6 3 2 2 4 4" xfId="36378"/>
    <cellStyle name="Input 6 3 2 2 4 4 2" xfId="36379"/>
    <cellStyle name="Input 6 3 2 2 4 5" xfId="36380"/>
    <cellStyle name="Input 6 3 2 2 4 6" xfId="36381"/>
    <cellStyle name="Input 6 3 2 2 4 7" xfId="36382"/>
    <cellStyle name="Input 6 3 2 2 5" xfId="36383"/>
    <cellStyle name="Input 6 3 2 2 5 2" xfId="36384"/>
    <cellStyle name="Input 6 3 2 2 5 2 2" xfId="36385"/>
    <cellStyle name="Input 6 3 2 2 5 3" xfId="36386"/>
    <cellStyle name="Input 6 3 2 2 5 3 2" xfId="36387"/>
    <cellStyle name="Input 6 3 2 2 5 4" xfId="36388"/>
    <cellStyle name="Input 6 3 2 2 5 5" xfId="36389"/>
    <cellStyle name="Input 6 3 2 2 5 6" xfId="36390"/>
    <cellStyle name="Input 6 3 2 2 6" xfId="36391"/>
    <cellStyle name="Input 6 3 2 2 6 2" xfId="36392"/>
    <cellStyle name="Input 6 3 2 2 7" xfId="36393"/>
    <cellStyle name="Input 6 3 2 2 7 2" xfId="36394"/>
    <cellStyle name="Input 6 3 2 2 8" xfId="36395"/>
    <cellStyle name="Input 6 3 2 2 9" xfId="36396"/>
    <cellStyle name="Input 6 3 2 3" xfId="36397"/>
    <cellStyle name="Input 6 3 2 3 2" xfId="36398"/>
    <cellStyle name="Input 6 3 2 3 2 2" xfId="36399"/>
    <cellStyle name="Input 6 3 2 3 2 2 2" xfId="36400"/>
    <cellStyle name="Input 6 3 2 3 2 2 2 2" xfId="36401"/>
    <cellStyle name="Input 6 3 2 3 2 2 3" xfId="36402"/>
    <cellStyle name="Input 6 3 2 3 2 2 3 2" xfId="36403"/>
    <cellStyle name="Input 6 3 2 3 2 2 4" xfId="36404"/>
    <cellStyle name="Input 6 3 2 3 2 2 5" xfId="36405"/>
    <cellStyle name="Input 6 3 2 3 2 2 6" xfId="36406"/>
    <cellStyle name="Input 6 3 2 3 2 3" xfId="36407"/>
    <cellStyle name="Input 6 3 2 3 2 3 2" xfId="36408"/>
    <cellStyle name="Input 6 3 2 3 2 4" xfId="36409"/>
    <cellStyle name="Input 6 3 2 3 2 4 2" xfId="36410"/>
    <cellStyle name="Input 6 3 2 3 2 5" xfId="36411"/>
    <cellStyle name="Input 6 3 2 3 2 6" xfId="36412"/>
    <cellStyle name="Input 6 3 2 3 2 7" xfId="36413"/>
    <cellStyle name="Input 6 3 2 3 3" xfId="36414"/>
    <cellStyle name="Input 6 3 2 3 3 2" xfId="36415"/>
    <cellStyle name="Input 6 3 2 3 3 2 2" xfId="36416"/>
    <cellStyle name="Input 6 3 2 3 3 3" xfId="36417"/>
    <cellStyle name="Input 6 3 2 3 3 3 2" xfId="36418"/>
    <cellStyle name="Input 6 3 2 3 3 4" xfId="36419"/>
    <cellStyle name="Input 6 3 2 3 3 5" xfId="36420"/>
    <cellStyle name="Input 6 3 2 3 3 6" xfId="36421"/>
    <cellStyle name="Input 6 3 2 3 4" xfId="36422"/>
    <cellStyle name="Input 6 3 2 3 4 2" xfId="36423"/>
    <cellStyle name="Input 6 3 2 3 5" xfId="36424"/>
    <cellStyle name="Input 6 3 2 3 5 2" xfId="36425"/>
    <cellStyle name="Input 6 3 2 3 6" xfId="36426"/>
    <cellStyle name="Input 6 3 2 3 7" xfId="36427"/>
    <cellStyle name="Input 6 3 2 3 8" xfId="36428"/>
    <cellStyle name="Input 6 3 2 4" xfId="36429"/>
    <cellStyle name="Input 6 3 2 4 2" xfId="36430"/>
    <cellStyle name="Input 6 3 2 4 2 2" xfId="36431"/>
    <cellStyle name="Input 6 3 2 4 2 2 2" xfId="36432"/>
    <cellStyle name="Input 6 3 2 4 2 3" xfId="36433"/>
    <cellStyle name="Input 6 3 2 4 2 3 2" xfId="36434"/>
    <cellStyle name="Input 6 3 2 4 2 4" xfId="36435"/>
    <cellStyle name="Input 6 3 2 4 2 5" xfId="36436"/>
    <cellStyle name="Input 6 3 2 4 2 6" xfId="36437"/>
    <cellStyle name="Input 6 3 2 4 3" xfId="36438"/>
    <cellStyle name="Input 6 3 2 4 3 2" xfId="36439"/>
    <cellStyle name="Input 6 3 2 4 4" xfId="36440"/>
    <cellStyle name="Input 6 3 2 4 4 2" xfId="36441"/>
    <cellStyle name="Input 6 3 2 4 5" xfId="36442"/>
    <cellStyle name="Input 6 3 2 4 6" xfId="36443"/>
    <cellStyle name="Input 6 3 2 4 7" xfId="36444"/>
    <cellStyle name="Input 6 3 2 5" xfId="36445"/>
    <cellStyle name="Input 6 3 2 5 2" xfId="36446"/>
    <cellStyle name="Input 6 3 2 5 2 2" xfId="36447"/>
    <cellStyle name="Input 6 3 2 5 3" xfId="36448"/>
    <cellStyle name="Input 6 3 2 5 3 2" xfId="36449"/>
    <cellStyle name="Input 6 3 2 5 4" xfId="36450"/>
    <cellStyle name="Input 6 3 2 5 5" xfId="36451"/>
    <cellStyle name="Input 6 3 2 5 6" xfId="36452"/>
    <cellStyle name="Input 6 3 2 6" xfId="36453"/>
    <cellStyle name="Input 6 3 2 6 2" xfId="36454"/>
    <cellStyle name="Input 6 3 2 7" xfId="36455"/>
    <cellStyle name="Input 6 3 2 7 2" xfId="36456"/>
    <cellStyle name="Input 6 3 2 8" xfId="36457"/>
    <cellStyle name="Input 6 3 2 9" xfId="36458"/>
    <cellStyle name="Input 6 3 3" xfId="36459"/>
    <cellStyle name="Input 6 3 3 10" xfId="36460"/>
    <cellStyle name="Input 6 3 3 2" xfId="36461"/>
    <cellStyle name="Input 6 3 3 2 2" xfId="36462"/>
    <cellStyle name="Input 6 3 3 2 2 2" xfId="36463"/>
    <cellStyle name="Input 6 3 3 2 2 2 2" xfId="36464"/>
    <cellStyle name="Input 6 3 3 2 2 2 2 2" xfId="36465"/>
    <cellStyle name="Input 6 3 3 2 2 2 3" xfId="36466"/>
    <cellStyle name="Input 6 3 3 2 2 2 3 2" xfId="36467"/>
    <cellStyle name="Input 6 3 3 2 2 2 4" xfId="36468"/>
    <cellStyle name="Input 6 3 3 2 2 2 5" xfId="36469"/>
    <cellStyle name="Input 6 3 3 2 2 2 6" xfId="36470"/>
    <cellStyle name="Input 6 3 3 2 2 3" xfId="36471"/>
    <cellStyle name="Input 6 3 3 2 2 3 2" xfId="36472"/>
    <cellStyle name="Input 6 3 3 2 2 4" xfId="36473"/>
    <cellStyle name="Input 6 3 3 2 2 4 2" xfId="36474"/>
    <cellStyle name="Input 6 3 3 2 2 5" xfId="36475"/>
    <cellStyle name="Input 6 3 3 2 2 6" xfId="36476"/>
    <cellStyle name="Input 6 3 3 2 2 7" xfId="36477"/>
    <cellStyle name="Input 6 3 3 2 3" xfId="36478"/>
    <cellStyle name="Input 6 3 3 2 3 2" xfId="36479"/>
    <cellStyle name="Input 6 3 3 2 3 2 2" xfId="36480"/>
    <cellStyle name="Input 6 3 3 2 3 3" xfId="36481"/>
    <cellStyle name="Input 6 3 3 2 3 3 2" xfId="36482"/>
    <cellStyle name="Input 6 3 3 2 3 4" xfId="36483"/>
    <cellStyle name="Input 6 3 3 2 3 5" xfId="36484"/>
    <cellStyle name="Input 6 3 3 2 3 6" xfId="36485"/>
    <cellStyle name="Input 6 3 3 2 4" xfId="36486"/>
    <cellStyle name="Input 6 3 3 2 4 2" xfId="36487"/>
    <cellStyle name="Input 6 3 3 2 5" xfId="36488"/>
    <cellStyle name="Input 6 3 3 2 5 2" xfId="36489"/>
    <cellStyle name="Input 6 3 3 2 6" xfId="36490"/>
    <cellStyle name="Input 6 3 3 2 7" xfId="36491"/>
    <cellStyle name="Input 6 3 3 2 8" xfId="36492"/>
    <cellStyle name="Input 6 3 3 3" xfId="36493"/>
    <cellStyle name="Input 6 3 3 3 2" xfId="36494"/>
    <cellStyle name="Input 6 3 3 3 2 2" xfId="36495"/>
    <cellStyle name="Input 6 3 3 3 2 2 2" xfId="36496"/>
    <cellStyle name="Input 6 3 3 3 2 2 2 2" xfId="36497"/>
    <cellStyle name="Input 6 3 3 3 2 2 3" xfId="36498"/>
    <cellStyle name="Input 6 3 3 3 2 2 3 2" xfId="36499"/>
    <cellStyle name="Input 6 3 3 3 2 2 4" xfId="36500"/>
    <cellStyle name="Input 6 3 3 3 2 2 5" xfId="36501"/>
    <cellStyle name="Input 6 3 3 3 2 2 6" xfId="36502"/>
    <cellStyle name="Input 6 3 3 3 2 3" xfId="36503"/>
    <cellStyle name="Input 6 3 3 3 2 3 2" xfId="36504"/>
    <cellStyle name="Input 6 3 3 3 2 4" xfId="36505"/>
    <cellStyle name="Input 6 3 3 3 2 4 2" xfId="36506"/>
    <cellStyle name="Input 6 3 3 3 2 5" xfId="36507"/>
    <cellStyle name="Input 6 3 3 3 2 6" xfId="36508"/>
    <cellStyle name="Input 6 3 3 3 2 7" xfId="36509"/>
    <cellStyle name="Input 6 3 3 3 3" xfId="36510"/>
    <cellStyle name="Input 6 3 3 3 3 2" xfId="36511"/>
    <cellStyle name="Input 6 3 3 3 3 2 2" xfId="36512"/>
    <cellStyle name="Input 6 3 3 3 3 3" xfId="36513"/>
    <cellStyle name="Input 6 3 3 3 3 3 2" xfId="36514"/>
    <cellStyle name="Input 6 3 3 3 3 4" xfId="36515"/>
    <cellStyle name="Input 6 3 3 3 3 5" xfId="36516"/>
    <cellStyle name="Input 6 3 3 3 3 6" xfId="36517"/>
    <cellStyle name="Input 6 3 3 3 4" xfId="36518"/>
    <cellStyle name="Input 6 3 3 3 4 2" xfId="36519"/>
    <cellStyle name="Input 6 3 3 3 5" xfId="36520"/>
    <cellStyle name="Input 6 3 3 3 5 2" xfId="36521"/>
    <cellStyle name="Input 6 3 3 3 6" xfId="36522"/>
    <cellStyle name="Input 6 3 3 3 7" xfId="36523"/>
    <cellStyle name="Input 6 3 3 3 8" xfId="36524"/>
    <cellStyle name="Input 6 3 3 4" xfId="36525"/>
    <cellStyle name="Input 6 3 3 4 2" xfId="36526"/>
    <cellStyle name="Input 6 3 3 4 2 2" xfId="36527"/>
    <cellStyle name="Input 6 3 3 4 2 2 2" xfId="36528"/>
    <cellStyle name="Input 6 3 3 4 2 3" xfId="36529"/>
    <cellStyle name="Input 6 3 3 4 2 3 2" xfId="36530"/>
    <cellStyle name="Input 6 3 3 4 2 4" xfId="36531"/>
    <cellStyle name="Input 6 3 3 4 2 5" xfId="36532"/>
    <cellStyle name="Input 6 3 3 4 2 6" xfId="36533"/>
    <cellStyle name="Input 6 3 3 4 3" xfId="36534"/>
    <cellStyle name="Input 6 3 3 4 3 2" xfId="36535"/>
    <cellStyle name="Input 6 3 3 4 4" xfId="36536"/>
    <cellStyle name="Input 6 3 3 4 4 2" xfId="36537"/>
    <cellStyle name="Input 6 3 3 4 5" xfId="36538"/>
    <cellStyle name="Input 6 3 3 4 6" xfId="36539"/>
    <cellStyle name="Input 6 3 3 4 7" xfId="36540"/>
    <cellStyle name="Input 6 3 3 5" xfId="36541"/>
    <cellStyle name="Input 6 3 3 5 2" xfId="36542"/>
    <cellStyle name="Input 6 3 3 5 2 2" xfId="36543"/>
    <cellStyle name="Input 6 3 3 5 3" xfId="36544"/>
    <cellStyle name="Input 6 3 3 5 3 2" xfId="36545"/>
    <cellStyle name="Input 6 3 3 5 4" xfId="36546"/>
    <cellStyle name="Input 6 3 3 5 5" xfId="36547"/>
    <cellStyle name="Input 6 3 3 5 6" xfId="36548"/>
    <cellStyle name="Input 6 3 3 6" xfId="36549"/>
    <cellStyle name="Input 6 3 3 6 2" xfId="36550"/>
    <cellStyle name="Input 6 3 3 7" xfId="36551"/>
    <cellStyle name="Input 6 3 3 7 2" xfId="36552"/>
    <cellStyle name="Input 6 3 3 8" xfId="36553"/>
    <cellStyle name="Input 6 3 3 9" xfId="36554"/>
    <cellStyle name="Input 6 3 4" xfId="36555"/>
    <cellStyle name="Input 6 3 4 2" xfId="36556"/>
    <cellStyle name="Input 6 3 4 2 2" xfId="36557"/>
    <cellStyle name="Input 6 3 4 2 2 2" xfId="36558"/>
    <cellStyle name="Input 6 3 4 2 2 2 2" xfId="36559"/>
    <cellStyle name="Input 6 3 4 2 2 3" xfId="36560"/>
    <cellStyle name="Input 6 3 4 2 2 3 2" xfId="36561"/>
    <cellStyle name="Input 6 3 4 2 2 4" xfId="36562"/>
    <cellStyle name="Input 6 3 4 2 2 5" xfId="36563"/>
    <cellStyle name="Input 6 3 4 2 2 6" xfId="36564"/>
    <cellStyle name="Input 6 3 4 2 3" xfId="36565"/>
    <cellStyle name="Input 6 3 4 2 3 2" xfId="36566"/>
    <cellStyle name="Input 6 3 4 2 4" xfId="36567"/>
    <cellStyle name="Input 6 3 4 2 4 2" xfId="36568"/>
    <cellStyle name="Input 6 3 4 2 5" xfId="36569"/>
    <cellStyle name="Input 6 3 4 2 6" xfId="36570"/>
    <cellStyle name="Input 6 3 4 2 7" xfId="36571"/>
    <cellStyle name="Input 6 3 4 3" xfId="36572"/>
    <cellStyle name="Input 6 3 4 3 2" xfId="36573"/>
    <cellStyle name="Input 6 3 4 3 2 2" xfId="36574"/>
    <cellStyle name="Input 6 3 4 3 3" xfId="36575"/>
    <cellStyle name="Input 6 3 4 3 3 2" xfId="36576"/>
    <cellStyle name="Input 6 3 4 3 4" xfId="36577"/>
    <cellStyle name="Input 6 3 4 3 5" xfId="36578"/>
    <cellStyle name="Input 6 3 4 3 6" xfId="36579"/>
    <cellStyle name="Input 6 3 4 4" xfId="36580"/>
    <cellStyle name="Input 6 3 4 4 2" xfId="36581"/>
    <cellStyle name="Input 6 3 4 5" xfId="36582"/>
    <cellStyle name="Input 6 3 4 5 2" xfId="36583"/>
    <cellStyle name="Input 6 3 4 6" xfId="36584"/>
    <cellStyle name="Input 6 3 4 7" xfId="36585"/>
    <cellStyle name="Input 6 3 4 8" xfId="36586"/>
    <cellStyle name="Input 6 3 5" xfId="36587"/>
    <cellStyle name="Input 6 3 5 2" xfId="36588"/>
    <cellStyle name="Input 6 3 5 2 2" xfId="36589"/>
    <cellStyle name="Input 6 3 5 2 2 2" xfId="36590"/>
    <cellStyle name="Input 6 3 5 2 3" xfId="36591"/>
    <cellStyle name="Input 6 3 5 2 3 2" xfId="36592"/>
    <cellStyle name="Input 6 3 5 2 4" xfId="36593"/>
    <cellStyle name="Input 6 3 5 2 5" xfId="36594"/>
    <cellStyle name="Input 6 3 5 2 6" xfId="36595"/>
    <cellStyle name="Input 6 3 5 3" xfId="36596"/>
    <cellStyle name="Input 6 3 5 3 2" xfId="36597"/>
    <cellStyle name="Input 6 3 5 4" xfId="36598"/>
    <cellStyle name="Input 6 3 5 4 2" xfId="36599"/>
    <cellStyle name="Input 6 3 5 5" xfId="36600"/>
    <cellStyle name="Input 6 3 5 6" xfId="36601"/>
    <cellStyle name="Input 6 3 5 7" xfId="36602"/>
    <cellStyle name="Input 6 3 6" xfId="36603"/>
    <cellStyle name="Input 6 3 6 2" xfId="36604"/>
    <cellStyle name="Input 6 3 6 2 2" xfId="36605"/>
    <cellStyle name="Input 6 3 6 3" xfId="36606"/>
    <cellStyle name="Input 6 3 6 3 2" xfId="36607"/>
    <cellStyle name="Input 6 3 6 4" xfId="36608"/>
    <cellStyle name="Input 6 3 6 5" xfId="36609"/>
    <cellStyle name="Input 6 3 6 6" xfId="36610"/>
    <cellStyle name="Input 6 3 7" xfId="36611"/>
    <cellStyle name="Input 6 3 7 2" xfId="36612"/>
    <cellStyle name="Input 6 3 8" xfId="36613"/>
    <cellStyle name="Input 6 3 8 2" xfId="36614"/>
    <cellStyle name="Input 6 3 9" xfId="36615"/>
    <cellStyle name="Input 6 4" xfId="36616"/>
    <cellStyle name="Input 6 4 10" xfId="36617"/>
    <cellStyle name="Input 6 4 11" xfId="36618"/>
    <cellStyle name="Input 6 4 2" xfId="36619"/>
    <cellStyle name="Input 6 4 2 10" xfId="36620"/>
    <cellStyle name="Input 6 4 2 2" xfId="36621"/>
    <cellStyle name="Input 6 4 2 2 2" xfId="36622"/>
    <cellStyle name="Input 6 4 2 2 2 2" xfId="36623"/>
    <cellStyle name="Input 6 4 2 2 2 2 2" xfId="36624"/>
    <cellStyle name="Input 6 4 2 2 2 2 2 2" xfId="36625"/>
    <cellStyle name="Input 6 4 2 2 2 2 3" xfId="36626"/>
    <cellStyle name="Input 6 4 2 2 2 2 3 2" xfId="36627"/>
    <cellStyle name="Input 6 4 2 2 2 2 4" xfId="36628"/>
    <cellStyle name="Input 6 4 2 2 2 2 5" xfId="36629"/>
    <cellStyle name="Input 6 4 2 2 2 2 6" xfId="36630"/>
    <cellStyle name="Input 6 4 2 2 2 3" xfId="36631"/>
    <cellStyle name="Input 6 4 2 2 2 3 2" xfId="36632"/>
    <cellStyle name="Input 6 4 2 2 2 4" xfId="36633"/>
    <cellStyle name="Input 6 4 2 2 2 4 2" xfId="36634"/>
    <cellStyle name="Input 6 4 2 2 2 5" xfId="36635"/>
    <cellStyle name="Input 6 4 2 2 2 6" xfId="36636"/>
    <cellStyle name="Input 6 4 2 2 2 7" xfId="36637"/>
    <cellStyle name="Input 6 4 2 2 3" xfId="36638"/>
    <cellStyle name="Input 6 4 2 2 3 2" xfId="36639"/>
    <cellStyle name="Input 6 4 2 2 3 2 2" xfId="36640"/>
    <cellStyle name="Input 6 4 2 2 3 3" xfId="36641"/>
    <cellStyle name="Input 6 4 2 2 3 3 2" xfId="36642"/>
    <cellStyle name="Input 6 4 2 2 3 4" xfId="36643"/>
    <cellStyle name="Input 6 4 2 2 3 5" xfId="36644"/>
    <cellStyle name="Input 6 4 2 2 3 6" xfId="36645"/>
    <cellStyle name="Input 6 4 2 2 4" xfId="36646"/>
    <cellStyle name="Input 6 4 2 2 4 2" xfId="36647"/>
    <cellStyle name="Input 6 4 2 2 5" xfId="36648"/>
    <cellStyle name="Input 6 4 2 2 5 2" xfId="36649"/>
    <cellStyle name="Input 6 4 2 2 6" xfId="36650"/>
    <cellStyle name="Input 6 4 2 2 7" xfId="36651"/>
    <cellStyle name="Input 6 4 2 2 8" xfId="36652"/>
    <cellStyle name="Input 6 4 2 3" xfId="36653"/>
    <cellStyle name="Input 6 4 2 3 2" xfId="36654"/>
    <cellStyle name="Input 6 4 2 3 2 2" xfId="36655"/>
    <cellStyle name="Input 6 4 2 3 2 2 2" xfId="36656"/>
    <cellStyle name="Input 6 4 2 3 2 2 2 2" xfId="36657"/>
    <cellStyle name="Input 6 4 2 3 2 2 3" xfId="36658"/>
    <cellStyle name="Input 6 4 2 3 2 2 3 2" xfId="36659"/>
    <cellStyle name="Input 6 4 2 3 2 2 4" xfId="36660"/>
    <cellStyle name="Input 6 4 2 3 2 2 5" xfId="36661"/>
    <cellStyle name="Input 6 4 2 3 2 2 6" xfId="36662"/>
    <cellStyle name="Input 6 4 2 3 2 3" xfId="36663"/>
    <cellStyle name="Input 6 4 2 3 2 3 2" xfId="36664"/>
    <cellStyle name="Input 6 4 2 3 2 4" xfId="36665"/>
    <cellStyle name="Input 6 4 2 3 2 4 2" xfId="36666"/>
    <cellStyle name="Input 6 4 2 3 2 5" xfId="36667"/>
    <cellStyle name="Input 6 4 2 3 2 6" xfId="36668"/>
    <cellStyle name="Input 6 4 2 3 2 7" xfId="36669"/>
    <cellStyle name="Input 6 4 2 3 3" xfId="36670"/>
    <cellStyle name="Input 6 4 2 3 3 2" xfId="36671"/>
    <cellStyle name="Input 6 4 2 3 3 2 2" xfId="36672"/>
    <cellStyle name="Input 6 4 2 3 3 3" xfId="36673"/>
    <cellStyle name="Input 6 4 2 3 3 3 2" xfId="36674"/>
    <cellStyle name="Input 6 4 2 3 3 4" xfId="36675"/>
    <cellStyle name="Input 6 4 2 3 3 5" xfId="36676"/>
    <cellStyle name="Input 6 4 2 3 3 6" xfId="36677"/>
    <cellStyle name="Input 6 4 2 3 4" xfId="36678"/>
    <cellStyle name="Input 6 4 2 3 4 2" xfId="36679"/>
    <cellStyle name="Input 6 4 2 3 5" xfId="36680"/>
    <cellStyle name="Input 6 4 2 3 5 2" xfId="36681"/>
    <cellStyle name="Input 6 4 2 3 6" xfId="36682"/>
    <cellStyle name="Input 6 4 2 3 7" xfId="36683"/>
    <cellStyle name="Input 6 4 2 3 8" xfId="36684"/>
    <cellStyle name="Input 6 4 2 4" xfId="36685"/>
    <cellStyle name="Input 6 4 2 4 2" xfId="36686"/>
    <cellStyle name="Input 6 4 2 4 2 2" xfId="36687"/>
    <cellStyle name="Input 6 4 2 4 2 2 2" xfId="36688"/>
    <cellStyle name="Input 6 4 2 4 2 3" xfId="36689"/>
    <cellStyle name="Input 6 4 2 4 2 3 2" xfId="36690"/>
    <cellStyle name="Input 6 4 2 4 2 4" xfId="36691"/>
    <cellStyle name="Input 6 4 2 4 2 5" xfId="36692"/>
    <cellStyle name="Input 6 4 2 4 2 6" xfId="36693"/>
    <cellStyle name="Input 6 4 2 4 3" xfId="36694"/>
    <cellStyle name="Input 6 4 2 4 3 2" xfId="36695"/>
    <cellStyle name="Input 6 4 2 4 4" xfId="36696"/>
    <cellStyle name="Input 6 4 2 4 4 2" xfId="36697"/>
    <cellStyle name="Input 6 4 2 4 5" xfId="36698"/>
    <cellStyle name="Input 6 4 2 4 6" xfId="36699"/>
    <cellStyle name="Input 6 4 2 4 7" xfId="36700"/>
    <cellStyle name="Input 6 4 2 5" xfId="36701"/>
    <cellStyle name="Input 6 4 2 5 2" xfId="36702"/>
    <cellStyle name="Input 6 4 2 5 2 2" xfId="36703"/>
    <cellStyle name="Input 6 4 2 5 3" xfId="36704"/>
    <cellStyle name="Input 6 4 2 5 3 2" xfId="36705"/>
    <cellStyle name="Input 6 4 2 5 4" xfId="36706"/>
    <cellStyle name="Input 6 4 2 5 5" xfId="36707"/>
    <cellStyle name="Input 6 4 2 5 6" xfId="36708"/>
    <cellStyle name="Input 6 4 2 6" xfId="36709"/>
    <cellStyle name="Input 6 4 2 6 2" xfId="36710"/>
    <cellStyle name="Input 6 4 2 7" xfId="36711"/>
    <cellStyle name="Input 6 4 2 7 2" xfId="36712"/>
    <cellStyle name="Input 6 4 2 8" xfId="36713"/>
    <cellStyle name="Input 6 4 2 9" xfId="36714"/>
    <cellStyle name="Input 6 4 3" xfId="36715"/>
    <cellStyle name="Input 6 4 3 2" xfId="36716"/>
    <cellStyle name="Input 6 4 3 2 2" xfId="36717"/>
    <cellStyle name="Input 6 4 3 2 2 2" xfId="36718"/>
    <cellStyle name="Input 6 4 3 2 2 2 2" xfId="36719"/>
    <cellStyle name="Input 6 4 3 2 2 3" xfId="36720"/>
    <cellStyle name="Input 6 4 3 2 2 3 2" xfId="36721"/>
    <cellStyle name="Input 6 4 3 2 2 4" xfId="36722"/>
    <cellStyle name="Input 6 4 3 2 2 5" xfId="36723"/>
    <cellStyle name="Input 6 4 3 2 2 6" xfId="36724"/>
    <cellStyle name="Input 6 4 3 2 3" xfId="36725"/>
    <cellStyle name="Input 6 4 3 2 3 2" xfId="36726"/>
    <cellStyle name="Input 6 4 3 2 4" xfId="36727"/>
    <cellStyle name="Input 6 4 3 2 4 2" xfId="36728"/>
    <cellStyle name="Input 6 4 3 2 5" xfId="36729"/>
    <cellStyle name="Input 6 4 3 2 6" xfId="36730"/>
    <cellStyle name="Input 6 4 3 2 7" xfId="36731"/>
    <cellStyle name="Input 6 4 3 3" xfId="36732"/>
    <cellStyle name="Input 6 4 3 3 2" xfId="36733"/>
    <cellStyle name="Input 6 4 3 3 2 2" xfId="36734"/>
    <cellStyle name="Input 6 4 3 3 3" xfId="36735"/>
    <cellStyle name="Input 6 4 3 3 3 2" xfId="36736"/>
    <cellStyle name="Input 6 4 3 3 4" xfId="36737"/>
    <cellStyle name="Input 6 4 3 3 5" xfId="36738"/>
    <cellStyle name="Input 6 4 3 3 6" xfId="36739"/>
    <cellStyle name="Input 6 4 3 4" xfId="36740"/>
    <cellStyle name="Input 6 4 3 4 2" xfId="36741"/>
    <cellStyle name="Input 6 4 3 5" xfId="36742"/>
    <cellStyle name="Input 6 4 3 5 2" xfId="36743"/>
    <cellStyle name="Input 6 4 3 6" xfId="36744"/>
    <cellStyle name="Input 6 4 3 7" xfId="36745"/>
    <cellStyle name="Input 6 4 3 8" xfId="36746"/>
    <cellStyle name="Input 6 4 4" xfId="36747"/>
    <cellStyle name="Input 6 4 4 2" xfId="36748"/>
    <cellStyle name="Input 6 4 4 2 2" xfId="36749"/>
    <cellStyle name="Input 6 4 4 2 2 2" xfId="36750"/>
    <cellStyle name="Input 6 4 4 2 2 2 2" xfId="36751"/>
    <cellStyle name="Input 6 4 4 2 2 3" xfId="36752"/>
    <cellStyle name="Input 6 4 4 2 2 3 2" xfId="36753"/>
    <cellStyle name="Input 6 4 4 2 2 4" xfId="36754"/>
    <cellStyle name="Input 6 4 4 2 2 5" xfId="36755"/>
    <cellStyle name="Input 6 4 4 2 2 6" xfId="36756"/>
    <cellStyle name="Input 6 4 4 2 3" xfId="36757"/>
    <cellStyle name="Input 6 4 4 2 3 2" xfId="36758"/>
    <cellStyle name="Input 6 4 4 2 4" xfId="36759"/>
    <cellStyle name="Input 6 4 4 2 4 2" xfId="36760"/>
    <cellStyle name="Input 6 4 4 2 5" xfId="36761"/>
    <cellStyle name="Input 6 4 4 2 6" xfId="36762"/>
    <cellStyle name="Input 6 4 4 2 7" xfId="36763"/>
    <cellStyle name="Input 6 4 4 3" xfId="36764"/>
    <cellStyle name="Input 6 4 4 3 2" xfId="36765"/>
    <cellStyle name="Input 6 4 4 3 2 2" xfId="36766"/>
    <cellStyle name="Input 6 4 4 3 3" xfId="36767"/>
    <cellStyle name="Input 6 4 4 3 3 2" xfId="36768"/>
    <cellStyle name="Input 6 4 4 3 4" xfId="36769"/>
    <cellStyle name="Input 6 4 4 3 5" xfId="36770"/>
    <cellStyle name="Input 6 4 4 3 6" xfId="36771"/>
    <cellStyle name="Input 6 4 4 4" xfId="36772"/>
    <cellStyle name="Input 6 4 4 4 2" xfId="36773"/>
    <cellStyle name="Input 6 4 4 5" xfId="36774"/>
    <cellStyle name="Input 6 4 4 5 2" xfId="36775"/>
    <cellStyle name="Input 6 4 4 6" xfId="36776"/>
    <cellStyle name="Input 6 4 4 7" xfId="36777"/>
    <cellStyle name="Input 6 4 4 8" xfId="36778"/>
    <cellStyle name="Input 6 4 5" xfId="36779"/>
    <cellStyle name="Input 6 4 5 2" xfId="36780"/>
    <cellStyle name="Input 6 4 5 2 2" xfId="36781"/>
    <cellStyle name="Input 6 4 5 2 2 2" xfId="36782"/>
    <cellStyle name="Input 6 4 5 2 3" xfId="36783"/>
    <cellStyle name="Input 6 4 5 2 3 2" xfId="36784"/>
    <cellStyle name="Input 6 4 5 2 4" xfId="36785"/>
    <cellStyle name="Input 6 4 5 2 5" xfId="36786"/>
    <cellStyle name="Input 6 4 5 2 6" xfId="36787"/>
    <cellStyle name="Input 6 4 5 3" xfId="36788"/>
    <cellStyle name="Input 6 4 5 3 2" xfId="36789"/>
    <cellStyle name="Input 6 4 5 4" xfId="36790"/>
    <cellStyle name="Input 6 4 5 4 2" xfId="36791"/>
    <cellStyle name="Input 6 4 5 5" xfId="36792"/>
    <cellStyle name="Input 6 4 5 6" xfId="36793"/>
    <cellStyle name="Input 6 4 5 7" xfId="36794"/>
    <cellStyle name="Input 6 4 6" xfId="36795"/>
    <cellStyle name="Input 6 4 6 2" xfId="36796"/>
    <cellStyle name="Input 6 4 6 2 2" xfId="36797"/>
    <cellStyle name="Input 6 4 6 3" xfId="36798"/>
    <cellStyle name="Input 6 4 6 3 2" xfId="36799"/>
    <cellStyle name="Input 6 4 6 4" xfId="36800"/>
    <cellStyle name="Input 6 4 6 5" xfId="36801"/>
    <cellStyle name="Input 6 4 6 6" xfId="36802"/>
    <cellStyle name="Input 6 4 7" xfId="36803"/>
    <cellStyle name="Input 6 4 7 2" xfId="36804"/>
    <cellStyle name="Input 6 4 8" xfId="36805"/>
    <cellStyle name="Input 6 4 8 2" xfId="36806"/>
    <cellStyle name="Input 6 4 9" xfId="36807"/>
    <cellStyle name="Input 6 5" xfId="36808"/>
    <cellStyle name="Input 6 5 10" xfId="36809"/>
    <cellStyle name="Input 6 5 2" xfId="36810"/>
    <cellStyle name="Input 6 5 2 2" xfId="36811"/>
    <cellStyle name="Input 6 5 2 2 2" xfId="36812"/>
    <cellStyle name="Input 6 5 2 2 2 2" xfId="36813"/>
    <cellStyle name="Input 6 5 2 2 2 2 2" xfId="36814"/>
    <cellStyle name="Input 6 5 2 2 2 3" xfId="36815"/>
    <cellStyle name="Input 6 5 2 2 2 3 2" xfId="36816"/>
    <cellStyle name="Input 6 5 2 2 2 4" xfId="36817"/>
    <cellStyle name="Input 6 5 2 2 2 5" xfId="36818"/>
    <cellStyle name="Input 6 5 2 2 2 6" xfId="36819"/>
    <cellStyle name="Input 6 5 2 2 3" xfId="36820"/>
    <cellStyle name="Input 6 5 2 2 3 2" xfId="36821"/>
    <cellStyle name="Input 6 5 2 2 4" xfId="36822"/>
    <cellStyle name="Input 6 5 2 2 4 2" xfId="36823"/>
    <cellStyle name="Input 6 5 2 2 5" xfId="36824"/>
    <cellStyle name="Input 6 5 2 2 6" xfId="36825"/>
    <cellStyle name="Input 6 5 2 2 7" xfId="36826"/>
    <cellStyle name="Input 6 5 2 3" xfId="36827"/>
    <cellStyle name="Input 6 5 2 3 2" xfId="36828"/>
    <cellStyle name="Input 6 5 2 3 2 2" xfId="36829"/>
    <cellStyle name="Input 6 5 2 3 3" xfId="36830"/>
    <cellStyle name="Input 6 5 2 3 3 2" xfId="36831"/>
    <cellStyle name="Input 6 5 2 3 4" xfId="36832"/>
    <cellStyle name="Input 6 5 2 3 5" xfId="36833"/>
    <cellStyle name="Input 6 5 2 3 6" xfId="36834"/>
    <cellStyle name="Input 6 5 2 4" xfId="36835"/>
    <cellStyle name="Input 6 5 2 4 2" xfId="36836"/>
    <cellStyle name="Input 6 5 2 5" xfId="36837"/>
    <cellStyle name="Input 6 5 2 5 2" xfId="36838"/>
    <cellStyle name="Input 6 5 2 6" xfId="36839"/>
    <cellStyle name="Input 6 5 2 7" xfId="36840"/>
    <cellStyle name="Input 6 5 2 8" xfId="36841"/>
    <cellStyle name="Input 6 5 3" xfId="36842"/>
    <cellStyle name="Input 6 5 3 2" xfId="36843"/>
    <cellStyle name="Input 6 5 3 2 2" xfId="36844"/>
    <cellStyle name="Input 6 5 3 2 2 2" xfId="36845"/>
    <cellStyle name="Input 6 5 3 2 2 2 2" xfId="36846"/>
    <cellStyle name="Input 6 5 3 2 2 3" xfId="36847"/>
    <cellStyle name="Input 6 5 3 2 2 3 2" xfId="36848"/>
    <cellStyle name="Input 6 5 3 2 2 4" xfId="36849"/>
    <cellStyle name="Input 6 5 3 2 2 5" xfId="36850"/>
    <cellStyle name="Input 6 5 3 2 2 6" xfId="36851"/>
    <cellStyle name="Input 6 5 3 2 3" xfId="36852"/>
    <cellStyle name="Input 6 5 3 2 3 2" xfId="36853"/>
    <cellStyle name="Input 6 5 3 2 4" xfId="36854"/>
    <cellStyle name="Input 6 5 3 2 4 2" xfId="36855"/>
    <cellStyle name="Input 6 5 3 2 5" xfId="36856"/>
    <cellStyle name="Input 6 5 3 2 6" xfId="36857"/>
    <cellStyle name="Input 6 5 3 2 7" xfId="36858"/>
    <cellStyle name="Input 6 5 3 3" xfId="36859"/>
    <cellStyle name="Input 6 5 3 3 2" xfId="36860"/>
    <cellStyle name="Input 6 5 3 3 2 2" xfId="36861"/>
    <cellStyle name="Input 6 5 3 3 3" xfId="36862"/>
    <cellStyle name="Input 6 5 3 3 3 2" xfId="36863"/>
    <cellStyle name="Input 6 5 3 3 4" xfId="36864"/>
    <cellStyle name="Input 6 5 3 3 5" xfId="36865"/>
    <cellStyle name="Input 6 5 3 3 6" xfId="36866"/>
    <cellStyle name="Input 6 5 3 4" xfId="36867"/>
    <cellStyle name="Input 6 5 3 4 2" xfId="36868"/>
    <cellStyle name="Input 6 5 3 5" xfId="36869"/>
    <cellStyle name="Input 6 5 3 5 2" xfId="36870"/>
    <cellStyle name="Input 6 5 3 6" xfId="36871"/>
    <cellStyle name="Input 6 5 3 7" xfId="36872"/>
    <cellStyle name="Input 6 5 3 8" xfId="36873"/>
    <cellStyle name="Input 6 5 4" xfId="36874"/>
    <cellStyle name="Input 6 5 4 2" xfId="36875"/>
    <cellStyle name="Input 6 5 4 2 2" xfId="36876"/>
    <cellStyle name="Input 6 5 4 2 2 2" xfId="36877"/>
    <cellStyle name="Input 6 5 4 2 3" xfId="36878"/>
    <cellStyle name="Input 6 5 4 2 3 2" xfId="36879"/>
    <cellStyle name="Input 6 5 4 2 4" xfId="36880"/>
    <cellStyle name="Input 6 5 4 2 5" xfId="36881"/>
    <cellStyle name="Input 6 5 4 2 6" xfId="36882"/>
    <cellStyle name="Input 6 5 4 3" xfId="36883"/>
    <cellStyle name="Input 6 5 4 3 2" xfId="36884"/>
    <cellStyle name="Input 6 5 4 4" xfId="36885"/>
    <cellStyle name="Input 6 5 4 4 2" xfId="36886"/>
    <cellStyle name="Input 6 5 4 5" xfId="36887"/>
    <cellStyle name="Input 6 5 4 6" xfId="36888"/>
    <cellStyle name="Input 6 5 4 7" xfId="36889"/>
    <cellStyle name="Input 6 5 5" xfId="36890"/>
    <cellStyle name="Input 6 5 5 2" xfId="36891"/>
    <cellStyle name="Input 6 5 5 2 2" xfId="36892"/>
    <cellStyle name="Input 6 5 5 3" xfId="36893"/>
    <cellStyle name="Input 6 5 5 3 2" xfId="36894"/>
    <cellStyle name="Input 6 5 5 4" xfId="36895"/>
    <cellStyle name="Input 6 5 5 5" xfId="36896"/>
    <cellStyle name="Input 6 5 5 6" xfId="36897"/>
    <cellStyle name="Input 6 5 6" xfId="36898"/>
    <cellStyle name="Input 6 5 6 2" xfId="36899"/>
    <cellStyle name="Input 6 5 7" xfId="36900"/>
    <cellStyle name="Input 6 5 7 2" xfId="36901"/>
    <cellStyle name="Input 6 5 8" xfId="36902"/>
    <cellStyle name="Input 6 5 9" xfId="36903"/>
    <cellStyle name="Input 6 6" xfId="36904"/>
    <cellStyle name="Input 6 6 2" xfId="36905"/>
    <cellStyle name="Input 6 6 2 2" xfId="36906"/>
    <cellStyle name="Input 6 6 2 2 2" xfId="36907"/>
    <cellStyle name="Input 6 6 2 2 2 2" xfId="36908"/>
    <cellStyle name="Input 6 6 2 2 3" xfId="36909"/>
    <cellStyle name="Input 6 6 2 2 3 2" xfId="36910"/>
    <cellStyle name="Input 6 6 2 2 4" xfId="36911"/>
    <cellStyle name="Input 6 6 2 2 5" xfId="36912"/>
    <cellStyle name="Input 6 6 2 2 6" xfId="36913"/>
    <cellStyle name="Input 6 6 2 3" xfId="36914"/>
    <cellStyle name="Input 6 6 2 3 2" xfId="36915"/>
    <cellStyle name="Input 6 6 2 4" xfId="36916"/>
    <cellStyle name="Input 6 6 2 4 2" xfId="36917"/>
    <cellStyle name="Input 6 6 2 5" xfId="36918"/>
    <cellStyle name="Input 6 6 2 6" xfId="36919"/>
    <cellStyle name="Input 6 6 2 7" xfId="36920"/>
    <cellStyle name="Input 6 6 3" xfId="36921"/>
    <cellStyle name="Input 6 6 3 2" xfId="36922"/>
    <cellStyle name="Input 6 6 3 2 2" xfId="36923"/>
    <cellStyle name="Input 6 6 3 3" xfId="36924"/>
    <cellStyle name="Input 6 6 3 3 2" xfId="36925"/>
    <cellStyle name="Input 6 6 3 4" xfId="36926"/>
    <cellStyle name="Input 6 6 3 5" xfId="36927"/>
    <cellStyle name="Input 6 6 3 6" xfId="36928"/>
    <cellStyle name="Input 6 6 4" xfId="36929"/>
    <cellStyle name="Input 6 6 4 2" xfId="36930"/>
    <cellStyle name="Input 6 6 5" xfId="36931"/>
    <cellStyle name="Input 6 6 5 2" xfId="36932"/>
    <cellStyle name="Input 6 6 6" xfId="36933"/>
    <cellStyle name="Input 6 6 7" xfId="36934"/>
    <cellStyle name="Input 6 6 8" xfId="36935"/>
    <cellStyle name="Input 6 7" xfId="36936"/>
    <cellStyle name="Input 6 7 2" xfId="36937"/>
    <cellStyle name="Input 6 7 2 2" xfId="36938"/>
    <cellStyle name="Input 6 7 2 2 2" xfId="36939"/>
    <cellStyle name="Input 6 7 2 3" xfId="36940"/>
    <cellStyle name="Input 6 7 2 3 2" xfId="36941"/>
    <cellStyle name="Input 6 7 2 4" xfId="36942"/>
    <cellStyle name="Input 6 7 2 5" xfId="36943"/>
    <cellStyle name="Input 6 7 2 6" xfId="36944"/>
    <cellStyle name="Input 6 7 3" xfId="36945"/>
    <cellStyle name="Input 6 7 3 2" xfId="36946"/>
    <cellStyle name="Input 6 7 4" xfId="36947"/>
    <cellStyle name="Input 6 7 4 2" xfId="36948"/>
    <cellStyle name="Input 6 7 5" xfId="36949"/>
    <cellStyle name="Input 6 7 6" xfId="36950"/>
    <cellStyle name="Input 6 7 7" xfId="36951"/>
    <cellStyle name="Input 6 8" xfId="36952"/>
    <cellStyle name="Input 6 8 2" xfId="36953"/>
    <cellStyle name="Input 6 9" xfId="36954"/>
    <cellStyle name="Input 6 9 2" xfId="36955"/>
    <cellStyle name="Input 60" xfId="36956"/>
    <cellStyle name="Input 60 2" xfId="36957"/>
    <cellStyle name="Input 60 2 2" xfId="36958"/>
    <cellStyle name="Input 60 3" xfId="36959"/>
    <cellStyle name="Input 60 3 2" xfId="36960"/>
    <cellStyle name="Input 60 4" xfId="36961"/>
    <cellStyle name="Input 60 5" xfId="36962"/>
    <cellStyle name="Input 60 6" xfId="36963"/>
    <cellStyle name="Input 61" xfId="36964"/>
    <cellStyle name="Input 61 2" xfId="36965"/>
    <cellStyle name="Input 62" xfId="36966"/>
    <cellStyle name="Input 63" xfId="36967"/>
    <cellStyle name="Input 64" xfId="36968"/>
    <cellStyle name="Input 7" xfId="36969"/>
    <cellStyle name="Input 7 10" xfId="36970"/>
    <cellStyle name="Input 7 11" xfId="36971"/>
    <cellStyle name="Input 7 12" xfId="36972"/>
    <cellStyle name="Input 7 2" xfId="36973"/>
    <cellStyle name="Input 7 2 10" xfId="36974"/>
    <cellStyle name="Input 7 2 11" xfId="36975"/>
    <cellStyle name="Input 7 2 12" xfId="36976"/>
    <cellStyle name="Input 7 2 2" xfId="36977"/>
    <cellStyle name="Input 7 2 2 10" xfId="36978"/>
    <cellStyle name="Input 7 2 2 11" xfId="36979"/>
    <cellStyle name="Input 7 2 2 2" xfId="36980"/>
    <cellStyle name="Input 7 2 2 2 10" xfId="36981"/>
    <cellStyle name="Input 7 2 2 2 2" xfId="36982"/>
    <cellStyle name="Input 7 2 2 2 2 2" xfId="36983"/>
    <cellStyle name="Input 7 2 2 2 2 2 2" xfId="36984"/>
    <cellStyle name="Input 7 2 2 2 2 2 2 2" xfId="36985"/>
    <cellStyle name="Input 7 2 2 2 2 2 2 2 2" xfId="36986"/>
    <cellStyle name="Input 7 2 2 2 2 2 2 3" xfId="36987"/>
    <cellStyle name="Input 7 2 2 2 2 2 2 3 2" xfId="36988"/>
    <cellStyle name="Input 7 2 2 2 2 2 2 4" xfId="36989"/>
    <cellStyle name="Input 7 2 2 2 2 2 2 5" xfId="36990"/>
    <cellStyle name="Input 7 2 2 2 2 2 2 6" xfId="36991"/>
    <cellStyle name="Input 7 2 2 2 2 2 3" xfId="36992"/>
    <cellStyle name="Input 7 2 2 2 2 2 3 2" xfId="36993"/>
    <cellStyle name="Input 7 2 2 2 2 2 4" xfId="36994"/>
    <cellStyle name="Input 7 2 2 2 2 2 4 2" xfId="36995"/>
    <cellStyle name="Input 7 2 2 2 2 2 5" xfId="36996"/>
    <cellStyle name="Input 7 2 2 2 2 2 6" xfId="36997"/>
    <cellStyle name="Input 7 2 2 2 2 2 7" xfId="36998"/>
    <cellStyle name="Input 7 2 2 2 2 3" xfId="36999"/>
    <cellStyle name="Input 7 2 2 2 2 3 2" xfId="37000"/>
    <cellStyle name="Input 7 2 2 2 2 3 2 2" xfId="37001"/>
    <cellStyle name="Input 7 2 2 2 2 3 3" xfId="37002"/>
    <cellStyle name="Input 7 2 2 2 2 3 3 2" xfId="37003"/>
    <cellStyle name="Input 7 2 2 2 2 3 4" xfId="37004"/>
    <cellStyle name="Input 7 2 2 2 2 3 5" xfId="37005"/>
    <cellStyle name="Input 7 2 2 2 2 3 6" xfId="37006"/>
    <cellStyle name="Input 7 2 2 2 2 4" xfId="37007"/>
    <cellStyle name="Input 7 2 2 2 2 4 2" xfId="37008"/>
    <cellStyle name="Input 7 2 2 2 2 5" xfId="37009"/>
    <cellStyle name="Input 7 2 2 2 2 5 2" xfId="37010"/>
    <cellStyle name="Input 7 2 2 2 2 6" xfId="37011"/>
    <cellStyle name="Input 7 2 2 2 2 7" xfId="37012"/>
    <cellStyle name="Input 7 2 2 2 2 8" xfId="37013"/>
    <cellStyle name="Input 7 2 2 2 3" xfId="37014"/>
    <cellStyle name="Input 7 2 2 2 3 2" xfId="37015"/>
    <cellStyle name="Input 7 2 2 2 3 2 2" xfId="37016"/>
    <cellStyle name="Input 7 2 2 2 3 2 2 2" xfId="37017"/>
    <cellStyle name="Input 7 2 2 2 3 2 2 2 2" xfId="37018"/>
    <cellStyle name="Input 7 2 2 2 3 2 2 3" xfId="37019"/>
    <cellStyle name="Input 7 2 2 2 3 2 2 3 2" xfId="37020"/>
    <cellStyle name="Input 7 2 2 2 3 2 2 4" xfId="37021"/>
    <cellStyle name="Input 7 2 2 2 3 2 2 5" xfId="37022"/>
    <cellStyle name="Input 7 2 2 2 3 2 2 6" xfId="37023"/>
    <cellStyle name="Input 7 2 2 2 3 2 3" xfId="37024"/>
    <cellStyle name="Input 7 2 2 2 3 2 3 2" xfId="37025"/>
    <cellStyle name="Input 7 2 2 2 3 2 4" xfId="37026"/>
    <cellStyle name="Input 7 2 2 2 3 2 4 2" xfId="37027"/>
    <cellStyle name="Input 7 2 2 2 3 2 5" xfId="37028"/>
    <cellStyle name="Input 7 2 2 2 3 2 6" xfId="37029"/>
    <cellStyle name="Input 7 2 2 2 3 2 7" xfId="37030"/>
    <cellStyle name="Input 7 2 2 2 3 3" xfId="37031"/>
    <cellStyle name="Input 7 2 2 2 3 3 2" xfId="37032"/>
    <cellStyle name="Input 7 2 2 2 3 3 2 2" xfId="37033"/>
    <cellStyle name="Input 7 2 2 2 3 3 3" xfId="37034"/>
    <cellStyle name="Input 7 2 2 2 3 3 3 2" xfId="37035"/>
    <cellStyle name="Input 7 2 2 2 3 3 4" xfId="37036"/>
    <cellStyle name="Input 7 2 2 2 3 3 5" xfId="37037"/>
    <cellStyle name="Input 7 2 2 2 3 3 6" xfId="37038"/>
    <cellStyle name="Input 7 2 2 2 3 4" xfId="37039"/>
    <cellStyle name="Input 7 2 2 2 3 4 2" xfId="37040"/>
    <cellStyle name="Input 7 2 2 2 3 5" xfId="37041"/>
    <cellStyle name="Input 7 2 2 2 3 5 2" xfId="37042"/>
    <cellStyle name="Input 7 2 2 2 3 6" xfId="37043"/>
    <cellStyle name="Input 7 2 2 2 3 7" xfId="37044"/>
    <cellStyle name="Input 7 2 2 2 3 8" xfId="37045"/>
    <cellStyle name="Input 7 2 2 2 4" xfId="37046"/>
    <cellStyle name="Input 7 2 2 2 4 2" xfId="37047"/>
    <cellStyle name="Input 7 2 2 2 4 2 2" xfId="37048"/>
    <cellStyle name="Input 7 2 2 2 4 2 2 2" xfId="37049"/>
    <cellStyle name="Input 7 2 2 2 4 2 3" xfId="37050"/>
    <cellStyle name="Input 7 2 2 2 4 2 3 2" xfId="37051"/>
    <cellStyle name="Input 7 2 2 2 4 2 4" xfId="37052"/>
    <cellStyle name="Input 7 2 2 2 4 2 5" xfId="37053"/>
    <cellStyle name="Input 7 2 2 2 4 2 6" xfId="37054"/>
    <cellStyle name="Input 7 2 2 2 4 3" xfId="37055"/>
    <cellStyle name="Input 7 2 2 2 4 3 2" xfId="37056"/>
    <cellStyle name="Input 7 2 2 2 4 4" xfId="37057"/>
    <cellStyle name="Input 7 2 2 2 4 4 2" xfId="37058"/>
    <cellStyle name="Input 7 2 2 2 4 5" xfId="37059"/>
    <cellStyle name="Input 7 2 2 2 4 6" xfId="37060"/>
    <cellStyle name="Input 7 2 2 2 4 7" xfId="37061"/>
    <cellStyle name="Input 7 2 2 2 5" xfId="37062"/>
    <cellStyle name="Input 7 2 2 2 5 2" xfId="37063"/>
    <cellStyle name="Input 7 2 2 2 5 2 2" xfId="37064"/>
    <cellStyle name="Input 7 2 2 2 5 3" xfId="37065"/>
    <cellStyle name="Input 7 2 2 2 5 3 2" xfId="37066"/>
    <cellStyle name="Input 7 2 2 2 5 4" xfId="37067"/>
    <cellStyle name="Input 7 2 2 2 5 5" xfId="37068"/>
    <cellStyle name="Input 7 2 2 2 5 6" xfId="37069"/>
    <cellStyle name="Input 7 2 2 2 6" xfId="37070"/>
    <cellStyle name="Input 7 2 2 2 6 2" xfId="37071"/>
    <cellStyle name="Input 7 2 2 2 7" xfId="37072"/>
    <cellStyle name="Input 7 2 2 2 7 2" xfId="37073"/>
    <cellStyle name="Input 7 2 2 2 8" xfId="37074"/>
    <cellStyle name="Input 7 2 2 2 9" xfId="37075"/>
    <cellStyle name="Input 7 2 2 3" xfId="37076"/>
    <cellStyle name="Input 7 2 2 3 2" xfId="37077"/>
    <cellStyle name="Input 7 2 2 3 2 2" xfId="37078"/>
    <cellStyle name="Input 7 2 2 3 2 2 2" xfId="37079"/>
    <cellStyle name="Input 7 2 2 3 2 2 2 2" xfId="37080"/>
    <cellStyle name="Input 7 2 2 3 2 2 3" xfId="37081"/>
    <cellStyle name="Input 7 2 2 3 2 2 3 2" xfId="37082"/>
    <cellStyle name="Input 7 2 2 3 2 2 4" xfId="37083"/>
    <cellStyle name="Input 7 2 2 3 2 2 5" xfId="37084"/>
    <cellStyle name="Input 7 2 2 3 2 2 6" xfId="37085"/>
    <cellStyle name="Input 7 2 2 3 2 3" xfId="37086"/>
    <cellStyle name="Input 7 2 2 3 2 3 2" xfId="37087"/>
    <cellStyle name="Input 7 2 2 3 2 4" xfId="37088"/>
    <cellStyle name="Input 7 2 2 3 2 4 2" xfId="37089"/>
    <cellStyle name="Input 7 2 2 3 2 5" xfId="37090"/>
    <cellStyle name="Input 7 2 2 3 2 6" xfId="37091"/>
    <cellStyle name="Input 7 2 2 3 2 7" xfId="37092"/>
    <cellStyle name="Input 7 2 2 3 3" xfId="37093"/>
    <cellStyle name="Input 7 2 2 3 3 2" xfId="37094"/>
    <cellStyle name="Input 7 2 2 3 3 2 2" xfId="37095"/>
    <cellStyle name="Input 7 2 2 3 3 3" xfId="37096"/>
    <cellStyle name="Input 7 2 2 3 3 3 2" xfId="37097"/>
    <cellStyle name="Input 7 2 2 3 3 4" xfId="37098"/>
    <cellStyle name="Input 7 2 2 3 3 5" xfId="37099"/>
    <cellStyle name="Input 7 2 2 3 3 6" xfId="37100"/>
    <cellStyle name="Input 7 2 2 3 4" xfId="37101"/>
    <cellStyle name="Input 7 2 2 3 4 2" xfId="37102"/>
    <cellStyle name="Input 7 2 2 3 5" xfId="37103"/>
    <cellStyle name="Input 7 2 2 3 5 2" xfId="37104"/>
    <cellStyle name="Input 7 2 2 3 6" xfId="37105"/>
    <cellStyle name="Input 7 2 2 3 7" xfId="37106"/>
    <cellStyle name="Input 7 2 2 3 8" xfId="37107"/>
    <cellStyle name="Input 7 2 2 4" xfId="37108"/>
    <cellStyle name="Input 7 2 2 4 2" xfId="37109"/>
    <cellStyle name="Input 7 2 2 4 2 2" xfId="37110"/>
    <cellStyle name="Input 7 2 2 4 2 2 2" xfId="37111"/>
    <cellStyle name="Input 7 2 2 4 2 2 2 2" xfId="37112"/>
    <cellStyle name="Input 7 2 2 4 2 2 3" xfId="37113"/>
    <cellStyle name="Input 7 2 2 4 2 2 3 2" xfId="37114"/>
    <cellStyle name="Input 7 2 2 4 2 2 4" xfId="37115"/>
    <cellStyle name="Input 7 2 2 4 2 2 5" xfId="37116"/>
    <cellStyle name="Input 7 2 2 4 2 2 6" xfId="37117"/>
    <cellStyle name="Input 7 2 2 4 2 3" xfId="37118"/>
    <cellStyle name="Input 7 2 2 4 2 3 2" xfId="37119"/>
    <cellStyle name="Input 7 2 2 4 2 4" xfId="37120"/>
    <cellStyle name="Input 7 2 2 4 2 4 2" xfId="37121"/>
    <cellStyle name="Input 7 2 2 4 2 5" xfId="37122"/>
    <cellStyle name="Input 7 2 2 4 2 6" xfId="37123"/>
    <cellStyle name="Input 7 2 2 4 2 7" xfId="37124"/>
    <cellStyle name="Input 7 2 2 4 3" xfId="37125"/>
    <cellStyle name="Input 7 2 2 4 3 2" xfId="37126"/>
    <cellStyle name="Input 7 2 2 4 3 2 2" xfId="37127"/>
    <cellStyle name="Input 7 2 2 4 3 3" xfId="37128"/>
    <cellStyle name="Input 7 2 2 4 3 3 2" xfId="37129"/>
    <cellStyle name="Input 7 2 2 4 3 4" xfId="37130"/>
    <cellStyle name="Input 7 2 2 4 3 5" xfId="37131"/>
    <cellStyle name="Input 7 2 2 4 3 6" xfId="37132"/>
    <cellStyle name="Input 7 2 2 4 4" xfId="37133"/>
    <cellStyle name="Input 7 2 2 4 4 2" xfId="37134"/>
    <cellStyle name="Input 7 2 2 4 5" xfId="37135"/>
    <cellStyle name="Input 7 2 2 4 5 2" xfId="37136"/>
    <cellStyle name="Input 7 2 2 4 6" xfId="37137"/>
    <cellStyle name="Input 7 2 2 4 7" xfId="37138"/>
    <cellStyle name="Input 7 2 2 4 8" xfId="37139"/>
    <cellStyle name="Input 7 2 2 5" xfId="37140"/>
    <cellStyle name="Input 7 2 2 5 2" xfId="37141"/>
    <cellStyle name="Input 7 2 2 5 2 2" xfId="37142"/>
    <cellStyle name="Input 7 2 2 5 2 2 2" xfId="37143"/>
    <cellStyle name="Input 7 2 2 5 2 3" xfId="37144"/>
    <cellStyle name="Input 7 2 2 5 2 3 2" xfId="37145"/>
    <cellStyle name="Input 7 2 2 5 2 4" xfId="37146"/>
    <cellStyle name="Input 7 2 2 5 2 5" xfId="37147"/>
    <cellStyle name="Input 7 2 2 5 2 6" xfId="37148"/>
    <cellStyle name="Input 7 2 2 5 3" xfId="37149"/>
    <cellStyle name="Input 7 2 2 5 3 2" xfId="37150"/>
    <cellStyle name="Input 7 2 2 5 4" xfId="37151"/>
    <cellStyle name="Input 7 2 2 5 4 2" xfId="37152"/>
    <cellStyle name="Input 7 2 2 5 5" xfId="37153"/>
    <cellStyle name="Input 7 2 2 5 6" xfId="37154"/>
    <cellStyle name="Input 7 2 2 5 7" xfId="37155"/>
    <cellStyle name="Input 7 2 2 6" xfId="37156"/>
    <cellStyle name="Input 7 2 2 6 2" xfId="37157"/>
    <cellStyle name="Input 7 2 2 6 2 2" xfId="37158"/>
    <cellStyle name="Input 7 2 2 6 3" xfId="37159"/>
    <cellStyle name="Input 7 2 2 6 3 2" xfId="37160"/>
    <cellStyle name="Input 7 2 2 6 4" xfId="37161"/>
    <cellStyle name="Input 7 2 2 6 5" xfId="37162"/>
    <cellStyle name="Input 7 2 2 6 6" xfId="37163"/>
    <cellStyle name="Input 7 2 2 7" xfId="37164"/>
    <cellStyle name="Input 7 2 2 7 2" xfId="37165"/>
    <cellStyle name="Input 7 2 2 8" xfId="37166"/>
    <cellStyle name="Input 7 2 2 8 2" xfId="37167"/>
    <cellStyle name="Input 7 2 2 9" xfId="37168"/>
    <cellStyle name="Input 7 2 3" xfId="37169"/>
    <cellStyle name="Input 7 2 3 10" xfId="37170"/>
    <cellStyle name="Input 7 2 3 2" xfId="37171"/>
    <cellStyle name="Input 7 2 3 2 10" xfId="37172"/>
    <cellStyle name="Input 7 2 3 2 2" xfId="37173"/>
    <cellStyle name="Input 7 2 3 2 2 2" xfId="37174"/>
    <cellStyle name="Input 7 2 3 2 2 2 2" xfId="37175"/>
    <cellStyle name="Input 7 2 3 2 2 2 2 2" xfId="37176"/>
    <cellStyle name="Input 7 2 3 2 2 2 2 2 2" xfId="37177"/>
    <cellStyle name="Input 7 2 3 2 2 2 2 3" xfId="37178"/>
    <cellStyle name="Input 7 2 3 2 2 2 2 3 2" xfId="37179"/>
    <cellStyle name="Input 7 2 3 2 2 2 2 4" xfId="37180"/>
    <cellStyle name="Input 7 2 3 2 2 2 2 5" xfId="37181"/>
    <cellStyle name="Input 7 2 3 2 2 2 2 6" xfId="37182"/>
    <cellStyle name="Input 7 2 3 2 2 2 3" xfId="37183"/>
    <cellStyle name="Input 7 2 3 2 2 2 3 2" xfId="37184"/>
    <cellStyle name="Input 7 2 3 2 2 2 4" xfId="37185"/>
    <cellStyle name="Input 7 2 3 2 2 2 4 2" xfId="37186"/>
    <cellStyle name="Input 7 2 3 2 2 2 5" xfId="37187"/>
    <cellStyle name="Input 7 2 3 2 2 2 6" xfId="37188"/>
    <cellStyle name="Input 7 2 3 2 2 2 7" xfId="37189"/>
    <cellStyle name="Input 7 2 3 2 2 3" xfId="37190"/>
    <cellStyle name="Input 7 2 3 2 2 3 2" xfId="37191"/>
    <cellStyle name="Input 7 2 3 2 2 3 2 2" xfId="37192"/>
    <cellStyle name="Input 7 2 3 2 2 3 3" xfId="37193"/>
    <cellStyle name="Input 7 2 3 2 2 3 3 2" xfId="37194"/>
    <cellStyle name="Input 7 2 3 2 2 3 4" xfId="37195"/>
    <cellStyle name="Input 7 2 3 2 2 3 5" xfId="37196"/>
    <cellStyle name="Input 7 2 3 2 2 3 6" xfId="37197"/>
    <cellStyle name="Input 7 2 3 2 2 4" xfId="37198"/>
    <cellStyle name="Input 7 2 3 2 2 4 2" xfId="37199"/>
    <cellStyle name="Input 7 2 3 2 2 5" xfId="37200"/>
    <cellStyle name="Input 7 2 3 2 2 5 2" xfId="37201"/>
    <cellStyle name="Input 7 2 3 2 2 6" xfId="37202"/>
    <cellStyle name="Input 7 2 3 2 2 7" xfId="37203"/>
    <cellStyle name="Input 7 2 3 2 2 8" xfId="37204"/>
    <cellStyle name="Input 7 2 3 2 3" xfId="37205"/>
    <cellStyle name="Input 7 2 3 2 3 2" xfId="37206"/>
    <cellStyle name="Input 7 2 3 2 3 2 2" xfId="37207"/>
    <cellStyle name="Input 7 2 3 2 3 2 2 2" xfId="37208"/>
    <cellStyle name="Input 7 2 3 2 3 2 2 2 2" xfId="37209"/>
    <cellStyle name="Input 7 2 3 2 3 2 2 3" xfId="37210"/>
    <cellStyle name="Input 7 2 3 2 3 2 2 3 2" xfId="37211"/>
    <cellStyle name="Input 7 2 3 2 3 2 2 4" xfId="37212"/>
    <cellStyle name="Input 7 2 3 2 3 2 2 5" xfId="37213"/>
    <cellStyle name="Input 7 2 3 2 3 2 2 6" xfId="37214"/>
    <cellStyle name="Input 7 2 3 2 3 2 3" xfId="37215"/>
    <cellStyle name="Input 7 2 3 2 3 2 3 2" xfId="37216"/>
    <cellStyle name="Input 7 2 3 2 3 2 4" xfId="37217"/>
    <cellStyle name="Input 7 2 3 2 3 2 4 2" xfId="37218"/>
    <cellStyle name="Input 7 2 3 2 3 2 5" xfId="37219"/>
    <cellStyle name="Input 7 2 3 2 3 2 6" xfId="37220"/>
    <cellStyle name="Input 7 2 3 2 3 2 7" xfId="37221"/>
    <cellStyle name="Input 7 2 3 2 3 3" xfId="37222"/>
    <cellStyle name="Input 7 2 3 2 3 3 2" xfId="37223"/>
    <cellStyle name="Input 7 2 3 2 3 3 2 2" xfId="37224"/>
    <cellStyle name="Input 7 2 3 2 3 3 3" xfId="37225"/>
    <cellStyle name="Input 7 2 3 2 3 3 3 2" xfId="37226"/>
    <cellStyle name="Input 7 2 3 2 3 3 4" xfId="37227"/>
    <cellStyle name="Input 7 2 3 2 3 3 5" xfId="37228"/>
    <cellStyle name="Input 7 2 3 2 3 3 6" xfId="37229"/>
    <cellStyle name="Input 7 2 3 2 3 4" xfId="37230"/>
    <cellStyle name="Input 7 2 3 2 3 4 2" xfId="37231"/>
    <cellStyle name="Input 7 2 3 2 3 5" xfId="37232"/>
    <cellStyle name="Input 7 2 3 2 3 5 2" xfId="37233"/>
    <cellStyle name="Input 7 2 3 2 3 6" xfId="37234"/>
    <cellStyle name="Input 7 2 3 2 3 7" xfId="37235"/>
    <cellStyle name="Input 7 2 3 2 3 8" xfId="37236"/>
    <cellStyle name="Input 7 2 3 2 4" xfId="37237"/>
    <cellStyle name="Input 7 2 3 2 4 2" xfId="37238"/>
    <cellStyle name="Input 7 2 3 2 4 2 2" xfId="37239"/>
    <cellStyle name="Input 7 2 3 2 4 2 2 2" xfId="37240"/>
    <cellStyle name="Input 7 2 3 2 4 2 3" xfId="37241"/>
    <cellStyle name="Input 7 2 3 2 4 2 3 2" xfId="37242"/>
    <cellStyle name="Input 7 2 3 2 4 2 4" xfId="37243"/>
    <cellStyle name="Input 7 2 3 2 4 2 5" xfId="37244"/>
    <cellStyle name="Input 7 2 3 2 4 2 6" xfId="37245"/>
    <cellStyle name="Input 7 2 3 2 4 3" xfId="37246"/>
    <cellStyle name="Input 7 2 3 2 4 3 2" xfId="37247"/>
    <cellStyle name="Input 7 2 3 2 4 4" xfId="37248"/>
    <cellStyle name="Input 7 2 3 2 4 4 2" xfId="37249"/>
    <cellStyle name="Input 7 2 3 2 4 5" xfId="37250"/>
    <cellStyle name="Input 7 2 3 2 4 6" xfId="37251"/>
    <cellStyle name="Input 7 2 3 2 4 7" xfId="37252"/>
    <cellStyle name="Input 7 2 3 2 5" xfId="37253"/>
    <cellStyle name="Input 7 2 3 2 5 2" xfId="37254"/>
    <cellStyle name="Input 7 2 3 2 5 2 2" xfId="37255"/>
    <cellStyle name="Input 7 2 3 2 5 3" xfId="37256"/>
    <cellStyle name="Input 7 2 3 2 5 3 2" xfId="37257"/>
    <cellStyle name="Input 7 2 3 2 5 4" xfId="37258"/>
    <cellStyle name="Input 7 2 3 2 5 5" xfId="37259"/>
    <cellStyle name="Input 7 2 3 2 5 6" xfId="37260"/>
    <cellStyle name="Input 7 2 3 2 6" xfId="37261"/>
    <cellStyle name="Input 7 2 3 2 6 2" xfId="37262"/>
    <cellStyle name="Input 7 2 3 2 7" xfId="37263"/>
    <cellStyle name="Input 7 2 3 2 7 2" xfId="37264"/>
    <cellStyle name="Input 7 2 3 2 8" xfId="37265"/>
    <cellStyle name="Input 7 2 3 2 9" xfId="37266"/>
    <cellStyle name="Input 7 2 3 3" xfId="37267"/>
    <cellStyle name="Input 7 2 3 3 2" xfId="37268"/>
    <cellStyle name="Input 7 2 3 3 2 2" xfId="37269"/>
    <cellStyle name="Input 7 2 3 3 2 2 2" xfId="37270"/>
    <cellStyle name="Input 7 2 3 3 2 2 2 2" xfId="37271"/>
    <cellStyle name="Input 7 2 3 3 2 2 3" xfId="37272"/>
    <cellStyle name="Input 7 2 3 3 2 2 3 2" xfId="37273"/>
    <cellStyle name="Input 7 2 3 3 2 2 4" xfId="37274"/>
    <cellStyle name="Input 7 2 3 3 2 2 5" xfId="37275"/>
    <cellStyle name="Input 7 2 3 3 2 2 6" xfId="37276"/>
    <cellStyle name="Input 7 2 3 3 2 3" xfId="37277"/>
    <cellStyle name="Input 7 2 3 3 2 3 2" xfId="37278"/>
    <cellStyle name="Input 7 2 3 3 2 4" xfId="37279"/>
    <cellStyle name="Input 7 2 3 3 2 4 2" xfId="37280"/>
    <cellStyle name="Input 7 2 3 3 2 5" xfId="37281"/>
    <cellStyle name="Input 7 2 3 3 2 6" xfId="37282"/>
    <cellStyle name="Input 7 2 3 3 2 7" xfId="37283"/>
    <cellStyle name="Input 7 2 3 3 3" xfId="37284"/>
    <cellStyle name="Input 7 2 3 3 3 2" xfId="37285"/>
    <cellStyle name="Input 7 2 3 3 3 2 2" xfId="37286"/>
    <cellStyle name="Input 7 2 3 3 3 3" xfId="37287"/>
    <cellStyle name="Input 7 2 3 3 3 3 2" xfId="37288"/>
    <cellStyle name="Input 7 2 3 3 3 4" xfId="37289"/>
    <cellStyle name="Input 7 2 3 3 3 5" xfId="37290"/>
    <cellStyle name="Input 7 2 3 3 3 6" xfId="37291"/>
    <cellStyle name="Input 7 2 3 3 4" xfId="37292"/>
    <cellStyle name="Input 7 2 3 3 4 2" xfId="37293"/>
    <cellStyle name="Input 7 2 3 3 5" xfId="37294"/>
    <cellStyle name="Input 7 2 3 3 5 2" xfId="37295"/>
    <cellStyle name="Input 7 2 3 3 6" xfId="37296"/>
    <cellStyle name="Input 7 2 3 3 7" xfId="37297"/>
    <cellStyle name="Input 7 2 3 3 8" xfId="37298"/>
    <cellStyle name="Input 7 2 3 4" xfId="37299"/>
    <cellStyle name="Input 7 2 3 4 2" xfId="37300"/>
    <cellStyle name="Input 7 2 3 4 2 2" xfId="37301"/>
    <cellStyle name="Input 7 2 3 4 2 2 2" xfId="37302"/>
    <cellStyle name="Input 7 2 3 4 2 3" xfId="37303"/>
    <cellStyle name="Input 7 2 3 4 2 3 2" xfId="37304"/>
    <cellStyle name="Input 7 2 3 4 2 4" xfId="37305"/>
    <cellStyle name="Input 7 2 3 4 2 5" xfId="37306"/>
    <cellStyle name="Input 7 2 3 4 2 6" xfId="37307"/>
    <cellStyle name="Input 7 2 3 4 3" xfId="37308"/>
    <cellStyle name="Input 7 2 3 4 3 2" xfId="37309"/>
    <cellStyle name="Input 7 2 3 4 4" xfId="37310"/>
    <cellStyle name="Input 7 2 3 4 4 2" xfId="37311"/>
    <cellStyle name="Input 7 2 3 4 5" xfId="37312"/>
    <cellStyle name="Input 7 2 3 4 6" xfId="37313"/>
    <cellStyle name="Input 7 2 3 4 7" xfId="37314"/>
    <cellStyle name="Input 7 2 3 5" xfId="37315"/>
    <cellStyle name="Input 7 2 3 5 2" xfId="37316"/>
    <cellStyle name="Input 7 2 3 5 2 2" xfId="37317"/>
    <cellStyle name="Input 7 2 3 5 3" xfId="37318"/>
    <cellStyle name="Input 7 2 3 5 3 2" xfId="37319"/>
    <cellStyle name="Input 7 2 3 5 4" xfId="37320"/>
    <cellStyle name="Input 7 2 3 5 5" xfId="37321"/>
    <cellStyle name="Input 7 2 3 5 6" xfId="37322"/>
    <cellStyle name="Input 7 2 3 6" xfId="37323"/>
    <cellStyle name="Input 7 2 3 6 2" xfId="37324"/>
    <cellStyle name="Input 7 2 3 7" xfId="37325"/>
    <cellStyle name="Input 7 2 3 7 2" xfId="37326"/>
    <cellStyle name="Input 7 2 3 8" xfId="37327"/>
    <cellStyle name="Input 7 2 3 9" xfId="37328"/>
    <cellStyle name="Input 7 2 4" xfId="37329"/>
    <cellStyle name="Input 7 2 4 10" xfId="37330"/>
    <cellStyle name="Input 7 2 4 2" xfId="37331"/>
    <cellStyle name="Input 7 2 4 2 2" xfId="37332"/>
    <cellStyle name="Input 7 2 4 2 2 2" xfId="37333"/>
    <cellStyle name="Input 7 2 4 2 2 2 2" xfId="37334"/>
    <cellStyle name="Input 7 2 4 2 2 2 2 2" xfId="37335"/>
    <cellStyle name="Input 7 2 4 2 2 2 3" xfId="37336"/>
    <cellStyle name="Input 7 2 4 2 2 2 3 2" xfId="37337"/>
    <cellStyle name="Input 7 2 4 2 2 2 4" xfId="37338"/>
    <cellStyle name="Input 7 2 4 2 2 2 5" xfId="37339"/>
    <cellStyle name="Input 7 2 4 2 2 2 6" xfId="37340"/>
    <cellStyle name="Input 7 2 4 2 2 3" xfId="37341"/>
    <cellStyle name="Input 7 2 4 2 2 3 2" xfId="37342"/>
    <cellStyle name="Input 7 2 4 2 2 4" xfId="37343"/>
    <cellStyle name="Input 7 2 4 2 2 4 2" xfId="37344"/>
    <cellStyle name="Input 7 2 4 2 2 5" xfId="37345"/>
    <cellStyle name="Input 7 2 4 2 2 6" xfId="37346"/>
    <cellStyle name="Input 7 2 4 2 2 7" xfId="37347"/>
    <cellStyle name="Input 7 2 4 2 3" xfId="37348"/>
    <cellStyle name="Input 7 2 4 2 3 2" xfId="37349"/>
    <cellStyle name="Input 7 2 4 2 3 2 2" xfId="37350"/>
    <cellStyle name="Input 7 2 4 2 3 3" xfId="37351"/>
    <cellStyle name="Input 7 2 4 2 3 3 2" xfId="37352"/>
    <cellStyle name="Input 7 2 4 2 3 4" xfId="37353"/>
    <cellStyle name="Input 7 2 4 2 3 5" xfId="37354"/>
    <cellStyle name="Input 7 2 4 2 3 6" xfId="37355"/>
    <cellStyle name="Input 7 2 4 2 4" xfId="37356"/>
    <cellStyle name="Input 7 2 4 2 4 2" xfId="37357"/>
    <cellStyle name="Input 7 2 4 2 5" xfId="37358"/>
    <cellStyle name="Input 7 2 4 2 5 2" xfId="37359"/>
    <cellStyle name="Input 7 2 4 2 6" xfId="37360"/>
    <cellStyle name="Input 7 2 4 2 7" xfId="37361"/>
    <cellStyle name="Input 7 2 4 2 8" xfId="37362"/>
    <cellStyle name="Input 7 2 4 3" xfId="37363"/>
    <cellStyle name="Input 7 2 4 3 2" xfId="37364"/>
    <cellStyle name="Input 7 2 4 3 2 2" xfId="37365"/>
    <cellStyle name="Input 7 2 4 3 2 2 2" xfId="37366"/>
    <cellStyle name="Input 7 2 4 3 2 2 2 2" xfId="37367"/>
    <cellStyle name="Input 7 2 4 3 2 2 3" xfId="37368"/>
    <cellStyle name="Input 7 2 4 3 2 2 3 2" xfId="37369"/>
    <cellStyle name="Input 7 2 4 3 2 2 4" xfId="37370"/>
    <cellStyle name="Input 7 2 4 3 2 2 5" xfId="37371"/>
    <cellStyle name="Input 7 2 4 3 2 2 6" xfId="37372"/>
    <cellStyle name="Input 7 2 4 3 2 3" xfId="37373"/>
    <cellStyle name="Input 7 2 4 3 2 3 2" xfId="37374"/>
    <cellStyle name="Input 7 2 4 3 2 4" xfId="37375"/>
    <cellStyle name="Input 7 2 4 3 2 4 2" xfId="37376"/>
    <cellStyle name="Input 7 2 4 3 2 5" xfId="37377"/>
    <cellStyle name="Input 7 2 4 3 2 6" xfId="37378"/>
    <cellStyle name="Input 7 2 4 3 2 7" xfId="37379"/>
    <cellStyle name="Input 7 2 4 3 3" xfId="37380"/>
    <cellStyle name="Input 7 2 4 3 3 2" xfId="37381"/>
    <cellStyle name="Input 7 2 4 3 3 2 2" xfId="37382"/>
    <cellStyle name="Input 7 2 4 3 3 3" xfId="37383"/>
    <cellStyle name="Input 7 2 4 3 3 3 2" xfId="37384"/>
    <cellStyle name="Input 7 2 4 3 3 4" xfId="37385"/>
    <cellStyle name="Input 7 2 4 3 3 5" xfId="37386"/>
    <cellStyle name="Input 7 2 4 3 3 6" xfId="37387"/>
    <cellStyle name="Input 7 2 4 3 4" xfId="37388"/>
    <cellStyle name="Input 7 2 4 3 4 2" xfId="37389"/>
    <cellStyle name="Input 7 2 4 3 5" xfId="37390"/>
    <cellStyle name="Input 7 2 4 3 5 2" xfId="37391"/>
    <cellStyle name="Input 7 2 4 3 6" xfId="37392"/>
    <cellStyle name="Input 7 2 4 3 7" xfId="37393"/>
    <cellStyle name="Input 7 2 4 3 8" xfId="37394"/>
    <cellStyle name="Input 7 2 4 4" xfId="37395"/>
    <cellStyle name="Input 7 2 4 4 2" xfId="37396"/>
    <cellStyle name="Input 7 2 4 4 2 2" xfId="37397"/>
    <cellStyle name="Input 7 2 4 4 2 2 2" xfId="37398"/>
    <cellStyle name="Input 7 2 4 4 2 3" xfId="37399"/>
    <cellStyle name="Input 7 2 4 4 2 3 2" xfId="37400"/>
    <cellStyle name="Input 7 2 4 4 2 4" xfId="37401"/>
    <cellStyle name="Input 7 2 4 4 2 5" xfId="37402"/>
    <cellStyle name="Input 7 2 4 4 2 6" xfId="37403"/>
    <cellStyle name="Input 7 2 4 4 3" xfId="37404"/>
    <cellStyle name="Input 7 2 4 4 3 2" xfId="37405"/>
    <cellStyle name="Input 7 2 4 4 4" xfId="37406"/>
    <cellStyle name="Input 7 2 4 4 4 2" xfId="37407"/>
    <cellStyle name="Input 7 2 4 4 5" xfId="37408"/>
    <cellStyle name="Input 7 2 4 4 6" xfId="37409"/>
    <cellStyle name="Input 7 2 4 4 7" xfId="37410"/>
    <cellStyle name="Input 7 2 4 5" xfId="37411"/>
    <cellStyle name="Input 7 2 4 5 2" xfId="37412"/>
    <cellStyle name="Input 7 2 4 5 2 2" xfId="37413"/>
    <cellStyle name="Input 7 2 4 5 3" xfId="37414"/>
    <cellStyle name="Input 7 2 4 5 3 2" xfId="37415"/>
    <cellStyle name="Input 7 2 4 5 4" xfId="37416"/>
    <cellStyle name="Input 7 2 4 5 5" xfId="37417"/>
    <cellStyle name="Input 7 2 4 5 6" xfId="37418"/>
    <cellStyle name="Input 7 2 4 6" xfId="37419"/>
    <cellStyle name="Input 7 2 4 6 2" xfId="37420"/>
    <cellStyle name="Input 7 2 4 7" xfId="37421"/>
    <cellStyle name="Input 7 2 4 7 2" xfId="37422"/>
    <cellStyle name="Input 7 2 4 8" xfId="37423"/>
    <cellStyle name="Input 7 2 4 9" xfId="37424"/>
    <cellStyle name="Input 7 2 5" xfId="37425"/>
    <cellStyle name="Input 7 2 5 2" xfId="37426"/>
    <cellStyle name="Input 7 2 5 2 2" xfId="37427"/>
    <cellStyle name="Input 7 2 5 2 2 2" xfId="37428"/>
    <cellStyle name="Input 7 2 5 2 2 2 2" xfId="37429"/>
    <cellStyle name="Input 7 2 5 2 2 3" xfId="37430"/>
    <cellStyle name="Input 7 2 5 2 2 3 2" xfId="37431"/>
    <cellStyle name="Input 7 2 5 2 2 4" xfId="37432"/>
    <cellStyle name="Input 7 2 5 2 2 5" xfId="37433"/>
    <cellStyle name="Input 7 2 5 2 2 6" xfId="37434"/>
    <cellStyle name="Input 7 2 5 2 3" xfId="37435"/>
    <cellStyle name="Input 7 2 5 2 3 2" xfId="37436"/>
    <cellStyle name="Input 7 2 5 2 4" xfId="37437"/>
    <cellStyle name="Input 7 2 5 2 4 2" xfId="37438"/>
    <cellStyle name="Input 7 2 5 2 5" xfId="37439"/>
    <cellStyle name="Input 7 2 5 2 6" xfId="37440"/>
    <cellStyle name="Input 7 2 5 2 7" xfId="37441"/>
    <cellStyle name="Input 7 2 5 3" xfId="37442"/>
    <cellStyle name="Input 7 2 5 3 2" xfId="37443"/>
    <cellStyle name="Input 7 2 5 3 2 2" xfId="37444"/>
    <cellStyle name="Input 7 2 5 3 3" xfId="37445"/>
    <cellStyle name="Input 7 2 5 3 3 2" xfId="37446"/>
    <cellStyle name="Input 7 2 5 3 4" xfId="37447"/>
    <cellStyle name="Input 7 2 5 3 5" xfId="37448"/>
    <cellStyle name="Input 7 2 5 3 6" xfId="37449"/>
    <cellStyle name="Input 7 2 5 4" xfId="37450"/>
    <cellStyle name="Input 7 2 5 4 2" xfId="37451"/>
    <cellStyle name="Input 7 2 5 5" xfId="37452"/>
    <cellStyle name="Input 7 2 5 5 2" xfId="37453"/>
    <cellStyle name="Input 7 2 5 6" xfId="37454"/>
    <cellStyle name="Input 7 2 5 7" xfId="37455"/>
    <cellStyle name="Input 7 2 5 8" xfId="37456"/>
    <cellStyle name="Input 7 2 6" xfId="37457"/>
    <cellStyle name="Input 7 2 6 2" xfId="37458"/>
    <cellStyle name="Input 7 2 6 2 2" xfId="37459"/>
    <cellStyle name="Input 7 2 6 2 2 2" xfId="37460"/>
    <cellStyle name="Input 7 2 6 2 3" xfId="37461"/>
    <cellStyle name="Input 7 2 6 2 3 2" xfId="37462"/>
    <cellStyle name="Input 7 2 6 2 4" xfId="37463"/>
    <cellStyle name="Input 7 2 6 2 5" xfId="37464"/>
    <cellStyle name="Input 7 2 6 2 6" xfId="37465"/>
    <cellStyle name="Input 7 2 6 3" xfId="37466"/>
    <cellStyle name="Input 7 2 6 3 2" xfId="37467"/>
    <cellStyle name="Input 7 2 6 4" xfId="37468"/>
    <cellStyle name="Input 7 2 6 4 2" xfId="37469"/>
    <cellStyle name="Input 7 2 6 5" xfId="37470"/>
    <cellStyle name="Input 7 2 6 6" xfId="37471"/>
    <cellStyle name="Input 7 2 6 7" xfId="37472"/>
    <cellStyle name="Input 7 2 7" xfId="37473"/>
    <cellStyle name="Input 7 2 7 2" xfId="37474"/>
    <cellStyle name="Input 7 2 7 2 2" xfId="37475"/>
    <cellStyle name="Input 7 2 7 3" xfId="37476"/>
    <cellStyle name="Input 7 2 7 3 2" xfId="37477"/>
    <cellStyle name="Input 7 2 7 4" xfId="37478"/>
    <cellStyle name="Input 7 2 7 5" xfId="37479"/>
    <cellStyle name="Input 7 2 7 6" xfId="37480"/>
    <cellStyle name="Input 7 2 8" xfId="37481"/>
    <cellStyle name="Input 7 2 8 2" xfId="37482"/>
    <cellStyle name="Input 7 2 9" xfId="37483"/>
    <cellStyle name="Input 7 2 9 2" xfId="37484"/>
    <cellStyle name="Input 7 3" xfId="37485"/>
    <cellStyle name="Input 7 3 10" xfId="37486"/>
    <cellStyle name="Input 7 3 11" xfId="37487"/>
    <cellStyle name="Input 7 3 2" xfId="37488"/>
    <cellStyle name="Input 7 3 2 10" xfId="37489"/>
    <cellStyle name="Input 7 3 2 2" xfId="37490"/>
    <cellStyle name="Input 7 3 2 2 10" xfId="37491"/>
    <cellStyle name="Input 7 3 2 2 2" xfId="37492"/>
    <cellStyle name="Input 7 3 2 2 2 2" xfId="37493"/>
    <cellStyle name="Input 7 3 2 2 2 2 2" xfId="37494"/>
    <cellStyle name="Input 7 3 2 2 2 2 2 2" xfId="37495"/>
    <cellStyle name="Input 7 3 2 2 2 2 2 2 2" xfId="37496"/>
    <cellStyle name="Input 7 3 2 2 2 2 2 3" xfId="37497"/>
    <cellStyle name="Input 7 3 2 2 2 2 2 3 2" xfId="37498"/>
    <cellStyle name="Input 7 3 2 2 2 2 2 4" xfId="37499"/>
    <cellStyle name="Input 7 3 2 2 2 2 2 5" xfId="37500"/>
    <cellStyle name="Input 7 3 2 2 2 2 2 6" xfId="37501"/>
    <cellStyle name="Input 7 3 2 2 2 2 3" xfId="37502"/>
    <cellStyle name="Input 7 3 2 2 2 2 3 2" xfId="37503"/>
    <cellStyle name="Input 7 3 2 2 2 2 4" xfId="37504"/>
    <cellStyle name="Input 7 3 2 2 2 2 4 2" xfId="37505"/>
    <cellStyle name="Input 7 3 2 2 2 2 5" xfId="37506"/>
    <cellStyle name="Input 7 3 2 2 2 2 6" xfId="37507"/>
    <cellStyle name="Input 7 3 2 2 2 2 7" xfId="37508"/>
    <cellStyle name="Input 7 3 2 2 2 3" xfId="37509"/>
    <cellStyle name="Input 7 3 2 2 2 3 2" xfId="37510"/>
    <cellStyle name="Input 7 3 2 2 2 3 2 2" xfId="37511"/>
    <cellStyle name="Input 7 3 2 2 2 3 3" xfId="37512"/>
    <cellStyle name="Input 7 3 2 2 2 3 3 2" xfId="37513"/>
    <cellStyle name="Input 7 3 2 2 2 3 4" xfId="37514"/>
    <cellStyle name="Input 7 3 2 2 2 3 5" xfId="37515"/>
    <cellStyle name="Input 7 3 2 2 2 3 6" xfId="37516"/>
    <cellStyle name="Input 7 3 2 2 2 4" xfId="37517"/>
    <cellStyle name="Input 7 3 2 2 2 4 2" xfId="37518"/>
    <cellStyle name="Input 7 3 2 2 2 5" xfId="37519"/>
    <cellStyle name="Input 7 3 2 2 2 5 2" xfId="37520"/>
    <cellStyle name="Input 7 3 2 2 2 6" xfId="37521"/>
    <cellStyle name="Input 7 3 2 2 2 7" xfId="37522"/>
    <cellStyle name="Input 7 3 2 2 2 8" xfId="37523"/>
    <cellStyle name="Input 7 3 2 2 3" xfId="37524"/>
    <cellStyle name="Input 7 3 2 2 3 2" xfId="37525"/>
    <cellStyle name="Input 7 3 2 2 3 2 2" xfId="37526"/>
    <cellStyle name="Input 7 3 2 2 3 2 2 2" xfId="37527"/>
    <cellStyle name="Input 7 3 2 2 3 2 2 2 2" xfId="37528"/>
    <cellStyle name="Input 7 3 2 2 3 2 2 3" xfId="37529"/>
    <cellStyle name="Input 7 3 2 2 3 2 2 3 2" xfId="37530"/>
    <cellStyle name="Input 7 3 2 2 3 2 2 4" xfId="37531"/>
    <cellStyle name="Input 7 3 2 2 3 2 2 5" xfId="37532"/>
    <cellStyle name="Input 7 3 2 2 3 2 2 6" xfId="37533"/>
    <cellStyle name="Input 7 3 2 2 3 2 3" xfId="37534"/>
    <cellStyle name="Input 7 3 2 2 3 2 3 2" xfId="37535"/>
    <cellStyle name="Input 7 3 2 2 3 2 4" xfId="37536"/>
    <cellStyle name="Input 7 3 2 2 3 2 4 2" xfId="37537"/>
    <cellStyle name="Input 7 3 2 2 3 2 5" xfId="37538"/>
    <cellStyle name="Input 7 3 2 2 3 2 6" xfId="37539"/>
    <cellStyle name="Input 7 3 2 2 3 2 7" xfId="37540"/>
    <cellStyle name="Input 7 3 2 2 3 3" xfId="37541"/>
    <cellStyle name="Input 7 3 2 2 3 3 2" xfId="37542"/>
    <cellStyle name="Input 7 3 2 2 3 3 2 2" xfId="37543"/>
    <cellStyle name="Input 7 3 2 2 3 3 3" xfId="37544"/>
    <cellStyle name="Input 7 3 2 2 3 3 3 2" xfId="37545"/>
    <cellStyle name="Input 7 3 2 2 3 3 4" xfId="37546"/>
    <cellStyle name="Input 7 3 2 2 3 3 5" xfId="37547"/>
    <cellStyle name="Input 7 3 2 2 3 3 6" xfId="37548"/>
    <cellStyle name="Input 7 3 2 2 3 4" xfId="37549"/>
    <cellStyle name="Input 7 3 2 2 3 4 2" xfId="37550"/>
    <cellStyle name="Input 7 3 2 2 3 5" xfId="37551"/>
    <cellStyle name="Input 7 3 2 2 3 5 2" xfId="37552"/>
    <cellStyle name="Input 7 3 2 2 3 6" xfId="37553"/>
    <cellStyle name="Input 7 3 2 2 3 7" xfId="37554"/>
    <cellStyle name="Input 7 3 2 2 3 8" xfId="37555"/>
    <cellStyle name="Input 7 3 2 2 4" xfId="37556"/>
    <cellStyle name="Input 7 3 2 2 4 2" xfId="37557"/>
    <cellStyle name="Input 7 3 2 2 4 2 2" xfId="37558"/>
    <cellStyle name="Input 7 3 2 2 4 2 2 2" xfId="37559"/>
    <cellStyle name="Input 7 3 2 2 4 2 3" xfId="37560"/>
    <cellStyle name="Input 7 3 2 2 4 2 3 2" xfId="37561"/>
    <cellStyle name="Input 7 3 2 2 4 2 4" xfId="37562"/>
    <cellStyle name="Input 7 3 2 2 4 2 5" xfId="37563"/>
    <cellStyle name="Input 7 3 2 2 4 2 6" xfId="37564"/>
    <cellStyle name="Input 7 3 2 2 4 3" xfId="37565"/>
    <cellStyle name="Input 7 3 2 2 4 3 2" xfId="37566"/>
    <cellStyle name="Input 7 3 2 2 4 4" xfId="37567"/>
    <cellStyle name="Input 7 3 2 2 4 4 2" xfId="37568"/>
    <cellStyle name="Input 7 3 2 2 4 5" xfId="37569"/>
    <cellStyle name="Input 7 3 2 2 4 6" xfId="37570"/>
    <cellStyle name="Input 7 3 2 2 4 7" xfId="37571"/>
    <cellStyle name="Input 7 3 2 2 5" xfId="37572"/>
    <cellStyle name="Input 7 3 2 2 5 2" xfId="37573"/>
    <cellStyle name="Input 7 3 2 2 5 2 2" xfId="37574"/>
    <cellStyle name="Input 7 3 2 2 5 3" xfId="37575"/>
    <cellStyle name="Input 7 3 2 2 5 3 2" xfId="37576"/>
    <cellStyle name="Input 7 3 2 2 5 4" xfId="37577"/>
    <cellStyle name="Input 7 3 2 2 5 5" xfId="37578"/>
    <cellStyle name="Input 7 3 2 2 5 6" xfId="37579"/>
    <cellStyle name="Input 7 3 2 2 6" xfId="37580"/>
    <cellStyle name="Input 7 3 2 2 6 2" xfId="37581"/>
    <cellStyle name="Input 7 3 2 2 7" xfId="37582"/>
    <cellStyle name="Input 7 3 2 2 7 2" xfId="37583"/>
    <cellStyle name="Input 7 3 2 2 8" xfId="37584"/>
    <cellStyle name="Input 7 3 2 2 9" xfId="37585"/>
    <cellStyle name="Input 7 3 2 3" xfId="37586"/>
    <cellStyle name="Input 7 3 2 3 2" xfId="37587"/>
    <cellStyle name="Input 7 3 2 3 2 2" xfId="37588"/>
    <cellStyle name="Input 7 3 2 3 2 2 2" xfId="37589"/>
    <cellStyle name="Input 7 3 2 3 2 2 2 2" xfId="37590"/>
    <cellStyle name="Input 7 3 2 3 2 2 3" xfId="37591"/>
    <cellStyle name="Input 7 3 2 3 2 2 3 2" xfId="37592"/>
    <cellStyle name="Input 7 3 2 3 2 2 4" xfId="37593"/>
    <cellStyle name="Input 7 3 2 3 2 2 5" xfId="37594"/>
    <cellStyle name="Input 7 3 2 3 2 2 6" xfId="37595"/>
    <cellStyle name="Input 7 3 2 3 2 3" xfId="37596"/>
    <cellStyle name="Input 7 3 2 3 2 3 2" xfId="37597"/>
    <cellStyle name="Input 7 3 2 3 2 4" xfId="37598"/>
    <cellStyle name="Input 7 3 2 3 2 4 2" xfId="37599"/>
    <cellStyle name="Input 7 3 2 3 2 5" xfId="37600"/>
    <cellStyle name="Input 7 3 2 3 2 6" xfId="37601"/>
    <cellStyle name="Input 7 3 2 3 2 7" xfId="37602"/>
    <cellStyle name="Input 7 3 2 3 3" xfId="37603"/>
    <cellStyle name="Input 7 3 2 3 3 2" xfId="37604"/>
    <cellStyle name="Input 7 3 2 3 3 2 2" xfId="37605"/>
    <cellStyle name="Input 7 3 2 3 3 3" xfId="37606"/>
    <cellStyle name="Input 7 3 2 3 3 3 2" xfId="37607"/>
    <cellStyle name="Input 7 3 2 3 3 4" xfId="37608"/>
    <cellStyle name="Input 7 3 2 3 3 5" xfId="37609"/>
    <cellStyle name="Input 7 3 2 3 3 6" xfId="37610"/>
    <cellStyle name="Input 7 3 2 3 4" xfId="37611"/>
    <cellStyle name="Input 7 3 2 3 4 2" xfId="37612"/>
    <cellStyle name="Input 7 3 2 3 5" xfId="37613"/>
    <cellStyle name="Input 7 3 2 3 5 2" xfId="37614"/>
    <cellStyle name="Input 7 3 2 3 6" xfId="37615"/>
    <cellStyle name="Input 7 3 2 3 7" xfId="37616"/>
    <cellStyle name="Input 7 3 2 3 8" xfId="37617"/>
    <cellStyle name="Input 7 3 2 4" xfId="37618"/>
    <cellStyle name="Input 7 3 2 4 2" xfId="37619"/>
    <cellStyle name="Input 7 3 2 4 2 2" xfId="37620"/>
    <cellStyle name="Input 7 3 2 4 2 2 2" xfId="37621"/>
    <cellStyle name="Input 7 3 2 4 2 3" xfId="37622"/>
    <cellStyle name="Input 7 3 2 4 2 3 2" xfId="37623"/>
    <cellStyle name="Input 7 3 2 4 2 4" xfId="37624"/>
    <cellStyle name="Input 7 3 2 4 2 5" xfId="37625"/>
    <cellStyle name="Input 7 3 2 4 2 6" xfId="37626"/>
    <cellStyle name="Input 7 3 2 4 3" xfId="37627"/>
    <cellStyle name="Input 7 3 2 4 3 2" xfId="37628"/>
    <cellStyle name="Input 7 3 2 4 4" xfId="37629"/>
    <cellStyle name="Input 7 3 2 4 4 2" xfId="37630"/>
    <cellStyle name="Input 7 3 2 4 5" xfId="37631"/>
    <cellStyle name="Input 7 3 2 4 6" xfId="37632"/>
    <cellStyle name="Input 7 3 2 4 7" xfId="37633"/>
    <cellStyle name="Input 7 3 2 5" xfId="37634"/>
    <cellStyle name="Input 7 3 2 5 2" xfId="37635"/>
    <cellStyle name="Input 7 3 2 5 2 2" xfId="37636"/>
    <cellStyle name="Input 7 3 2 5 3" xfId="37637"/>
    <cellStyle name="Input 7 3 2 5 3 2" xfId="37638"/>
    <cellStyle name="Input 7 3 2 5 4" xfId="37639"/>
    <cellStyle name="Input 7 3 2 5 5" xfId="37640"/>
    <cellStyle name="Input 7 3 2 5 6" xfId="37641"/>
    <cellStyle name="Input 7 3 2 6" xfId="37642"/>
    <cellStyle name="Input 7 3 2 6 2" xfId="37643"/>
    <cellStyle name="Input 7 3 2 7" xfId="37644"/>
    <cellStyle name="Input 7 3 2 7 2" xfId="37645"/>
    <cellStyle name="Input 7 3 2 8" xfId="37646"/>
    <cellStyle name="Input 7 3 2 9" xfId="37647"/>
    <cellStyle name="Input 7 3 3" xfId="37648"/>
    <cellStyle name="Input 7 3 3 10" xfId="37649"/>
    <cellStyle name="Input 7 3 3 2" xfId="37650"/>
    <cellStyle name="Input 7 3 3 2 2" xfId="37651"/>
    <cellStyle name="Input 7 3 3 2 2 2" xfId="37652"/>
    <cellStyle name="Input 7 3 3 2 2 2 2" xfId="37653"/>
    <cellStyle name="Input 7 3 3 2 2 2 2 2" xfId="37654"/>
    <cellStyle name="Input 7 3 3 2 2 2 3" xfId="37655"/>
    <cellStyle name="Input 7 3 3 2 2 2 3 2" xfId="37656"/>
    <cellStyle name="Input 7 3 3 2 2 2 4" xfId="37657"/>
    <cellStyle name="Input 7 3 3 2 2 2 5" xfId="37658"/>
    <cellStyle name="Input 7 3 3 2 2 2 6" xfId="37659"/>
    <cellStyle name="Input 7 3 3 2 2 3" xfId="37660"/>
    <cellStyle name="Input 7 3 3 2 2 3 2" xfId="37661"/>
    <cellStyle name="Input 7 3 3 2 2 4" xfId="37662"/>
    <cellStyle name="Input 7 3 3 2 2 4 2" xfId="37663"/>
    <cellStyle name="Input 7 3 3 2 2 5" xfId="37664"/>
    <cellStyle name="Input 7 3 3 2 2 6" xfId="37665"/>
    <cellStyle name="Input 7 3 3 2 2 7" xfId="37666"/>
    <cellStyle name="Input 7 3 3 2 3" xfId="37667"/>
    <cellStyle name="Input 7 3 3 2 3 2" xfId="37668"/>
    <cellStyle name="Input 7 3 3 2 3 2 2" xfId="37669"/>
    <cellStyle name="Input 7 3 3 2 3 3" xfId="37670"/>
    <cellStyle name="Input 7 3 3 2 3 3 2" xfId="37671"/>
    <cellStyle name="Input 7 3 3 2 3 4" xfId="37672"/>
    <cellStyle name="Input 7 3 3 2 3 5" xfId="37673"/>
    <cellStyle name="Input 7 3 3 2 3 6" xfId="37674"/>
    <cellStyle name="Input 7 3 3 2 4" xfId="37675"/>
    <cellStyle name="Input 7 3 3 2 4 2" xfId="37676"/>
    <cellStyle name="Input 7 3 3 2 5" xfId="37677"/>
    <cellStyle name="Input 7 3 3 2 5 2" xfId="37678"/>
    <cellStyle name="Input 7 3 3 2 6" xfId="37679"/>
    <cellStyle name="Input 7 3 3 2 7" xfId="37680"/>
    <cellStyle name="Input 7 3 3 2 8" xfId="37681"/>
    <cellStyle name="Input 7 3 3 3" xfId="37682"/>
    <cellStyle name="Input 7 3 3 3 2" xfId="37683"/>
    <cellStyle name="Input 7 3 3 3 2 2" xfId="37684"/>
    <cellStyle name="Input 7 3 3 3 2 2 2" xfId="37685"/>
    <cellStyle name="Input 7 3 3 3 2 2 2 2" xfId="37686"/>
    <cellStyle name="Input 7 3 3 3 2 2 3" xfId="37687"/>
    <cellStyle name="Input 7 3 3 3 2 2 3 2" xfId="37688"/>
    <cellStyle name="Input 7 3 3 3 2 2 4" xfId="37689"/>
    <cellStyle name="Input 7 3 3 3 2 2 5" xfId="37690"/>
    <cellStyle name="Input 7 3 3 3 2 2 6" xfId="37691"/>
    <cellStyle name="Input 7 3 3 3 2 3" xfId="37692"/>
    <cellStyle name="Input 7 3 3 3 2 3 2" xfId="37693"/>
    <cellStyle name="Input 7 3 3 3 2 4" xfId="37694"/>
    <cellStyle name="Input 7 3 3 3 2 4 2" xfId="37695"/>
    <cellStyle name="Input 7 3 3 3 2 5" xfId="37696"/>
    <cellStyle name="Input 7 3 3 3 2 6" xfId="37697"/>
    <cellStyle name="Input 7 3 3 3 2 7" xfId="37698"/>
    <cellStyle name="Input 7 3 3 3 3" xfId="37699"/>
    <cellStyle name="Input 7 3 3 3 3 2" xfId="37700"/>
    <cellStyle name="Input 7 3 3 3 3 2 2" xfId="37701"/>
    <cellStyle name="Input 7 3 3 3 3 3" xfId="37702"/>
    <cellStyle name="Input 7 3 3 3 3 3 2" xfId="37703"/>
    <cellStyle name="Input 7 3 3 3 3 4" xfId="37704"/>
    <cellStyle name="Input 7 3 3 3 3 5" xfId="37705"/>
    <cellStyle name="Input 7 3 3 3 3 6" xfId="37706"/>
    <cellStyle name="Input 7 3 3 3 4" xfId="37707"/>
    <cellStyle name="Input 7 3 3 3 4 2" xfId="37708"/>
    <cellStyle name="Input 7 3 3 3 5" xfId="37709"/>
    <cellStyle name="Input 7 3 3 3 5 2" xfId="37710"/>
    <cellStyle name="Input 7 3 3 3 6" xfId="37711"/>
    <cellStyle name="Input 7 3 3 3 7" xfId="37712"/>
    <cellStyle name="Input 7 3 3 3 8" xfId="37713"/>
    <cellStyle name="Input 7 3 3 4" xfId="37714"/>
    <cellStyle name="Input 7 3 3 4 2" xfId="37715"/>
    <cellStyle name="Input 7 3 3 4 2 2" xfId="37716"/>
    <cellStyle name="Input 7 3 3 4 2 2 2" xfId="37717"/>
    <cellStyle name="Input 7 3 3 4 2 3" xfId="37718"/>
    <cellStyle name="Input 7 3 3 4 2 3 2" xfId="37719"/>
    <cellStyle name="Input 7 3 3 4 2 4" xfId="37720"/>
    <cellStyle name="Input 7 3 3 4 2 5" xfId="37721"/>
    <cellStyle name="Input 7 3 3 4 2 6" xfId="37722"/>
    <cellStyle name="Input 7 3 3 4 3" xfId="37723"/>
    <cellStyle name="Input 7 3 3 4 3 2" xfId="37724"/>
    <cellStyle name="Input 7 3 3 4 4" xfId="37725"/>
    <cellStyle name="Input 7 3 3 4 4 2" xfId="37726"/>
    <cellStyle name="Input 7 3 3 4 5" xfId="37727"/>
    <cellStyle name="Input 7 3 3 4 6" xfId="37728"/>
    <cellStyle name="Input 7 3 3 4 7" xfId="37729"/>
    <cellStyle name="Input 7 3 3 5" xfId="37730"/>
    <cellStyle name="Input 7 3 3 5 2" xfId="37731"/>
    <cellStyle name="Input 7 3 3 5 2 2" xfId="37732"/>
    <cellStyle name="Input 7 3 3 5 3" xfId="37733"/>
    <cellStyle name="Input 7 3 3 5 3 2" xfId="37734"/>
    <cellStyle name="Input 7 3 3 5 4" xfId="37735"/>
    <cellStyle name="Input 7 3 3 5 5" xfId="37736"/>
    <cellStyle name="Input 7 3 3 5 6" xfId="37737"/>
    <cellStyle name="Input 7 3 3 6" xfId="37738"/>
    <cellStyle name="Input 7 3 3 6 2" xfId="37739"/>
    <cellStyle name="Input 7 3 3 7" xfId="37740"/>
    <cellStyle name="Input 7 3 3 7 2" xfId="37741"/>
    <cellStyle name="Input 7 3 3 8" xfId="37742"/>
    <cellStyle name="Input 7 3 3 9" xfId="37743"/>
    <cellStyle name="Input 7 3 4" xfId="37744"/>
    <cellStyle name="Input 7 3 4 2" xfId="37745"/>
    <cellStyle name="Input 7 3 4 2 2" xfId="37746"/>
    <cellStyle name="Input 7 3 4 2 2 2" xfId="37747"/>
    <cellStyle name="Input 7 3 4 2 2 2 2" xfId="37748"/>
    <cellStyle name="Input 7 3 4 2 2 3" xfId="37749"/>
    <cellStyle name="Input 7 3 4 2 2 3 2" xfId="37750"/>
    <cellStyle name="Input 7 3 4 2 2 4" xfId="37751"/>
    <cellStyle name="Input 7 3 4 2 2 5" xfId="37752"/>
    <cellStyle name="Input 7 3 4 2 2 6" xfId="37753"/>
    <cellStyle name="Input 7 3 4 2 3" xfId="37754"/>
    <cellStyle name="Input 7 3 4 2 3 2" xfId="37755"/>
    <cellStyle name="Input 7 3 4 2 4" xfId="37756"/>
    <cellStyle name="Input 7 3 4 2 4 2" xfId="37757"/>
    <cellStyle name="Input 7 3 4 2 5" xfId="37758"/>
    <cellStyle name="Input 7 3 4 2 6" xfId="37759"/>
    <cellStyle name="Input 7 3 4 2 7" xfId="37760"/>
    <cellStyle name="Input 7 3 4 3" xfId="37761"/>
    <cellStyle name="Input 7 3 4 3 2" xfId="37762"/>
    <cellStyle name="Input 7 3 4 3 2 2" xfId="37763"/>
    <cellStyle name="Input 7 3 4 3 3" xfId="37764"/>
    <cellStyle name="Input 7 3 4 3 3 2" xfId="37765"/>
    <cellStyle name="Input 7 3 4 3 4" xfId="37766"/>
    <cellStyle name="Input 7 3 4 3 5" xfId="37767"/>
    <cellStyle name="Input 7 3 4 3 6" xfId="37768"/>
    <cellStyle name="Input 7 3 4 4" xfId="37769"/>
    <cellStyle name="Input 7 3 4 4 2" xfId="37770"/>
    <cellStyle name="Input 7 3 4 5" xfId="37771"/>
    <cellStyle name="Input 7 3 4 5 2" xfId="37772"/>
    <cellStyle name="Input 7 3 4 6" xfId="37773"/>
    <cellStyle name="Input 7 3 4 7" xfId="37774"/>
    <cellStyle name="Input 7 3 4 8" xfId="37775"/>
    <cellStyle name="Input 7 3 5" xfId="37776"/>
    <cellStyle name="Input 7 3 5 2" xfId="37777"/>
    <cellStyle name="Input 7 3 5 2 2" xfId="37778"/>
    <cellStyle name="Input 7 3 5 2 2 2" xfId="37779"/>
    <cellStyle name="Input 7 3 5 2 3" xfId="37780"/>
    <cellStyle name="Input 7 3 5 2 3 2" xfId="37781"/>
    <cellStyle name="Input 7 3 5 2 4" xfId="37782"/>
    <cellStyle name="Input 7 3 5 2 5" xfId="37783"/>
    <cellStyle name="Input 7 3 5 2 6" xfId="37784"/>
    <cellStyle name="Input 7 3 5 3" xfId="37785"/>
    <cellStyle name="Input 7 3 5 3 2" xfId="37786"/>
    <cellStyle name="Input 7 3 5 4" xfId="37787"/>
    <cellStyle name="Input 7 3 5 4 2" xfId="37788"/>
    <cellStyle name="Input 7 3 5 5" xfId="37789"/>
    <cellStyle name="Input 7 3 5 6" xfId="37790"/>
    <cellStyle name="Input 7 3 5 7" xfId="37791"/>
    <cellStyle name="Input 7 3 6" xfId="37792"/>
    <cellStyle name="Input 7 3 6 2" xfId="37793"/>
    <cellStyle name="Input 7 3 6 2 2" xfId="37794"/>
    <cellStyle name="Input 7 3 6 3" xfId="37795"/>
    <cellStyle name="Input 7 3 6 3 2" xfId="37796"/>
    <cellStyle name="Input 7 3 6 4" xfId="37797"/>
    <cellStyle name="Input 7 3 6 5" xfId="37798"/>
    <cellStyle name="Input 7 3 6 6" xfId="37799"/>
    <cellStyle name="Input 7 3 7" xfId="37800"/>
    <cellStyle name="Input 7 3 7 2" xfId="37801"/>
    <cellStyle name="Input 7 3 8" xfId="37802"/>
    <cellStyle name="Input 7 3 8 2" xfId="37803"/>
    <cellStyle name="Input 7 3 9" xfId="37804"/>
    <cellStyle name="Input 7 4" xfId="37805"/>
    <cellStyle name="Input 7 4 10" xfId="37806"/>
    <cellStyle name="Input 7 4 11" xfId="37807"/>
    <cellStyle name="Input 7 4 2" xfId="37808"/>
    <cellStyle name="Input 7 4 2 10" xfId="37809"/>
    <cellStyle name="Input 7 4 2 2" xfId="37810"/>
    <cellStyle name="Input 7 4 2 2 2" xfId="37811"/>
    <cellStyle name="Input 7 4 2 2 2 2" xfId="37812"/>
    <cellStyle name="Input 7 4 2 2 2 2 2" xfId="37813"/>
    <cellStyle name="Input 7 4 2 2 2 2 2 2" xfId="37814"/>
    <cellStyle name="Input 7 4 2 2 2 2 3" xfId="37815"/>
    <cellStyle name="Input 7 4 2 2 2 2 3 2" xfId="37816"/>
    <cellStyle name="Input 7 4 2 2 2 2 4" xfId="37817"/>
    <cellStyle name="Input 7 4 2 2 2 2 5" xfId="37818"/>
    <cellStyle name="Input 7 4 2 2 2 2 6" xfId="37819"/>
    <cellStyle name="Input 7 4 2 2 2 3" xfId="37820"/>
    <cellStyle name="Input 7 4 2 2 2 3 2" xfId="37821"/>
    <cellStyle name="Input 7 4 2 2 2 4" xfId="37822"/>
    <cellStyle name="Input 7 4 2 2 2 4 2" xfId="37823"/>
    <cellStyle name="Input 7 4 2 2 2 5" xfId="37824"/>
    <cellStyle name="Input 7 4 2 2 2 6" xfId="37825"/>
    <cellStyle name="Input 7 4 2 2 2 7" xfId="37826"/>
    <cellStyle name="Input 7 4 2 2 3" xfId="37827"/>
    <cellStyle name="Input 7 4 2 2 3 2" xfId="37828"/>
    <cellStyle name="Input 7 4 2 2 3 2 2" xfId="37829"/>
    <cellStyle name="Input 7 4 2 2 3 3" xfId="37830"/>
    <cellStyle name="Input 7 4 2 2 3 3 2" xfId="37831"/>
    <cellStyle name="Input 7 4 2 2 3 4" xfId="37832"/>
    <cellStyle name="Input 7 4 2 2 3 5" xfId="37833"/>
    <cellStyle name="Input 7 4 2 2 3 6" xfId="37834"/>
    <cellStyle name="Input 7 4 2 2 4" xfId="37835"/>
    <cellStyle name="Input 7 4 2 2 4 2" xfId="37836"/>
    <cellStyle name="Input 7 4 2 2 5" xfId="37837"/>
    <cellStyle name="Input 7 4 2 2 5 2" xfId="37838"/>
    <cellStyle name="Input 7 4 2 2 6" xfId="37839"/>
    <cellStyle name="Input 7 4 2 2 7" xfId="37840"/>
    <cellStyle name="Input 7 4 2 2 8" xfId="37841"/>
    <cellStyle name="Input 7 4 2 3" xfId="37842"/>
    <cellStyle name="Input 7 4 2 3 2" xfId="37843"/>
    <cellStyle name="Input 7 4 2 3 2 2" xfId="37844"/>
    <cellStyle name="Input 7 4 2 3 2 2 2" xfId="37845"/>
    <cellStyle name="Input 7 4 2 3 2 2 2 2" xfId="37846"/>
    <cellStyle name="Input 7 4 2 3 2 2 3" xfId="37847"/>
    <cellStyle name="Input 7 4 2 3 2 2 3 2" xfId="37848"/>
    <cellStyle name="Input 7 4 2 3 2 2 4" xfId="37849"/>
    <cellStyle name="Input 7 4 2 3 2 2 5" xfId="37850"/>
    <cellStyle name="Input 7 4 2 3 2 2 6" xfId="37851"/>
    <cellStyle name="Input 7 4 2 3 2 3" xfId="37852"/>
    <cellStyle name="Input 7 4 2 3 2 3 2" xfId="37853"/>
    <cellStyle name="Input 7 4 2 3 2 4" xfId="37854"/>
    <cellStyle name="Input 7 4 2 3 2 4 2" xfId="37855"/>
    <cellStyle name="Input 7 4 2 3 2 5" xfId="37856"/>
    <cellStyle name="Input 7 4 2 3 2 6" xfId="37857"/>
    <cellStyle name="Input 7 4 2 3 2 7" xfId="37858"/>
    <cellStyle name="Input 7 4 2 3 3" xfId="37859"/>
    <cellStyle name="Input 7 4 2 3 3 2" xfId="37860"/>
    <cellStyle name="Input 7 4 2 3 3 2 2" xfId="37861"/>
    <cellStyle name="Input 7 4 2 3 3 3" xfId="37862"/>
    <cellStyle name="Input 7 4 2 3 3 3 2" xfId="37863"/>
    <cellStyle name="Input 7 4 2 3 3 4" xfId="37864"/>
    <cellStyle name="Input 7 4 2 3 3 5" xfId="37865"/>
    <cellStyle name="Input 7 4 2 3 3 6" xfId="37866"/>
    <cellStyle name="Input 7 4 2 3 4" xfId="37867"/>
    <cellStyle name="Input 7 4 2 3 4 2" xfId="37868"/>
    <cellStyle name="Input 7 4 2 3 5" xfId="37869"/>
    <cellStyle name="Input 7 4 2 3 5 2" xfId="37870"/>
    <cellStyle name="Input 7 4 2 3 6" xfId="37871"/>
    <cellStyle name="Input 7 4 2 3 7" xfId="37872"/>
    <cellStyle name="Input 7 4 2 3 8" xfId="37873"/>
    <cellStyle name="Input 7 4 2 4" xfId="37874"/>
    <cellStyle name="Input 7 4 2 4 2" xfId="37875"/>
    <cellStyle name="Input 7 4 2 4 2 2" xfId="37876"/>
    <cellStyle name="Input 7 4 2 4 2 2 2" xfId="37877"/>
    <cellStyle name="Input 7 4 2 4 2 3" xfId="37878"/>
    <cellStyle name="Input 7 4 2 4 2 3 2" xfId="37879"/>
    <cellStyle name="Input 7 4 2 4 2 4" xfId="37880"/>
    <cellStyle name="Input 7 4 2 4 2 5" xfId="37881"/>
    <cellStyle name="Input 7 4 2 4 2 6" xfId="37882"/>
    <cellStyle name="Input 7 4 2 4 3" xfId="37883"/>
    <cellStyle name="Input 7 4 2 4 3 2" xfId="37884"/>
    <cellStyle name="Input 7 4 2 4 4" xfId="37885"/>
    <cellStyle name="Input 7 4 2 4 4 2" xfId="37886"/>
    <cellStyle name="Input 7 4 2 4 5" xfId="37887"/>
    <cellStyle name="Input 7 4 2 4 6" xfId="37888"/>
    <cellStyle name="Input 7 4 2 4 7" xfId="37889"/>
    <cellStyle name="Input 7 4 2 5" xfId="37890"/>
    <cellStyle name="Input 7 4 2 5 2" xfId="37891"/>
    <cellStyle name="Input 7 4 2 5 2 2" xfId="37892"/>
    <cellStyle name="Input 7 4 2 5 3" xfId="37893"/>
    <cellStyle name="Input 7 4 2 5 3 2" xfId="37894"/>
    <cellStyle name="Input 7 4 2 5 4" xfId="37895"/>
    <cellStyle name="Input 7 4 2 5 5" xfId="37896"/>
    <cellStyle name="Input 7 4 2 5 6" xfId="37897"/>
    <cellStyle name="Input 7 4 2 6" xfId="37898"/>
    <cellStyle name="Input 7 4 2 6 2" xfId="37899"/>
    <cellStyle name="Input 7 4 2 7" xfId="37900"/>
    <cellStyle name="Input 7 4 2 7 2" xfId="37901"/>
    <cellStyle name="Input 7 4 2 8" xfId="37902"/>
    <cellStyle name="Input 7 4 2 9" xfId="37903"/>
    <cellStyle name="Input 7 4 3" xfId="37904"/>
    <cellStyle name="Input 7 4 3 2" xfId="37905"/>
    <cellStyle name="Input 7 4 3 2 2" xfId="37906"/>
    <cellStyle name="Input 7 4 3 2 2 2" xfId="37907"/>
    <cellStyle name="Input 7 4 3 2 2 2 2" xfId="37908"/>
    <cellStyle name="Input 7 4 3 2 2 3" xfId="37909"/>
    <cellStyle name="Input 7 4 3 2 2 3 2" xfId="37910"/>
    <cellStyle name="Input 7 4 3 2 2 4" xfId="37911"/>
    <cellStyle name="Input 7 4 3 2 2 5" xfId="37912"/>
    <cellStyle name="Input 7 4 3 2 2 6" xfId="37913"/>
    <cellStyle name="Input 7 4 3 2 3" xfId="37914"/>
    <cellStyle name="Input 7 4 3 2 3 2" xfId="37915"/>
    <cellStyle name="Input 7 4 3 2 4" xfId="37916"/>
    <cellStyle name="Input 7 4 3 2 4 2" xfId="37917"/>
    <cellStyle name="Input 7 4 3 2 5" xfId="37918"/>
    <cellStyle name="Input 7 4 3 2 6" xfId="37919"/>
    <cellStyle name="Input 7 4 3 2 7" xfId="37920"/>
    <cellStyle name="Input 7 4 3 3" xfId="37921"/>
    <cellStyle name="Input 7 4 3 3 2" xfId="37922"/>
    <cellStyle name="Input 7 4 3 3 2 2" xfId="37923"/>
    <cellStyle name="Input 7 4 3 3 3" xfId="37924"/>
    <cellStyle name="Input 7 4 3 3 3 2" xfId="37925"/>
    <cellStyle name="Input 7 4 3 3 4" xfId="37926"/>
    <cellStyle name="Input 7 4 3 3 5" xfId="37927"/>
    <cellStyle name="Input 7 4 3 3 6" xfId="37928"/>
    <cellStyle name="Input 7 4 3 4" xfId="37929"/>
    <cellStyle name="Input 7 4 3 4 2" xfId="37930"/>
    <cellStyle name="Input 7 4 3 5" xfId="37931"/>
    <cellStyle name="Input 7 4 3 5 2" xfId="37932"/>
    <cellStyle name="Input 7 4 3 6" xfId="37933"/>
    <cellStyle name="Input 7 4 3 7" xfId="37934"/>
    <cellStyle name="Input 7 4 3 8" xfId="37935"/>
    <cellStyle name="Input 7 4 4" xfId="37936"/>
    <cellStyle name="Input 7 4 4 2" xfId="37937"/>
    <cellStyle name="Input 7 4 4 2 2" xfId="37938"/>
    <cellStyle name="Input 7 4 4 2 2 2" xfId="37939"/>
    <cellStyle name="Input 7 4 4 2 2 2 2" xfId="37940"/>
    <cellStyle name="Input 7 4 4 2 2 3" xfId="37941"/>
    <cellStyle name="Input 7 4 4 2 2 3 2" xfId="37942"/>
    <cellStyle name="Input 7 4 4 2 2 4" xfId="37943"/>
    <cellStyle name="Input 7 4 4 2 2 5" xfId="37944"/>
    <cellStyle name="Input 7 4 4 2 2 6" xfId="37945"/>
    <cellStyle name="Input 7 4 4 2 3" xfId="37946"/>
    <cellStyle name="Input 7 4 4 2 3 2" xfId="37947"/>
    <cellStyle name="Input 7 4 4 2 4" xfId="37948"/>
    <cellStyle name="Input 7 4 4 2 4 2" xfId="37949"/>
    <cellStyle name="Input 7 4 4 2 5" xfId="37950"/>
    <cellStyle name="Input 7 4 4 2 6" xfId="37951"/>
    <cellStyle name="Input 7 4 4 2 7" xfId="37952"/>
    <cellStyle name="Input 7 4 4 3" xfId="37953"/>
    <cellStyle name="Input 7 4 4 3 2" xfId="37954"/>
    <cellStyle name="Input 7 4 4 3 2 2" xfId="37955"/>
    <cellStyle name="Input 7 4 4 3 3" xfId="37956"/>
    <cellStyle name="Input 7 4 4 3 3 2" xfId="37957"/>
    <cellStyle name="Input 7 4 4 3 4" xfId="37958"/>
    <cellStyle name="Input 7 4 4 3 5" xfId="37959"/>
    <cellStyle name="Input 7 4 4 3 6" xfId="37960"/>
    <cellStyle name="Input 7 4 4 4" xfId="37961"/>
    <cellStyle name="Input 7 4 4 4 2" xfId="37962"/>
    <cellStyle name="Input 7 4 4 5" xfId="37963"/>
    <cellStyle name="Input 7 4 4 5 2" xfId="37964"/>
    <cellStyle name="Input 7 4 4 6" xfId="37965"/>
    <cellStyle name="Input 7 4 4 7" xfId="37966"/>
    <cellStyle name="Input 7 4 4 8" xfId="37967"/>
    <cellStyle name="Input 7 4 5" xfId="37968"/>
    <cellStyle name="Input 7 4 5 2" xfId="37969"/>
    <cellStyle name="Input 7 4 5 2 2" xfId="37970"/>
    <cellStyle name="Input 7 4 5 2 2 2" xfId="37971"/>
    <cellStyle name="Input 7 4 5 2 3" xfId="37972"/>
    <cellStyle name="Input 7 4 5 2 3 2" xfId="37973"/>
    <cellStyle name="Input 7 4 5 2 4" xfId="37974"/>
    <cellStyle name="Input 7 4 5 2 5" xfId="37975"/>
    <cellStyle name="Input 7 4 5 2 6" xfId="37976"/>
    <cellStyle name="Input 7 4 5 3" xfId="37977"/>
    <cellStyle name="Input 7 4 5 3 2" xfId="37978"/>
    <cellStyle name="Input 7 4 5 4" xfId="37979"/>
    <cellStyle name="Input 7 4 5 4 2" xfId="37980"/>
    <cellStyle name="Input 7 4 5 5" xfId="37981"/>
    <cellStyle name="Input 7 4 5 6" xfId="37982"/>
    <cellStyle name="Input 7 4 5 7" xfId="37983"/>
    <cellStyle name="Input 7 4 6" xfId="37984"/>
    <cellStyle name="Input 7 4 6 2" xfId="37985"/>
    <cellStyle name="Input 7 4 6 2 2" xfId="37986"/>
    <cellStyle name="Input 7 4 6 3" xfId="37987"/>
    <cellStyle name="Input 7 4 6 3 2" xfId="37988"/>
    <cellStyle name="Input 7 4 6 4" xfId="37989"/>
    <cellStyle name="Input 7 4 6 5" xfId="37990"/>
    <cellStyle name="Input 7 4 6 6" xfId="37991"/>
    <cellStyle name="Input 7 4 7" xfId="37992"/>
    <cellStyle name="Input 7 4 7 2" xfId="37993"/>
    <cellStyle name="Input 7 4 8" xfId="37994"/>
    <cellStyle name="Input 7 4 8 2" xfId="37995"/>
    <cellStyle name="Input 7 4 9" xfId="37996"/>
    <cellStyle name="Input 7 5" xfId="37997"/>
    <cellStyle name="Input 7 5 10" xfId="37998"/>
    <cellStyle name="Input 7 5 2" xfId="37999"/>
    <cellStyle name="Input 7 5 2 2" xfId="38000"/>
    <cellStyle name="Input 7 5 2 2 2" xfId="38001"/>
    <cellStyle name="Input 7 5 2 2 2 2" xfId="38002"/>
    <cellStyle name="Input 7 5 2 2 2 2 2" xfId="38003"/>
    <cellStyle name="Input 7 5 2 2 2 3" xfId="38004"/>
    <cellStyle name="Input 7 5 2 2 2 3 2" xfId="38005"/>
    <cellStyle name="Input 7 5 2 2 2 4" xfId="38006"/>
    <cellStyle name="Input 7 5 2 2 2 5" xfId="38007"/>
    <cellStyle name="Input 7 5 2 2 2 6" xfId="38008"/>
    <cellStyle name="Input 7 5 2 2 3" xfId="38009"/>
    <cellStyle name="Input 7 5 2 2 3 2" xfId="38010"/>
    <cellStyle name="Input 7 5 2 2 4" xfId="38011"/>
    <cellStyle name="Input 7 5 2 2 4 2" xfId="38012"/>
    <cellStyle name="Input 7 5 2 2 5" xfId="38013"/>
    <cellStyle name="Input 7 5 2 2 6" xfId="38014"/>
    <cellStyle name="Input 7 5 2 2 7" xfId="38015"/>
    <cellStyle name="Input 7 5 2 3" xfId="38016"/>
    <cellStyle name="Input 7 5 2 3 2" xfId="38017"/>
    <cellStyle name="Input 7 5 2 3 2 2" xfId="38018"/>
    <cellStyle name="Input 7 5 2 3 3" xfId="38019"/>
    <cellStyle name="Input 7 5 2 3 3 2" xfId="38020"/>
    <cellStyle name="Input 7 5 2 3 4" xfId="38021"/>
    <cellStyle name="Input 7 5 2 3 5" xfId="38022"/>
    <cellStyle name="Input 7 5 2 3 6" xfId="38023"/>
    <cellStyle name="Input 7 5 2 4" xfId="38024"/>
    <cellStyle name="Input 7 5 2 4 2" xfId="38025"/>
    <cellStyle name="Input 7 5 2 5" xfId="38026"/>
    <cellStyle name="Input 7 5 2 5 2" xfId="38027"/>
    <cellStyle name="Input 7 5 2 6" xfId="38028"/>
    <cellStyle name="Input 7 5 2 7" xfId="38029"/>
    <cellStyle name="Input 7 5 2 8" xfId="38030"/>
    <cellStyle name="Input 7 5 3" xfId="38031"/>
    <cellStyle name="Input 7 5 3 2" xfId="38032"/>
    <cellStyle name="Input 7 5 3 2 2" xfId="38033"/>
    <cellStyle name="Input 7 5 3 2 2 2" xfId="38034"/>
    <cellStyle name="Input 7 5 3 2 2 2 2" xfId="38035"/>
    <cellStyle name="Input 7 5 3 2 2 3" xfId="38036"/>
    <cellStyle name="Input 7 5 3 2 2 3 2" xfId="38037"/>
    <cellStyle name="Input 7 5 3 2 2 4" xfId="38038"/>
    <cellStyle name="Input 7 5 3 2 2 5" xfId="38039"/>
    <cellStyle name="Input 7 5 3 2 2 6" xfId="38040"/>
    <cellStyle name="Input 7 5 3 2 3" xfId="38041"/>
    <cellStyle name="Input 7 5 3 2 3 2" xfId="38042"/>
    <cellStyle name="Input 7 5 3 2 4" xfId="38043"/>
    <cellStyle name="Input 7 5 3 2 4 2" xfId="38044"/>
    <cellStyle name="Input 7 5 3 2 5" xfId="38045"/>
    <cellStyle name="Input 7 5 3 2 6" xfId="38046"/>
    <cellStyle name="Input 7 5 3 2 7" xfId="38047"/>
    <cellStyle name="Input 7 5 3 3" xfId="38048"/>
    <cellStyle name="Input 7 5 3 3 2" xfId="38049"/>
    <cellStyle name="Input 7 5 3 3 2 2" xfId="38050"/>
    <cellStyle name="Input 7 5 3 3 3" xfId="38051"/>
    <cellStyle name="Input 7 5 3 3 3 2" xfId="38052"/>
    <cellStyle name="Input 7 5 3 3 4" xfId="38053"/>
    <cellStyle name="Input 7 5 3 3 5" xfId="38054"/>
    <cellStyle name="Input 7 5 3 3 6" xfId="38055"/>
    <cellStyle name="Input 7 5 3 4" xfId="38056"/>
    <cellStyle name="Input 7 5 3 4 2" xfId="38057"/>
    <cellStyle name="Input 7 5 3 5" xfId="38058"/>
    <cellStyle name="Input 7 5 3 5 2" xfId="38059"/>
    <cellStyle name="Input 7 5 3 6" xfId="38060"/>
    <cellStyle name="Input 7 5 3 7" xfId="38061"/>
    <cellStyle name="Input 7 5 3 8" xfId="38062"/>
    <cellStyle name="Input 7 5 4" xfId="38063"/>
    <cellStyle name="Input 7 5 4 2" xfId="38064"/>
    <cellStyle name="Input 7 5 4 2 2" xfId="38065"/>
    <cellStyle name="Input 7 5 4 2 2 2" xfId="38066"/>
    <cellStyle name="Input 7 5 4 2 3" xfId="38067"/>
    <cellStyle name="Input 7 5 4 2 3 2" xfId="38068"/>
    <cellStyle name="Input 7 5 4 2 4" xfId="38069"/>
    <cellStyle name="Input 7 5 4 2 5" xfId="38070"/>
    <cellStyle name="Input 7 5 4 2 6" xfId="38071"/>
    <cellStyle name="Input 7 5 4 3" xfId="38072"/>
    <cellStyle name="Input 7 5 4 3 2" xfId="38073"/>
    <cellStyle name="Input 7 5 4 4" xfId="38074"/>
    <cellStyle name="Input 7 5 4 4 2" xfId="38075"/>
    <cellStyle name="Input 7 5 4 5" xfId="38076"/>
    <cellStyle name="Input 7 5 4 6" xfId="38077"/>
    <cellStyle name="Input 7 5 4 7" xfId="38078"/>
    <cellStyle name="Input 7 5 5" xfId="38079"/>
    <cellStyle name="Input 7 5 5 2" xfId="38080"/>
    <cellStyle name="Input 7 5 5 2 2" xfId="38081"/>
    <cellStyle name="Input 7 5 5 3" xfId="38082"/>
    <cellStyle name="Input 7 5 5 3 2" xfId="38083"/>
    <cellStyle name="Input 7 5 5 4" xfId="38084"/>
    <cellStyle name="Input 7 5 5 5" xfId="38085"/>
    <cellStyle name="Input 7 5 5 6" xfId="38086"/>
    <cellStyle name="Input 7 5 6" xfId="38087"/>
    <cellStyle name="Input 7 5 6 2" xfId="38088"/>
    <cellStyle name="Input 7 5 7" xfId="38089"/>
    <cellStyle name="Input 7 5 7 2" xfId="38090"/>
    <cellStyle name="Input 7 5 8" xfId="38091"/>
    <cellStyle name="Input 7 5 9" xfId="38092"/>
    <cellStyle name="Input 7 6" xfId="38093"/>
    <cellStyle name="Input 7 6 2" xfId="38094"/>
    <cellStyle name="Input 7 6 2 2" xfId="38095"/>
    <cellStyle name="Input 7 6 2 2 2" xfId="38096"/>
    <cellStyle name="Input 7 6 2 2 2 2" xfId="38097"/>
    <cellStyle name="Input 7 6 2 2 3" xfId="38098"/>
    <cellStyle name="Input 7 6 2 2 3 2" xfId="38099"/>
    <cellStyle name="Input 7 6 2 2 4" xfId="38100"/>
    <cellStyle name="Input 7 6 2 2 5" xfId="38101"/>
    <cellStyle name="Input 7 6 2 2 6" xfId="38102"/>
    <cellStyle name="Input 7 6 2 3" xfId="38103"/>
    <cellStyle name="Input 7 6 2 3 2" xfId="38104"/>
    <cellStyle name="Input 7 6 2 4" xfId="38105"/>
    <cellStyle name="Input 7 6 2 4 2" xfId="38106"/>
    <cellStyle name="Input 7 6 2 5" xfId="38107"/>
    <cellStyle name="Input 7 6 2 6" xfId="38108"/>
    <cellStyle name="Input 7 6 2 7" xfId="38109"/>
    <cellStyle name="Input 7 6 3" xfId="38110"/>
    <cellStyle name="Input 7 6 3 2" xfId="38111"/>
    <cellStyle name="Input 7 6 3 2 2" xfId="38112"/>
    <cellStyle name="Input 7 6 3 3" xfId="38113"/>
    <cellStyle name="Input 7 6 3 3 2" xfId="38114"/>
    <cellStyle name="Input 7 6 3 4" xfId="38115"/>
    <cellStyle name="Input 7 6 3 5" xfId="38116"/>
    <cellStyle name="Input 7 6 3 6" xfId="38117"/>
    <cellStyle name="Input 7 6 4" xfId="38118"/>
    <cellStyle name="Input 7 6 4 2" xfId="38119"/>
    <cellStyle name="Input 7 6 5" xfId="38120"/>
    <cellStyle name="Input 7 6 5 2" xfId="38121"/>
    <cellStyle name="Input 7 6 6" xfId="38122"/>
    <cellStyle name="Input 7 6 7" xfId="38123"/>
    <cellStyle name="Input 7 6 8" xfId="38124"/>
    <cellStyle name="Input 7 7" xfId="38125"/>
    <cellStyle name="Input 7 7 2" xfId="38126"/>
    <cellStyle name="Input 7 7 2 2" xfId="38127"/>
    <cellStyle name="Input 7 7 2 2 2" xfId="38128"/>
    <cellStyle name="Input 7 7 2 3" xfId="38129"/>
    <cellStyle name="Input 7 7 2 3 2" xfId="38130"/>
    <cellStyle name="Input 7 7 2 4" xfId="38131"/>
    <cellStyle name="Input 7 7 2 5" xfId="38132"/>
    <cellStyle name="Input 7 7 2 6" xfId="38133"/>
    <cellStyle name="Input 7 7 3" xfId="38134"/>
    <cellStyle name="Input 7 7 3 2" xfId="38135"/>
    <cellStyle name="Input 7 7 4" xfId="38136"/>
    <cellStyle name="Input 7 7 4 2" xfId="38137"/>
    <cellStyle name="Input 7 7 5" xfId="38138"/>
    <cellStyle name="Input 7 7 6" xfId="38139"/>
    <cellStyle name="Input 7 7 7" xfId="38140"/>
    <cellStyle name="Input 7 8" xfId="38141"/>
    <cellStyle name="Input 7 8 2" xfId="38142"/>
    <cellStyle name="Input 7 9" xfId="38143"/>
    <cellStyle name="Input 7 9 2" xfId="38144"/>
    <cellStyle name="Input 8" xfId="38145"/>
    <cellStyle name="Input 8 10" xfId="38146"/>
    <cellStyle name="Input 8 11" xfId="38147"/>
    <cellStyle name="Input 8 12" xfId="38148"/>
    <cellStyle name="Input 8 2" xfId="38149"/>
    <cellStyle name="Input 8 2 10" xfId="38150"/>
    <cellStyle name="Input 8 2 11" xfId="38151"/>
    <cellStyle name="Input 8 2 12" xfId="38152"/>
    <cellStyle name="Input 8 2 2" xfId="38153"/>
    <cellStyle name="Input 8 2 2 10" xfId="38154"/>
    <cellStyle name="Input 8 2 2 11" xfId="38155"/>
    <cellStyle name="Input 8 2 2 2" xfId="38156"/>
    <cellStyle name="Input 8 2 2 2 10" xfId="38157"/>
    <cellStyle name="Input 8 2 2 2 2" xfId="38158"/>
    <cellStyle name="Input 8 2 2 2 2 2" xfId="38159"/>
    <cellStyle name="Input 8 2 2 2 2 2 2" xfId="38160"/>
    <cellStyle name="Input 8 2 2 2 2 2 2 2" xfId="38161"/>
    <cellStyle name="Input 8 2 2 2 2 2 2 2 2" xfId="38162"/>
    <cellStyle name="Input 8 2 2 2 2 2 2 3" xfId="38163"/>
    <cellStyle name="Input 8 2 2 2 2 2 2 3 2" xfId="38164"/>
    <cellStyle name="Input 8 2 2 2 2 2 2 4" xfId="38165"/>
    <cellStyle name="Input 8 2 2 2 2 2 2 5" xfId="38166"/>
    <cellStyle name="Input 8 2 2 2 2 2 2 6" xfId="38167"/>
    <cellStyle name="Input 8 2 2 2 2 2 3" xfId="38168"/>
    <cellStyle name="Input 8 2 2 2 2 2 3 2" xfId="38169"/>
    <cellStyle name="Input 8 2 2 2 2 2 4" xfId="38170"/>
    <cellStyle name="Input 8 2 2 2 2 2 4 2" xfId="38171"/>
    <cellStyle name="Input 8 2 2 2 2 2 5" xfId="38172"/>
    <cellStyle name="Input 8 2 2 2 2 2 6" xfId="38173"/>
    <cellStyle name="Input 8 2 2 2 2 2 7" xfId="38174"/>
    <cellStyle name="Input 8 2 2 2 2 3" xfId="38175"/>
    <cellStyle name="Input 8 2 2 2 2 3 2" xfId="38176"/>
    <cellStyle name="Input 8 2 2 2 2 3 2 2" xfId="38177"/>
    <cellStyle name="Input 8 2 2 2 2 3 3" xfId="38178"/>
    <cellStyle name="Input 8 2 2 2 2 3 3 2" xfId="38179"/>
    <cellStyle name="Input 8 2 2 2 2 3 4" xfId="38180"/>
    <cellStyle name="Input 8 2 2 2 2 3 5" xfId="38181"/>
    <cellStyle name="Input 8 2 2 2 2 3 6" xfId="38182"/>
    <cellStyle name="Input 8 2 2 2 2 4" xfId="38183"/>
    <cellStyle name="Input 8 2 2 2 2 4 2" xfId="38184"/>
    <cellStyle name="Input 8 2 2 2 2 5" xfId="38185"/>
    <cellStyle name="Input 8 2 2 2 2 5 2" xfId="38186"/>
    <cellStyle name="Input 8 2 2 2 2 6" xfId="38187"/>
    <cellStyle name="Input 8 2 2 2 2 7" xfId="38188"/>
    <cellStyle name="Input 8 2 2 2 2 8" xfId="38189"/>
    <cellStyle name="Input 8 2 2 2 3" xfId="38190"/>
    <cellStyle name="Input 8 2 2 2 3 2" xfId="38191"/>
    <cellStyle name="Input 8 2 2 2 3 2 2" xfId="38192"/>
    <cellStyle name="Input 8 2 2 2 3 2 2 2" xfId="38193"/>
    <cellStyle name="Input 8 2 2 2 3 2 2 2 2" xfId="38194"/>
    <cellStyle name="Input 8 2 2 2 3 2 2 3" xfId="38195"/>
    <cellStyle name="Input 8 2 2 2 3 2 2 3 2" xfId="38196"/>
    <cellStyle name="Input 8 2 2 2 3 2 2 4" xfId="38197"/>
    <cellStyle name="Input 8 2 2 2 3 2 2 5" xfId="38198"/>
    <cellStyle name="Input 8 2 2 2 3 2 2 6" xfId="38199"/>
    <cellStyle name="Input 8 2 2 2 3 2 3" xfId="38200"/>
    <cellStyle name="Input 8 2 2 2 3 2 3 2" xfId="38201"/>
    <cellStyle name="Input 8 2 2 2 3 2 4" xfId="38202"/>
    <cellStyle name="Input 8 2 2 2 3 2 4 2" xfId="38203"/>
    <cellStyle name="Input 8 2 2 2 3 2 5" xfId="38204"/>
    <cellStyle name="Input 8 2 2 2 3 2 6" xfId="38205"/>
    <cellStyle name="Input 8 2 2 2 3 2 7" xfId="38206"/>
    <cellStyle name="Input 8 2 2 2 3 3" xfId="38207"/>
    <cellStyle name="Input 8 2 2 2 3 3 2" xfId="38208"/>
    <cellStyle name="Input 8 2 2 2 3 3 2 2" xfId="38209"/>
    <cellStyle name="Input 8 2 2 2 3 3 3" xfId="38210"/>
    <cellStyle name="Input 8 2 2 2 3 3 3 2" xfId="38211"/>
    <cellStyle name="Input 8 2 2 2 3 3 4" xfId="38212"/>
    <cellStyle name="Input 8 2 2 2 3 3 5" xfId="38213"/>
    <cellStyle name="Input 8 2 2 2 3 3 6" xfId="38214"/>
    <cellStyle name="Input 8 2 2 2 3 4" xfId="38215"/>
    <cellStyle name="Input 8 2 2 2 3 4 2" xfId="38216"/>
    <cellStyle name="Input 8 2 2 2 3 5" xfId="38217"/>
    <cellStyle name="Input 8 2 2 2 3 5 2" xfId="38218"/>
    <cellStyle name="Input 8 2 2 2 3 6" xfId="38219"/>
    <cellStyle name="Input 8 2 2 2 3 7" xfId="38220"/>
    <cellStyle name="Input 8 2 2 2 3 8" xfId="38221"/>
    <cellStyle name="Input 8 2 2 2 4" xfId="38222"/>
    <cellStyle name="Input 8 2 2 2 4 2" xfId="38223"/>
    <cellStyle name="Input 8 2 2 2 4 2 2" xfId="38224"/>
    <cellStyle name="Input 8 2 2 2 4 2 2 2" xfId="38225"/>
    <cellStyle name="Input 8 2 2 2 4 2 3" xfId="38226"/>
    <cellStyle name="Input 8 2 2 2 4 2 3 2" xfId="38227"/>
    <cellStyle name="Input 8 2 2 2 4 2 4" xfId="38228"/>
    <cellStyle name="Input 8 2 2 2 4 2 5" xfId="38229"/>
    <cellStyle name="Input 8 2 2 2 4 2 6" xfId="38230"/>
    <cellStyle name="Input 8 2 2 2 4 3" xfId="38231"/>
    <cellStyle name="Input 8 2 2 2 4 3 2" xfId="38232"/>
    <cellStyle name="Input 8 2 2 2 4 4" xfId="38233"/>
    <cellStyle name="Input 8 2 2 2 4 4 2" xfId="38234"/>
    <cellStyle name="Input 8 2 2 2 4 5" xfId="38235"/>
    <cellStyle name="Input 8 2 2 2 4 6" xfId="38236"/>
    <cellStyle name="Input 8 2 2 2 4 7" xfId="38237"/>
    <cellStyle name="Input 8 2 2 2 5" xfId="38238"/>
    <cellStyle name="Input 8 2 2 2 5 2" xfId="38239"/>
    <cellStyle name="Input 8 2 2 2 5 2 2" xfId="38240"/>
    <cellStyle name="Input 8 2 2 2 5 3" xfId="38241"/>
    <cellStyle name="Input 8 2 2 2 5 3 2" xfId="38242"/>
    <cellStyle name="Input 8 2 2 2 5 4" xfId="38243"/>
    <cellStyle name="Input 8 2 2 2 5 5" xfId="38244"/>
    <cellStyle name="Input 8 2 2 2 5 6" xfId="38245"/>
    <cellStyle name="Input 8 2 2 2 6" xfId="38246"/>
    <cellStyle name="Input 8 2 2 2 6 2" xfId="38247"/>
    <cellStyle name="Input 8 2 2 2 7" xfId="38248"/>
    <cellStyle name="Input 8 2 2 2 7 2" xfId="38249"/>
    <cellStyle name="Input 8 2 2 2 8" xfId="38250"/>
    <cellStyle name="Input 8 2 2 2 9" xfId="38251"/>
    <cellStyle name="Input 8 2 2 3" xfId="38252"/>
    <cellStyle name="Input 8 2 2 3 2" xfId="38253"/>
    <cellStyle name="Input 8 2 2 3 2 2" xfId="38254"/>
    <cellStyle name="Input 8 2 2 3 2 2 2" xfId="38255"/>
    <cellStyle name="Input 8 2 2 3 2 2 2 2" xfId="38256"/>
    <cellStyle name="Input 8 2 2 3 2 2 3" xfId="38257"/>
    <cellStyle name="Input 8 2 2 3 2 2 3 2" xfId="38258"/>
    <cellStyle name="Input 8 2 2 3 2 2 4" xfId="38259"/>
    <cellStyle name="Input 8 2 2 3 2 2 5" xfId="38260"/>
    <cellStyle name="Input 8 2 2 3 2 2 6" xfId="38261"/>
    <cellStyle name="Input 8 2 2 3 2 3" xfId="38262"/>
    <cellStyle name="Input 8 2 2 3 2 3 2" xfId="38263"/>
    <cellStyle name="Input 8 2 2 3 2 4" xfId="38264"/>
    <cellStyle name="Input 8 2 2 3 2 4 2" xfId="38265"/>
    <cellStyle name="Input 8 2 2 3 2 5" xfId="38266"/>
    <cellStyle name="Input 8 2 2 3 2 6" xfId="38267"/>
    <cellStyle name="Input 8 2 2 3 2 7" xfId="38268"/>
    <cellStyle name="Input 8 2 2 3 3" xfId="38269"/>
    <cellStyle name="Input 8 2 2 3 3 2" xfId="38270"/>
    <cellStyle name="Input 8 2 2 3 3 2 2" xfId="38271"/>
    <cellStyle name="Input 8 2 2 3 3 3" xfId="38272"/>
    <cellStyle name="Input 8 2 2 3 3 3 2" xfId="38273"/>
    <cellStyle name="Input 8 2 2 3 3 4" xfId="38274"/>
    <cellStyle name="Input 8 2 2 3 3 5" xfId="38275"/>
    <cellStyle name="Input 8 2 2 3 3 6" xfId="38276"/>
    <cellStyle name="Input 8 2 2 3 4" xfId="38277"/>
    <cellStyle name="Input 8 2 2 3 4 2" xfId="38278"/>
    <cellStyle name="Input 8 2 2 3 5" xfId="38279"/>
    <cellStyle name="Input 8 2 2 3 5 2" xfId="38280"/>
    <cellStyle name="Input 8 2 2 3 6" xfId="38281"/>
    <cellStyle name="Input 8 2 2 3 7" xfId="38282"/>
    <cellStyle name="Input 8 2 2 3 8" xfId="38283"/>
    <cellStyle name="Input 8 2 2 4" xfId="38284"/>
    <cellStyle name="Input 8 2 2 4 2" xfId="38285"/>
    <cellStyle name="Input 8 2 2 4 2 2" xfId="38286"/>
    <cellStyle name="Input 8 2 2 4 2 2 2" xfId="38287"/>
    <cellStyle name="Input 8 2 2 4 2 2 2 2" xfId="38288"/>
    <cellStyle name="Input 8 2 2 4 2 2 3" xfId="38289"/>
    <cellStyle name="Input 8 2 2 4 2 2 3 2" xfId="38290"/>
    <cellStyle name="Input 8 2 2 4 2 2 4" xfId="38291"/>
    <cellStyle name="Input 8 2 2 4 2 2 5" xfId="38292"/>
    <cellStyle name="Input 8 2 2 4 2 2 6" xfId="38293"/>
    <cellStyle name="Input 8 2 2 4 2 3" xfId="38294"/>
    <cellStyle name="Input 8 2 2 4 2 3 2" xfId="38295"/>
    <cellStyle name="Input 8 2 2 4 2 4" xfId="38296"/>
    <cellStyle name="Input 8 2 2 4 2 4 2" xfId="38297"/>
    <cellStyle name="Input 8 2 2 4 2 5" xfId="38298"/>
    <cellStyle name="Input 8 2 2 4 2 6" xfId="38299"/>
    <cellStyle name="Input 8 2 2 4 2 7" xfId="38300"/>
    <cellStyle name="Input 8 2 2 4 3" xfId="38301"/>
    <cellStyle name="Input 8 2 2 4 3 2" xfId="38302"/>
    <cellStyle name="Input 8 2 2 4 3 2 2" xfId="38303"/>
    <cellStyle name="Input 8 2 2 4 3 3" xfId="38304"/>
    <cellStyle name="Input 8 2 2 4 3 3 2" xfId="38305"/>
    <cellStyle name="Input 8 2 2 4 3 4" xfId="38306"/>
    <cellStyle name="Input 8 2 2 4 3 5" xfId="38307"/>
    <cellStyle name="Input 8 2 2 4 3 6" xfId="38308"/>
    <cellStyle name="Input 8 2 2 4 4" xfId="38309"/>
    <cellStyle name="Input 8 2 2 4 4 2" xfId="38310"/>
    <cellStyle name="Input 8 2 2 4 5" xfId="38311"/>
    <cellStyle name="Input 8 2 2 4 5 2" xfId="38312"/>
    <cellStyle name="Input 8 2 2 4 6" xfId="38313"/>
    <cellStyle name="Input 8 2 2 4 7" xfId="38314"/>
    <cellStyle name="Input 8 2 2 4 8" xfId="38315"/>
    <cellStyle name="Input 8 2 2 5" xfId="38316"/>
    <cellStyle name="Input 8 2 2 5 2" xfId="38317"/>
    <cellStyle name="Input 8 2 2 5 2 2" xfId="38318"/>
    <cellStyle name="Input 8 2 2 5 2 2 2" xfId="38319"/>
    <cellStyle name="Input 8 2 2 5 2 3" xfId="38320"/>
    <cellStyle name="Input 8 2 2 5 2 3 2" xfId="38321"/>
    <cellStyle name="Input 8 2 2 5 2 4" xfId="38322"/>
    <cellStyle name="Input 8 2 2 5 2 5" xfId="38323"/>
    <cellStyle name="Input 8 2 2 5 2 6" xfId="38324"/>
    <cellStyle name="Input 8 2 2 5 3" xfId="38325"/>
    <cellStyle name="Input 8 2 2 5 3 2" xfId="38326"/>
    <cellStyle name="Input 8 2 2 5 4" xfId="38327"/>
    <cellStyle name="Input 8 2 2 5 4 2" xfId="38328"/>
    <cellStyle name="Input 8 2 2 5 5" xfId="38329"/>
    <cellStyle name="Input 8 2 2 5 6" xfId="38330"/>
    <cellStyle name="Input 8 2 2 5 7" xfId="38331"/>
    <cellStyle name="Input 8 2 2 6" xfId="38332"/>
    <cellStyle name="Input 8 2 2 6 2" xfId="38333"/>
    <cellStyle name="Input 8 2 2 6 2 2" xfId="38334"/>
    <cellStyle name="Input 8 2 2 6 3" xfId="38335"/>
    <cellStyle name="Input 8 2 2 6 3 2" xfId="38336"/>
    <cellStyle name="Input 8 2 2 6 4" xfId="38337"/>
    <cellStyle name="Input 8 2 2 6 5" xfId="38338"/>
    <cellStyle name="Input 8 2 2 6 6" xfId="38339"/>
    <cellStyle name="Input 8 2 2 7" xfId="38340"/>
    <cellStyle name="Input 8 2 2 7 2" xfId="38341"/>
    <cellStyle name="Input 8 2 2 8" xfId="38342"/>
    <cellStyle name="Input 8 2 2 8 2" xfId="38343"/>
    <cellStyle name="Input 8 2 2 9" xfId="38344"/>
    <cellStyle name="Input 8 2 3" xfId="38345"/>
    <cellStyle name="Input 8 2 3 10" xfId="38346"/>
    <cellStyle name="Input 8 2 3 2" xfId="38347"/>
    <cellStyle name="Input 8 2 3 2 10" xfId="38348"/>
    <cellStyle name="Input 8 2 3 2 2" xfId="38349"/>
    <cellStyle name="Input 8 2 3 2 2 2" xfId="38350"/>
    <cellStyle name="Input 8 2 3 2 2 2 2" xfId="38351"/>
    <cellStyle name="Input 8 2 3 2 2 2 2 2" xfId="38352"/>
    <cellStyle name="Input 8 2 3 2 2 2 2 2 2" xfId="38353"/>
    <cellStyle name="Input 8 2 3 2 2 2 2 3" xfId="38354"/>
    <cellStyle name="Input 8 2 3 2 2 2 2 3 2" xfId="38355"/>
    <cellStyle name="Input 8 2 3 2 2 2 2 4" xfId="38356"/>
    <cellStyle name="Input 8 2 3 2 2 2 2 5" xfId="38357"/>
    <cellStyle name="Input 8 2 3 2 2 2 2 6" xfId="38358"/>
    <cellStyle name="Input 8 2 3 2 2 2 3" xfId="38359"/>
    <cellStyle name="Input 8 2 3 2 2 2 3 2" xfId="38360"/>
    <cellStyle name="Input 8 2 3 2 2 2 4" xfId="38361"/>
    <cellStyle name="Input 8 2 3 2 2 2 4 2" xfId="38362"/>
    <cellStyle name="Input 8 2 3 2 2 2 5" xfId="38363"/>
    <cellStyle name="Input 8 2 3 2 2 2 6" xfId="38364"/>
    <cellStyle name="Input 8 2 3 2 2 2 7" xfId="38365"/>
    <cellStyle name="Input 8 2 3 2 2 3" xfId="38366"/>
    <cellStyle name="Input 8 2 3 2 2 3 2" xfId="38367"/>
    <cellStyle name="Input 8 2 3 2 2 3 2 2" xfId="38368"/>
    <cellStyle name="Input 8 2 3 2 2 3 3" xfId="38369"/>
    <cellStyle name="Input 8 2 3 2 2 3 3 2" xfId="38370"/>
    <cellStyle name="Input 8 2 3 2 2 3 4" xfId="38371"/>
    <cellStyle name="Input 8 2 3 2 2 3 5" xfId="38372"/>
    <cellStyle name="Input 8 2 3 2 2 3 6" xfId="38373"/>
    <cellStyle name="Input 8 2 3 2 2 4" xfId="38374"/>
    <cellStyle name="Input 8 2 3 2 2 4 2" xfId="38375"/>
    <cellStyle name="Input 8 2 3 2 2 5" xfId="38376"/>
    <cellStyle name="Input 8 2 3 2 2 5 2" xfId="38377"/>
    <cellStyle name="Input 8 2 3 2 2 6" xfId="38378"/>
    <cellStyle name="Input 8 2 3 2 2 7" xfId="38379"/>
    <cellStyle name="Input 8 2 3 2 2 8" xfId="38380"/>
    <cellStyle name="Input 8 2 3 2 3" xfId="38381"/>
    <cellStyle name="Input 8 2 3 2 3 2" xfId="38382"/>
    <cellStyle name="Input 8 2 3 2 3 2 2" xfId="38383"/>
    <cellStyle name="Input 8 2 3 2 3 2 2 2" xfId="38384"/>
    <cellStyle name="Input 8 2 3 2 3 2 2 2 2" xfId="38385"/>
    <cellStyle name="Input 8 2 3 2 3 2 2 3" xfId="38386"/>
    <cellStyle name="Input 8 2 3 2 3 2 2 3 2" xfId="38387"/>
    <cellStyle name="Input 8 2 3 2 3 2 2 4" xfId="38388"/>
    <cellStyle name="Input 8 2 3 2 3 2 2 5" xfId="38389"/>
    <cellStyle name="Input 8 2 3 2 3 2 2 6" xfId="38390"/>
    <cellStyle name="Input 8 2 3 2 3 2 3" xfId="38391"/>
    <cellStyle name="Input 8 2 3 2 3 2 3 2" xfId="38392"/>
    <cellStyle name="Input 8 2 3 2 3 2 4" xfId="38393"/>
    <cellStyle name="Input 8 2 3 2 3 2 4 2" xfId="38394"/>
    <cellStyle name="Input 8 2 3 2 3 2 5" xfId="38395"/>
    <cellStyle name="Input 8 2 3 2 3 2 6" xfId="38396"/>
    <cellStyle name="Input 8 2 3 2 3 2 7" xfId="38397"/>
    <cellStyle name="Input 8 2 3 2 3 3" xfId="38398"/>
    <cellStyle name="Input 8 2 3 2 3 3 2" xfId="38399"/>
    <cellStyle name="Input 8 2 3 2 3 3 2 2" xfId="38400"/>
    <cellStyle name="Input 8 2 3 2 3 3 3" xfId="38401"/>
    <cellStyle name="Input 8 2 3 2 3 3 3 2" xfId="38402"/>
    <cellStyle name="Input 8 2 3 2 3 3 4" xfId="38403"/>
    <cellStyle name="Input 8 2 3 2 3 3 5" xfId="38404"/>
    <cellStyle name="Input 8 2 3 2 3 3 6" xfId="38405"/>
    <cellStyle name="Input 8 2 3 2 3 4" xfId="38406"/>
    <cellStyle name="Input 8 2 3 2 3 4 2" xfId="38407"/>
    <cellStyle name="Input 8 2 3 2 3 5" xfId="38408"/>
    <cellStyle name="Input 8 2 3 2 3 5 2" xfId="38409"/>
    <cellStyle name="Input 8 2 3 2 3 6" xfId="38410"/>
    <cellStyle name="Input 8 2 3 2 3 7" xfId="38411"/>
    <cellStyle name="Input 8 2 3 2 3 8" xfId="38412"/>
    <cellStyle name="Input 8 2 3 2 4" xfId="38413"/>
    <cellStyle name="Input 8 2 3 2 4 2" xfId="38414"/>
    <cellStyle name="Input 8 2 3 2 4 2 2" xfId="38415"/>
    <cellStyle name="Input 8 2 3 2 4 2 2 2" xfId="38416"/>
    <cellStyle name="Input 8 2 3 2 4 2 3" xfId="38417"/>
    <cellStyle name="Input 8 2 3 2 4 2 3 2" xfId="38418"/>
    <cellStyle name="Input 8 2 3 2 4 2 4" xfId="38419"/>
    <cellStyle name="Input 8 2 3 2 4 2 5" xfId="38420"/>
    <cellStyle name="Input 8 2 3 2 4 2 6" xfId="38421"/>
    <cellStyle name="Input 8 2 3 2 4 3" xfId="38422"/>
    <cellStyle name="Input 8 2 3 2 4 3 2" xfId="38423"/>
    <cellStyle name="Input 8 2 3 2 4 4" xfId="38424"/>
    <cellStyle name="Input 8 2 3 2 4 4 2" xfId="38425"/>
    <cellStyle name="Input 8 2 3 2 4 5" xfId="38426"/>
    <cellStyle name="Input 8 2 3 2 4 6" xfId="38427"/>
    <cellStyle name="Input 8 2 3 2 4 7" xfId="38428"/>
    <cellStyle name="Input 8 2 3 2 5" xfId="38429"/>
    <cellStyle name="Input 8 2 3 2 5 2" xfId="38430"/>
    <cellStyle name="Input 8 2 3 2 5 2 2" xfId="38431"/>
    <cellStyle name="Input 8 2 3 2 5 3" xfId="38432"/>
    <cellStyle name="Input 8 2 3 2 5 3 2" xfId="38433"/>
    <cellStyle name="Input 8 2 3 2 5 4" xfId="38434"/>
    <cellStyle name="Input 8 2 3 2 5 5" xfId="38435"/>
    <cellStyle name="Input 8 2 3 2 5 6" xfId="38436"/>
    <cellStyle name="Input 8 2 3 2 6" xfId="38437"/>
    <cellStyle name="Input 8 2 3 2 6 2" xfId="38438"/>
    <cellStyle name="Input 8 2 3 2 7" xfId="38439"/>
    <cellStyle name="Input 8 2 3 2 7 2" xfId="38440"/>
    <cellStyle name="Input 8 2 3 2 8" xfId="38441"/>
    <cellStyle name="Input 8 2 3 2 9" xfId="38442"/>
    <cellStyle name="Input 8 2 3 3" xfId="38443"/>
    <cellStyle name="Input 8 2 3 3 2" xfId="38444"/>
    <cellStyle name="Input 8 2 3 3 2 2" xfId="38445"/>
    <cellStyle name="Input 8 2 3 3 2 2 2" xfId="38446"/>
    <cellStyle name="Input 8 2 3 3 2 2 2 2" xfId="38447"/>
    <cellStyle name="Input 8 2 3 3 2 2 3" xfId="38448"/>
    <cellStyle name="Input 8 2 3 3 2 2 3 2" xfId="38449"/>
    <cellStyle name="Input 8 2 3 3 2 2 4" xfId="38450"/>
    <cellStyle name="Input 8 2 3 3 2 2 5" xfId="38451"/>
    <cellStyle name="Input 8 2 3 3 2 2 6" xfId="38452"/>
    <cellStyle name="Input 8 2 3 3 2 3" xfId="38453"/>
    <cellStyle name="Input 8 2 3 3 2 3 2" xfId="38454"/>
    <cellStyle name="Input 8 2 3 3 2 4" xfId="38455"/>
    <cellStyle name="Input 8 2 3 3 2 4 2" xfId="38456"/>
    <cellStyle name="Input 8 2 3 3 2 5" xfId="38457"/>
    <cellStyle name="Input 8 2 3 3 2 6" xfId="38458"/>
    <cellStyle name="Input 8 2 3 3 2 7" xfId="38459"/>
    <cellStyle name="Input 8 2 3 3 3" xfId="38460"/>
    <cellStyle name="Input 8 2 3 3 3 2" xfId="38461"/>
    <cellStyle name="Input 8 2 3 3 3 2 2" xfId="38462"/>
    <cellStyle name="Input 8 2 3 3 3 3" xfId="38463"/>
    <cellStyle name="Input 8 2 3 3 3 3 2" xfId="38464"/>
    <cellStyle name="Input 8 2 3 3 3 4" xfId="38465"/>
    <cellStyle name="Input 8 2 3 3 3 5" xfId="38466"/>
    <cellStyle name="Input 8 2 3 3 3 6" xfId="38467"/>
    <cellStyle name="Input 8 2 3 3 4" xfId="38468"/>
    <cellStyle name="Input 8 2 3 3 4 2" xfId="38469"/>
    <cellStyle name="Input 8 2 3 3 5" xfId="38470"/>
    <cellStyle name="Input 8 2 3 3 5 2" xfId="38471"/>
    <cellStyle name="Input 8 2 3 3 6" xfId="38472"/>
    <cellStyle name="Input 8 2 3 3 7" xfId="38473"/>
    <cellStyle name="Input 8 2 3 3 8" xfId="38474"/>
    <cellStyle name="Input 8 2 3 4" xfId="38475"/>
    <cellStyle name="Input 8 2 3 4 2" xfId="38476"/>
    <cellStyle name="Input 8 2 3 4 2 2" xfId="38477"/>
    <cellStyle name="Input 8 2 3 4 2 2 2" xfId="38478"/>
    <cellStyle name="Input 8 2 3 4 2 3" xfId="38479"/>
    <cellStyle name="Input 8 2 3 4 2 3 2" xfId="38480"/>
    <cellStyle name="Input 8 2 3 4 2 4" xfId="38481"/>
    <cellStyle name="Input 8 2 3 4 2 5" xfId="38482"/>
    <cellStyle name="Input 8 2 3 4 2 6" xfId="38483"/>
    <cellStyle name="Input 8 2 3 4 3" xfId="38484"/>
    <cellStyle name="Input 8 2 3 4 3 2" xfId="38485"/>
    <cellStyle name="Input 8 2 3 4 4" xfId="38486"/>
    <cellStyle name="Input 8 2 3 4 4 2" xfId="38487"/>
    <cellStyle name="Input 8 2 3 4 5" xfId="38488"/>
    <cellStyle name="Input 8 2 3 4 6" xfId="38489"/>
    <cellStyle name="Input 8 2 3 4 7" xfId="38490"/>
    <cellStyle name="Input 8 2 3 5" xfId="38491"/>
    <cellStyle name="Input 8 2 3 5 2" xfId="38492"/>
    <cellStyle name="Input 8 2 3 5 2 2" xfId="38493"/>
    <cellStyle name="Input 8 2 3 5 3" xfId="38494"/>
    <cellStyle name="Input 8 2 3 5 3 2" xfId="38495"/>
    <cellStyle name="Input 8 2 3 5 4" xfId="38496"/>
    <cellStyle name="Input 8 2 3 5 5" xfId="38497"/>
    <cellStyle name="Input 8 2 3 5 6" xfId="38498"/>
    <cellStyle name="Input 8 2 3 6" xfId="38499"/>
    <cellStyle name="Input 8 2 3 6 2" xfId="38500"/>
    <cellStyle name="Input 8 2 3 7" xfId="38501"/>
    <cellStyle name="Input 8 2 3 7 2" xfId="38502"/>
    <cellStyle name="Input 8 2 3 8" xfId="38503"/>
    <cellStyle name="Input 8 2 3 9" xfId="38504"/>
    <cellStyle name="Input 8 2 4" xfId="38505"/>
    <cellStyle name="Input 8 2 4 10" xfId="38506"/>
    <cellStyle name="Input 8 2 4 2" xfId="38507"/>
    <cellStyle name="Input 8 2 4 2 2" xfId="38508"/>
    <cellStyle name="Input 8 2 4 2 2 2" xfId="38509"/>
    <cellStyle name="Input 8 2 4 2 2 2 2" xfId="38510"/>
    <cellStyle name="Input 8 2 4 2 2 2 2 2" xfId="38511"/>
    <cellStyle name="Input 8 2 4 2 2 2 3" xfId="38512"/>
    <cellStyle name="Input 8 2 4 2 2 2 3 2" xfId="38513"/>
    <cellStyle name="Input 8 2 4 2 2 2 4" xfId="38514"/>
    <cellStyle name="Input 8 2 4 2 2 2 5" xfId="38515"/>
    <cellStyle name="Input 8 2 4 2 2 2 6" xfId="38516"/>
    <cellStyle name="Input 8 2 4 2 2 3" xfId="38517"/>
    <cellStyle name="Input 8 2 4 2 2 3 2" xfId="38518"/>
    <cellStyle name="Input 8 2 4 2 2 4" xfId="38519"/>
    <cellStyle name="Input 8 2 4 2 2 4 2" xfId="38520"/>
    <cellStyle name="Input 8 2 4 2 2 5" xfId="38521"/>
    <cellStyle name="Input 8 2 4 2 2 6" xfId="38522"/>
    <cellStyle name="Input 8 2 4 2 2 7" xfId="38523"/>
    <cellStyle name="Input 8 2 4 2 3" xfId="38524"/>
    <cellStyle name="Input 8 2 4 2 3 2" xfId="38525"/>
    <cellStyle name="Input 8 2 4 2 3 2 2" xfId="38526"/>
    <cellStyle name="Input 8 2 4 2 3 3" xfId="38527"/>
    <cellStyle name="Input 8 2 4 2 3 3 2" xfId="38528"/>
    <cellStyle name="Input 8 2 4 2 3 4" xfId="38529"/>
    <cellStyle name="Input 8 2 4 2 3 5" xfId="38530"/>
    <cellStyle name="Input 8 2 4 2 3 6" xfId="38531"/>
    <cellStyle name="Input 8 2 4 2 4" xfId="38532"/>
    <cellStyle name="Input 8 2 4 2 4 2" xfId="38533"/>
    <cellStyle name="Input 8 2 4 2 5" xfId="38534"/>
    <cellStyle name="Input 8 2 4 2 5 2" xfId="38535"/>
    <cellStyle name="Input 8 2 4 2 6" xfId="38536"/>
    <cellStyle name="Input 8 2 4 2 7" xfId="38537"/>
    <cellStyle name="Input 8 2 4 2 8" xfId="38538"/>
    <cellStyle name="Input 8 2 4 3" xfId="38539"/>
    <cellStyle name="Input 8 2 4 3 2" xfId="38540"/>
    <cellStyle name="Input 8 2 4 3 2 2" xfId="38541"/>
    <cellStyle name="Input 8 2 4 3 2 2 2" xfId="38542"/>
    <cellStyle name="Input 8 2 4 3 2 2 2 2" xfId="38543"/>
    <cellStyle name="Input 8 2 4 3 2 2 3" xfId="38544"/>
    <cellStyle name="Input 8 2 4 3 2 2 3 2" xfId="38545"/>
    <cellStyle name="Input 8 2 4 3 2 2 4" xfId="38546"/>
    <cellStyle name="Input 8 2 4 3 2 2 5" xfId="38547"/>
    <cellStyle name="Input 8 2 4 3 2 2 6" xfId="38548"/>
    <cellStyle name="Input 8 2 4 3 2 3" xfId="38549"/>
    <cellStyle name="Input 8 2 4 3 2 3 2" xfId="38550"/>
    <cellStyle name="Input 8 2 4 3 2 4" xfId="38551"/>
    <cellStyle name="Input 8 2 4 3 2 4 2" xfId="38552"/>
    <cellStyle name="Input 8 2 4 3 2 5" xfId="38553"/>
    <cellStyle name="Input 8 2 4 3 2 6" xfId="38554"/>
    <cellStyle name="Input 8 2 4 3 2 7" xfId="38555"/>
    <cellStyle name="Input 8 2 4 3 3" xfId="38556"/>
    <cellStyle name="Input 8 2 4 3 3 2" xfId="38557"/>
    <cellStyle name="Input 8 2 4 3 3 2 2" xfId="38558"/>
    <cellStyle name="Input 8 2 4 3 3 3" xfId="38559"/>
    <cellStyle name="Input 8 2 4 3 3 3 2" xfId="38560"/>
    <cellStyle name="Input 8 2 4 3 3 4" xfId="38561"/>
    <cellStyle name="Input 8 2 4 3 3 5" xfId="38562"/>
    <cellStyle name="Input 8 2 4 3 3 6" xfId="38563"/>
    <cellStyle name="Input 8 2 4 3 4" xfId="38564"/>
    <cellStyle name="Input 8 2 4 3 4 2" xfId="38565"/>
    <cellStyle name="Input 8 2 4 3 5" xfId="38566"/>
    <cellStyle name="Input 8 2 4 3 5 2" xfId="38567"/>
    <cellStyle name="Input 8 2 4 3 6" xfId="38568"/>
    <cellStyle name="Input 8 2 4 3 7" xfId="38569"/>
    <cellStyle name="Input 8 2 4 3 8" xfId="38570"/>
    <cellStyle name="Input 8 2 4 4" xfId="38571"/>
    <cellStyle name="Input 8 2 4 4 2" xfId="38572"/>
    <cellStyle name="Input 8 2 4 4 2 2" xfId="38573"/>
    <cellStyle name="Input 8 2 4 4 2 2 2" xfId="38574"/>
    <cellStyle name="Input 8 2 4 4 2 3" xfId="38575"/>
    <cellStyle name="Input 8 2 4 4 2 3 2" xfId="38576"/>
    <cellStyle name="Input 8 2 4 4 2 4" xfId="38577"/>
    <cellStyle name="Input 8 2 4 4 2 5" xfId="38578"/>
    <cellStyle name="Input 8 2 4 4 2 6" xfId="38579"/>
    <cellStyle name="Input 8 2 4 4 3" xfId="38580"/>
    <cellStyle name="Input 8 2 4 4 3 2" xfId="38581"/>
    <cellStyle name="Input 8 2 4 4 4" xfId="38582"/>
    <cellStyle name="Input 8 2 4 4 4 2" xfId="38583"/>
    <cellStyle name="Input 8 2 4 4 5" xfId="38584"/>
    <cellStyle name="Input 8 2 4 4 6" xfId="38585"/>
    <cellStyle name="Input 8 2 4 4 7" xfId="38586"/>
    <cellStyle name="Input 8 2 4 5" xfId="38587"/>
    <cellStyle name="Input 8 2 4 5 2" xfId="38588"/>
    <cellStyle name="Input 8 2 4 5 2 2" xfId="38589"/>
    <cellStyle name="Input 8 2 4 5 3" xfId="38590"/>
    <cellStyle name="Input 8 2 4 5 3 2" xfId="38591"/>
    <cellStyle name="Input 8 2 4 5 4" xfId="38592"/>
    <cellStyle name="Input 8 2 4 5 5" xfId="38593"/>
    <cellStyle name="Input 8 2 4 5 6" xfId="38594"/>
    <cellStyle name="Input 8 2 4 6" xfId="38595"/>
    <cellStyle name="Input 8 2 4 6 2" xfId="38596"/>
    <cellStyle name="Input 8 2 4 7" xfId="38597"/>
    <cellStyle name="Input 8 2 4 7 2" xfId="38598"/>
    <cellStyle name="Input 8 2 4 8" xfId="38599"/>
    <cellStyle name="Input 8 2 4 9" xfId="38600"/>
    <cellStyle name="Input 8 2 5" xfId="38601"/>
    <cellStyle name="Input 8 2 5 2" xfId="38602"/>
    <cellStyle name="Input 8 2 5 2 2" xfId="38603"/>
    <cellStyle name="Input 8 2 5 2 2 2" xfId="38604"/>
    <cellStyle name="Input 8 2 5 2 2 2 2" xfId="38605"/>
    <cellStyle name="Input 8 2 5 2 2 3" xfId="38606"/>
    <cellStyle name="Input 8 2 5 2 2 3 2" xfId="38607"/>
    <cellStyle name="Input 8 2 5 2 2 4" xfId="38608"/>
    <cellStyle name="Input 8 2 5 2 2 5" xfId="38609"/>
    <cellStyle name="Input 8 2 5 2 2 6" xfId="38610"/>
    <cellStyle name="Input 8 2 5 2 3" xfId="38611"/>
    <cellStyle name="Input 8 2 5 2 3 2" xfId="38612"/>
    <cellStyle name="Input 8 2 5 2 4" xfId="38613"/>
    <cellStyle name="Input 8 2 5 2 4 2" xfId="38614"/>
    <cellStyle name="Input 8 2 5 2 5" xfId="38615"/>
    <cellStyle name="Input 8 2 5 2 6" xfId="38616"/>
    <cellStyle name="Input 8 2 5 2 7" xfId="38617"/>
    <cellStyle name="Input 8 2 5 3" xfId="38618"/>
    <cellStyle name="Input 8 2 5 3 2" xfId="38619"/>
    <cellStyle name="Input 8 2 5 3 2 2" xfId="38620"/>
    <cellStyle name="Input 8 2 5 3 3" xfId="38621"/>
    <cellStyle name="Input 8 2 5 3 3 2" xfId="38622"/>
    <cellStyle name="Input 8 2 5 3 4" xfId="38623"/>
    <cellStyle name="Input 8 2 5 3 5" xfId="38624"/>
    <cellStyle name="Input 8 2 5 3 6" xfId="38625"/>
    <cellStyle name="Input 8 2 5 4" xfId="38626"/>
    <cellStyle name="Input 8 2 5 4 2" xfId="38627"/>
    <cellStyle name="Input 8 2 5 5" xfId="38628"/>
    <cellStyle name="Input 8 2 5 5 2" xfId="38629"/>
    <cellStyle name="Input 8 2 5 6" xfId="38630"/>
    <cellStyle name="Input 8 2 5 7" xfId="38631"/>
    <cellStyle name="Input 8 2 5 8" xfId="38632"/>
    <cellStyle name="Input 8 2 6" xfId="38633"/>
    <cellStyle name="Input 8 2 6 2" xfId="38634"/>
    <cellStyle name="Input 8 2 6 2 2" xfId="38635"/>
    <cellStyle name="Input 8 2 6 2 2 2" xfId="38636"/>
    <cellStyle name="Input 8 2 6 2 3" xfId="38637"/>
    <cellStyle name="Input 8 2 6 2 3 2" xfId="38638"/>
    <cellStyle name="Input 8 2 6 2 4" xfId="38639"/>
    <cellStyle name="Input 8 2 6 2 5" xfId="38640"/>
    <cellStyle name="Input 8 2 6 2 6" xfId="38641"/>
    <cellStyle name="Input 8 2 6 3" xfId="38642"/>
    <cellStyle name="Input 8 2 6 3 2" xfId="38643"/>
    <cellStyle name="Input 8 2 6 4" xfId="38644"/>
    <cellStyle name="Input 8 2 6 4 2" xfId="38645"/>
    <cellStyle name="Input 8 2 6 5" xfId="38646"/>
    <cellStyle name="Input 8 2 6 6" xfId="38647"/>
    <cellStyle name="Input 8 2 6 7" xfId="38648"/>
    <cellStyle name="Input 8 2 7" xfId="38649"/>
    <cellStyle name="Input 8 2 7 2" xfId="38650"/>
    <cellStyle name="Input 8 2 7 2 2" xfId="38651"/>
    <cellStyle name="Input 8 2 7 3" xfId="38652"/>
    <cellStyle name="Input 8 2 7 3 2" xfId="38653"/>
    <cellStyle name="Input 8 2 7 4" xfId="38654"/>
    <cellStyle name="Input 8 2 7 5" xfId="38655"/>
    <cellStyle name="Input 8 2 7 6" xfId="38656"/>
    <cellStyle name="Input 8 2 8" xfId="38657"/>
    <cellStyle name="Input 8 2 8 2" xfId="38658"/>
    <cellStyle name="Input 8 2 9" xfId="38659"/>
    <cellStyle name="Input 8 2 9 2" xfId="38660"/>
    <cellStyle name="Input 8 3" xfId="38661"/>
    <cellStyle name="Input 8 3 10" xfId="38662"/>
    <cellStyle name="Input 8 3 11" xfId="38663"/>
    <cellStyle name="Input 8 3 2" xfId="38664"/>
    <cellStyle name="Input 8 3 2 10" xfId="38665"/>
    <cellStyle name="Input 8 3 2 2" xfId="38666"/>
    <cellStyle name="Input 8 3 2 2 10" xfId="38667"/>
    <cellStyle name="Input 8 3 2 2 2" xfId="38668"/>
    <cellStyle name="Input 8 3 2 2 2 2" xfId="38669"/>
    <cellStyle name="Input 8 3 2 2 2 2 2" xfId="38670"/>
    <cellStyle name="Input 8 3 2 2 2 2 2 2" xfId="38671"/>
    <cellStyle name="Input 8 3 2 2 2 2 2 2 2" xfId="38672"/>
    <cellStyle name="Input 8 3 2 2 2 2 2 3" xfId="38673"/>
    <cellStyle name="Input 8 3 2 2 2 2 2 3 2" xfId="38674"/>
    <cellStyle name="Input 8 3 2 2 2 2 2 4" xfId="38675"/>
    <cellStyle name="Input 8 3 2 2 2 2 2 5" xfId="38676"/>
    <cellStyle name="Input 8 3 2 2 2 2 2 6" xfId="38677"/>
    <cellStyle name="Input 8 3 2 2 2 2 3" xfId="38678"/>
    <cellStyle name="Input 8 3 2 2 2 2 3 2" xfId="38679"/>
    <cellStyle name="Input 8 3 2 2 2 2 4" xfId="38680"/>
    <cellStyle name="Input 8 3 2 2 2 2 4 2" xfId="38681"/>
    <cellStyle name="Input 8 3 2 2 2 2 5" xfId="38682"/>
    <cellStyle name="Input 8 3 2 2 2 2 6" xfId="38683"/>
    <cellStyle name="Input 8 3 2 2 2 2 7" xfId="38684"/>
    <cellStyle name="Input 8 3 2 2 2 3" xfId="38685"/>
    <cellStyle name="Input 8 3 2 2 2 3 2" xfId="38686"/>
    <cellStyle name="Input 8 3 2 2 2 3 2 2" xfId="38687"/>
    <cellStyle name="Input 8 3 2 2 2 3 3" xfId="38688"/>
    <cellStyle name="Input 8 3 2 2 2 3 3 2" xfId="38689"/>
    <cellStyle name="Input 8 3 2 2 2 3 4" xfId="38690"/>
    <cellStyle name="Input 8 3 2 2 2 3 5" xfId="38691"/>
    <cellStyle name="Input 8 3 2 2 2 3 6" xfId="38692"/>
    <cellStyle name="Input 8 3 2 2 2 4" xfId="38693"/>
    <cellStyle name="Input 8 3 2 2 2 4 2" xfId="38694"/>
    <cellStyle name="Input 8 3 2 2 2 5" xfId="38695"/>
    <cellStyle name="Input 8 3 2 2 2 5 2" xfId="38696"/>
    <cellStyle name="Input 8 3 2 2 2 6" xfId="38697"/>
    <cellStyle name="Input 8 3 2 2 2 7" xfId="38698"/>
    <cellStyle name="Input 8 3 2 2 2 8" xfId="38699"/>
    <cellStyle name="Input 8 3 2 2 3" xfId="38700"/>
    <cellStyle name="Input 8 3 2 2 3 2" xfId="38701"/>
    <cellStyle name="Input 8 3 2 2 3 2 2" xfId="38702"/>
    <cellStyle name="Input 8 3 2 2 3 2 2 2" xfId="38703"/>
    <cellStyle name="Input 8 3 2 2 3 2 2 2 2" xfId="38704"/>
    <cellStyle name="Input 8 3 2 2 3 2 2 3" xfId="38705"/>
    <cellStyle name="Input 8 3 2 2 3 2 2 3 2" xfId="38706"/>
    <cellStyle name="Input 8 3 2 2 3 2 2 4" xfId="38707"/>
    <cellStyle name="Input 8 3 2 2 3 2 2 5" xfId="38708"/>
    <cellStyle name="Input 8 3 2 2 3 2 2 6" xfId="38709"/>
    <cellStyle name="Input 8 3 2 2 3 2 3" xfId="38710"/>
    <cellStyle name="Input 8 3 2 2 3 2 3 2" xfId="38711"/>
    <cellStyle name="Input 8 3 2 2 3 2 4" xfId="38712"/>
    <cellStyle name="Input 8 3 2 2 3 2 4 2" xfId="38713"/>
    <cellStyle name="Input 8 3 2 2 3 2 5" xfId="38714"/>
    <cellStyle name="Input 8 3 2 2 3 2 6" xfId="38715"/>
    <cellStyle name="Input 8 3 2 2 3 2 7" xfId="38716"/>
    <cellStyle name="Input 8 3 2 2 3 3" xfId="38717"/>
    <cellStyle name="Input 8 3 2 2 3 3 2" xfId="38718"/>
    <cellStyle name="Input 8 3 2 2 3 3 2 2" xfId="38719"/>
    <cellStyle name="Input 8 3 2 2 3 3 3" xfId="38720"/>
    <cellStyle name="Input 8 3 2 2 3 3 3 2" xfId="38721"/>
    <cellStyle name="Input 8 3 2 2 3 3 4" xfId="38722"/>
    <cellStyle name="Input 8 3 2 2 3 3 5" xfId="38723"/>
    <cellStyle name="Input 8 3 2 2 3 3 6" xfId="38724"/>
    <cellStyle name="Input 8 3 2 2 3 4" xfId="38725"/>
    <cellStyle name="Input 8 3 2 2 3 4 2" xfId="38726"/>
    <cellStyle name="Input 8 3 2 2 3 5" xfId="38727"/>
    <cellStyle name="Input 8 3 2 2 3 5 2" xfId="38728"/>
    <cellStyle name="Input 8 3 2 2 3 6" xfId="38729"/>
    <cellStyle name="Input 8 3 2 2 3 7" xfId="38730"/>
    <cellStyle name="Input 8 3 2 2 3 8" xfId="38731"/>
    <cellStyle name="Input 8 3 2 2 4" xfId="38732"/>
    <cellStyle name="Input 8 3 2 2 4 2" xfId="38733"/>
    <cellStyle name="Input 8 3 2 2 4 2 2" xfId="38734"/>
    <cellStyle name="Input 8 3 2 2 4 2 2 2" xfId="38735"/>
    <cellStyle name="Input 8 3 2 2 4 2 3" xfId="38736"/>
    <cellStyle name="Input 8 3 2 2 4 2 3 2" xfId="38737"/>
    <cellStyle name="Input 8 3 2 2 4 2 4" xfId="38738"/>
    <cellStyle name="Input 8 3 2 2 4 2 5" xfId="38739"/>
    <cellStyle name="Input 8 3 2 2 4 2 6" xfId="38740"/>
    <cellStyle name="Input 8 3 2 2 4 3" xfId="38741"/>
    <cellStyle name="Input 8 3 2 2 4 3 2" xfId="38742"/>
    <cellStyle name="Input 8 3 2 2 4 4" xfId="38743"/>
    <cellStyle name="Input 8 3 2 2 4 4 2" xfId="38744"/>
    <cellStyle name="Input 8 3 2 2 4 5" xfId="38745"/>
    <cellStyle name="Input 8 3 2 2 4 6" xfId="38746"/>
    <cellStyle name="Input 8 3 2 2 4 7" xfId="38747"/>
    <cellStyle name="Input 8 3 2 2 5" xfId="38748"/>
    <cellStyle name="Input 8 3 2 2 5 2" xfId="38749"/>
    <cellStyle name="Input 8 3 2 2 5 2 2" xfId="38750"/>
    <cellStyle name="Input 8 3 2 2 5 3" xfId="38751"/>
    <cellStyle name="Input 8 3 2 2 5 3 2" xfId="38752"/>
    <cellStyle name="Input 8 3 2 2 5 4" xfId="38753"/>
    <cellStyle name="Input 8 3 2 2 5 5" xfId="38754"/>
    <cellStyle name="Input 8 3 2 2 5 6" xfId="38755"/>
    <cellStyle name="Input 8 3 2 2 6" xfId="38756"/>
    <cellStyle name="Input 8 3 2 2 6 2" xfId="38757"/>
    <cellStyle name="Input 8 3 2 2 7" xfId="38758"/>
    <cellStyle name="Input 8 3 2 2 7 2" xfId="38759"/>
    <cellStyle name="Input 8 3 2 2 8" xfId="38760"/>
    <cellStyle name="Input 8 3 2 2 9" xfId="38761"/>
    <cellStyle name="Input 8 3 2 3" xfId="38762"/>
    <cellStyle name="Input 8 3 2 3 2" xfId="38763"/>
    <cellStyle name="Input 8 3 2 3 2 2" xfId="38764"/>
    <cellStyle name="Input 8 3 2 3 2 2 2" xfId="38765"/>
    <cellStyle name="Input 8 3 2 3 2 2 2 2" xfId="38766"/>
    <cellStyle name="Input 8 3 2 3 2 2 3" xfId="38767"/>
    <cellStyle name="Input 8 3 2 3 2 2 3 2" xfId="38768"/>
    <cellStyle name="Input 8 3 2 3 2 2 4" xfId="38769"/>
    <cellStyle name="Input 8 3 2 3 2 2 5" xfId="38770"/>
    <cellStyle name="Input 8 3 2 3 2 2 6" xfId="38771"/>
    <cellStyle name="Input 8 3 2 3 2 3" xfId="38772"/>
    <cellStyle name="Input 8 3 2 3 2 3 2" xfId="38773"/>
    <cellStyle name="Input 8 3 2 3 2 4" xfId="38774"/>
    <cellStyle name="Input 8 3 2 3 2 4 2" xfId="38775"/>
    <cellStyle name="Input 8 3 2 3 2 5" xfId="38776"/>
    <cellStyle name="Input 8 3 2 3 2 6" xfId="38777"/>
    <cellStyle name="Input 8 3 2 3 2 7" xfId="38778"/>
    <cellStyle name="Input 8 3 2 3 3" xfId="38779"/>
    <cellStyle name="Input 8 3 2 3 3 2" xfId="38780"/>
    <cellStyle name="Input 8 3 2 3 3 2 2" xfId="38781"/>
    <cellStyle name="Input 8 3 2 3 3 3" xfId="38782"/>
    <cellStyle name="Input 8 3 2 3 3 3 2" xfId="38783"/>
    <cellStyle name="Input 8 3 2 3 3 4" xfId="38784"/>
    <cellStyle name="Input 8 3 2 3 3 5" xfId="38785"/>
    <cellStyle name="Input 8 3 2 3 3 6" xfId="38786"/>
    <cellStyle name="Input 8 3 2 3 4" xfId="38787"/>
    <cellStyle name="Input 8 3 2 3 4 2" xfId="38788"/>
    <cellStyle name="Input 8 3 2 3 5" xfId="38789"/>
    <cellStyle name="Input 8 3 2 3 5 2" xfId="38790"/>
    <cellStyle name="Input 8 3 2 3 6" xfId="38791"/>
    <cellStyle name="Input 8 3 2 3 7" xfId="38792"/>
    <cellStyle name="Input 8 3 2 3 8" xfId="38793"/>
    <cellStyle name="Input 8 3 2 4" xfId="38794"/>
    <cellStyle name="Input 8 3 2 4 2" xfId="38795"/>
    <cellStyle name="Input 8 3 2 4 2 2" xfId="38796"/>
    <cellStyle name="Input 8 3 2 4 2 2 2" xfId="38797"/>
    <cellStyle name="Input 8 3 2 4 2 3" xfId="38798"/>
    <cellStyle name="Input 8 3 2 4 2 3 2" xfId="38799"/>
    <cellStyle name="Input 8 3 2 4 2 4" xfId="38800"/>
    <cellStyle name="Input 8 3 2 4 2 5" xfId="38801"/>
    <cellStyle name="Input 8 3 2 4 2 6" xfId="38802"/>
    <cellStyle name="Input 8 3 2 4 3" xfId="38803"/>
    <cellStyle name="Input 8 3 2 4 3 2" xfId="38804"/>
    <cellStyle name="Input 8 3 2 4 4" xfId="38805"/>
    <cellStyle name="Input 8 3 2 4 4 2" xfId="38806"/>
    <cellStyle name="Input 8 3 2 4 5" xfId="38807"/>
    <cellStyle name="Input 8 3 2 4 6" xfId="38808"/>
    <cellStyle name="Input 8 3 2 4 7" xfId="38809"/>
    <cellStyle name="Input 8 3 2 5" xfId="38810"/>
    <cellStyle name="Input 8 3 2 5 2" xfId="38811"/>
    <cellStyle name="Input 8 3 2 5 2 2" xfId="38812"/>
    <cellStyle name="Input 8 3 2 5 3" xfId="38813"/>
    <cellStyle name="Input 8 3 2 5 3 2" xfId="38814"/>
    <cellStyle name="Input 8 3 2 5 4" xfId="38815"/>
    <cellStyle name="Input 8 3 2 5 5" xfId="38816"/>
    <cellStyle name="Input 8 3 2 5 6" xfId="38817"/>
    <cellStyle name="Input 8 3 2 6" xfId="38818"/>
    <cellStyle name="Input 8 3 2 6 2" xfId="38819"/>
    <cellStyle name="Input 8 3 2 7" xfId="38820"/>
    <cellStyle name="Input 8 3 2 7 2" xfId="38821"/>
    <cellStyle name="Input 8 3 2 8" xfId="38822"/>
    <cellStyle name="Input 8 3 2 9" xfId="38823"/>
    <cellStyle name="Input 8 3 3" xfId="38824"/>
    <cellStyle name="Input 8 3 3 10" xfId="38825"/>
    <cellStyle name="Input 8 3 3 2" xfId="38826"/>
    <cellStyle name="Input 8 3 3 2 2" xfId="38827"/>
    <cellStyle name="Input 8 3 3 2 2 2" xfId="38828"/>
    <cellStyle name="Input 8 3 3 2 2 2 2" xfId="38829"/>
    <cellStyle name="Input 8 3 3 2 2 2 2 2" xfId="38830"/>
    <cellStyle name="Input 8 3 3 2 2 2 3" xfId="38831"/>
    <cellStyle name="Input 8 3 3 2 2 2 3 2" xfId="38832"/>
    <cellStyle name="Input 8 3 3 2 2 2 4" xfId="38833"/>
    <cellStyle name="Input 8 3 3 2 2 2 5" xfId="38834"/>
    <cellStyle name="Input 8 3 3 2 2 2 6" xfId="38835"/>
    <cellStyle name="Input 8 3 3 2 2 3" xfId="38836"/>
    <cellStyle name="Input 8 3 3 2 2 3 2" xfId="38837"/>
    <cellStyle name="Input 8 3 3 2 2 4" xfId="38838"/>
    <cellStyle name="Input 8 3 3 2 2 4 2" xfId="38839"/>
    <cellStyle name="Input 8 3 3 2 2 5" xfId="38840"/>
    <cellStyle name="Input 8 3 3 2 2 6" xfId="38841"/>
    <cellStyle name="Input 8 3 3 2 2 7" xfId="38842"/>
    <cellStyle name="Input 8 3 3 2 3" xfId="38843"/>
    <cellStyle name="Input 8 3 3 2 3 2" xfId="38844"/>
    <cellStyle name="Input 8 3 3 2 3 2 2" xfId="38845"/>
    <cellStyle name="Input 8 3 3 2 3 3" xfId="38846"/>
    <cellStyle name="Input 8 3 3 2 3 3 2" xfId="38847"/>
    <cellStyle name="Input 8 3 3 2 3 4" xfId="38848"/>
    <cellStyle name="Input 8 3 3 2 3 5" xfId="38849"/>
    <cellStyle name="Input 8 3 3 2 3 6" xfId="38850"/>
    <cellStyle name="Input 8 3 3 2 4" xfId="38851"/>
    <cellStyle name="Input 8 3 3 2 4 2" xfId="38852"/>
    <cellStyle name="Input 8 3 3 2 5" xfId="38853"/>
    <cellStyle name="Input 8 3 3 2 5 2" xfId="38854"/>
    <cellStyle name="Input 8 3 3 2 6" xfId="38855"/>
    <cellStyle name="Input 8 3 3 2 7" xfId="38856"/>
    <cellStyle name="Input 8 3 3 2 8" xfId="38857"/>
    <cellStyle name="Input 8 3 3 3" xfId="38858"/>
    <cellStyle name="Input 8 3 3 3 2" xfId="38859"/>
    <cellStyle name="Input 8 3 3 3 2 2" xfId="38860"/>
    <cellStyle name="Input 8 3 3 3 2 2 2" xfId="38861"/>
    <cellStyle name="Input 8 3 3 3 2 2 2 2" xfId="38862"/>
    <cellStyle name="Input 8 3 3 3 2 2 3" xfId="38863"/>
    <cellStyle name="Input 8 3 3 3 2 2 3 2" xfId="38864"/>
    <cellStyle name="Input 8 3 3 3 2 2 4" xfId="38865"/>
    <cellStyle name="Input 8 3 3 3 2 2 5" xfId="38866"/>
    <cellStyle name="Input 8 3 3 3 2 2 6" xfId="38867"/>
    <cellStyle name="Input 8 3 3 3 2 3" xfId="38868"/>
    <cellStyle name="Input 8 3 3 3 2 3 2" xfId="38869"/>
    <cellStyle name="Input 8 3 3 3 2 4" xfId="38870"/>
    <cellStyle name="Input 8 3 3 3 2 4 2" xfId="38871"/>
    <cellStyle name="Input 8 3 3 3 2 5" xfId="38872"/>
    <cellStyle name="Input 8 3 3 3 2 6" xfId="38873"/>
    <cellStyle name="Input 8 3 3 3 2 7" xfId="38874"/>
    <cellStyle name="Input 8 3 3 3 3" xfId="38875"/>
    <cellStyle name="Input 8 3 3 3 3 2" xfId="38876"/>
    <cellStyle name="Input 8 3 3 3 3 2 2" xfId="38877"/>
    <cellStyle name="Input 8 3 3 3 3 3" xfId="38878"/>
    <cellStyle name="Input 8 3 3 3 3 3 2" xfId="38879"/>
    <cellStyle name="Input 8 3 3 3 3 4" xfId="38880"/>
    <cellStyle name="Input 8 3 3 3 3 5" xfId="38881"/>
    <cellStyle name="Input 8 3 3 3 3 6" xfId="38882"/>
    <cellStyle name="Input 8 3 3 3 4" xfId="38883"/>
    <cellStyle name="Input 8 3 3 3 4 2" xfId="38884"/>
    <cellStyle name="Input 8 3 3 3 5" xfId="38885"/>
    <cellStyle name="Input 8 3 3 3 5 2" xfId="38886"/>
    <cellStyle name="Input 8 3 3 3 6" xfId="38887"/>
    <cellStyle name="Input 8 3 3 3 7" xfId="38888"/>
    <cellStyle name="Input 8 3 3 3 8" xfId="38889"/>
    <cellStyle name="Input 8 3 3 4" xfId="38890"/>
    <cellStyle name="Input 8 3 3 4 2" xfId="38891"/>
    <cellStyle name="Input 8 3 3 4 2 2" xfId="38892"/>
    <cellStyle name="Input 8 3 3 4 2 2 2" xfId="38893"/>
    <cellStyle name="Input 8 3 3 4 2 3" xfId="38894"/>
    <cellStyle name="Input 8 3 3 4 2 3 2" xfId="38895"/>
    <cellStyle name="Input 8 3 3 4 2 4" xfId="38896"/>
    <cellStyle name="Input 8 3 3 4 2 5" xfId="38897"/>
    <cellStyle name="Input 8 3 3 4 2 6" xfId="38898"/>
    <cellStyle name="Input 8 3 3 4 3" xfId="38899"/>
    <cellStyle name="Input 8 3 3 4 3 2" xfId="38900"/>
    <cellStyle name="Input 8 3 3 4 4" xfId="38901"/>
    <cellStyle name="Input 8 3 3 4 4 2" xfId="38902"/>
    <cellStyle name="Input 8 3 3 4 5" xfId="38903"/>
    <cellStyle name="Input 8 3 3 4 6" xfId="38904"/>
    <cellStyle name="Input 8 3 3 4 7" xfId="38905"/>
    <cellStyle name="Input 8 3 3 5" xfId="38906"/>
    <cellStyle name="Input 8 3 3 5 2" xfId="38907"/>
    <cellStyle name="Input 8 3 3 5 2 2" xfId="38908"/>
    <cellStyle name="Input 8 3 3 5 3" xfId="38909"/>
    <cellStyle name="Input 8 3 3 5 3 2" xfId="38910"/>
    <cellStyle name="Input 8 3 3 5 4" xfId="38911"/>
    <cellStyle name="Input 8 3 3 5 5" xfId="38912"/>
    <cellStyle name="Input 8 3 3 5 6" xfId="38913"/>
    <cellStyle name="Input 8 3 3 6" xfId="38914"/>
    <cellStyle name="Input 8 3 3 6 2" xfId="38915"/>
    <cellStyle name="Input 8 3 3 7" xfId="38916"/>
    <cellStyle name="Input 8 3 3 7 2" xfId="38917"/>
    <cellStyle name="Input 8 3 3 8" xfId="38918"/>
    <cellStyle name="Input 8 3 3 9" xfId="38919"/>
    <cellStyle name="Input 8 3 4" xfId="38920"/>
    <cellStyle name="Input 8 3 4 2" xfId="38921"/>
    <cellStyle name="Input 8 3 4 2 2" xfId="38922"/>
    <cellStyle name="Input 8 3 4 2 2 2" xfId="38923"/>
    <cellStyle name="Input 8 3 4 2 2 2 2" xfId="38924"/>
    <cellStyle name="Input 8 3 4 2 2 3" xfId="38925"/>
    <cellStyle name="Input 8 3 4 2 2 3 2" xfId="38926"/>
    <cellStyle name="Input 8 3 4 2 2 4" xfId="38927"/>
    <cellStyle name="Input 8 3 4 2 2 5" xfId="38928"/>
    <cellStyle name="Input 8 3 4 2 2 6" xfId="38929"/>
    <cellStyle name="Input 8 3 4 2 3" xfId="38930"/>
    <cellStyle name="Input 8 3 4 2 3 2" xfId="38931"/>
    <cellStyle name="Input 8 3 4 2 4" xfId="38932"/>
    <cellStyle name="Input 8 3 4 2 4 2" xfId="38933"/>
    <cellStyle name="Input 8 3 4 2 5" xfId="38934"/>
    <cellStyle name="Input 8 3 4 2 6" xfId="38935"/>
    <cellStyle name="Input 8 3 4 2 7" xfId="38936"/>
    <cellStyle name="Input 8 3 4 3" xfId="38937"/>
    <cellStyle name="Input 8 3 4 3 2" xfId="38938"/>
    <cellStyle name="Input 8 3 4 3 2 2" xfId="38939"/>
    <cellStyle name="Input 8 3 4 3 3" xfId="38940"/>
    <cellStyle name="Input 8 3 4 3 3 2" xfId="38941"/>
    <cellStyle name="Input 8 3 4 3 4" xfId="38942"/>
    <cellStyle name="Input 8 3 4 3 5" xfId="38943"/>
    <cellStyle name="Input 8 3 4 3 6" xfId="38944"/>
    <cellStyle name="Input 8 3 4 4" xfId="38945"/>
    <cellStyle name="Input 8 3 4 4 2" xfId="38946"/>
    <cellStyle name="Input 8 3 4 5" xfId="38947"/>
    <cellStyle name="Input 8 3 4 5 2" xfId="38948"/>
    <cellStyle name="Input 8 3 4 6" xfId="38949"/>
    <cellStyle name="Input 8 3 4 7" xfId="38950"/>
    <cellStyle name="Input 8 3 4 8" xfId="38951"/>
    <cellStyle name="Input 8 3 5" xfId="38952"/>
    <cellStyle name="Input 8 3 5 2" xfId="38953"/>
    <cellStyle name="Input 8 3 5 2 2" xfId="38954"/>
    <cellStyle name="Input 8 3 5 2 2 2" xfId="38955"/>
    <cellStyle name="Input 8 3 5 2 3" xfId="38956"/>
    <cellStyle name="Input 8 3 5 2 3 2" xfId="38957"/>
    <cellStyle name="Input 8 3 5 2 4" xfId="38958"/>
    <cellStyle name="Input 8 3 5 2 5" xfId="38959"/>
    <cellStyle name="Input 8 3 5 2 6" xfId="38960"/>
    <cellStyle name="Input 8 3 5 3" xfId="38961"/>
    <cellStyle name="Input 8 3 5 3 2" xfId="38962"/>
    <cellStyle name="Input 8 3 5 4" xfId="38963"/>
    <cellStyle name="Input 8 3 5 4 2" xfId="38964"/>
    <cellStyle name="Input 8 3 5 5" xfId="38965"/>
    <cellStyle name="Input 8 3 5 6" xfId="38966"/>
    <cellStyle name="Input 8 3 5 7" xfId="38967"/>
    <cellStyle name="Input 8 3 6" xfId="38968"/>
    <cellStyle name="Input 8 3 6 2" xfId="38969"/>
    <cellStyle name="Input 8 3 6 2 2" xfId="38970"/>
    <cellStyle name="Input 8 3 6 3" xfId="38971"/>
    <cellStyle name="Input 8 3 6 3 2" xfId="38972"/>
    <cellStyle name="Input 8 3 6 4" xfId="38973"/>
    <cellStyle name="Input 8 3 6 5" xfId="38974"/>
    <cellStyle name="Input 8 3 6 6" xfId="38975"/>
    <cellStyle name="Input 8 3 7" xfId="38976"/>
    <cellStyle name="Input 8 3 7 2" xfId="38977"/>
    <cellStyle name="Input 8 3 8" xfId="38978"/>
    <cellStyle name="Input 8 3 8 2" xfId="38979"/>
    <cellStyle name="Input 8 3 9" xfId="38980"/>
    <cellStyle name="Input 8 4" xfId="38981"/>
    <cellStyle name="Input 8 4 10" xfId="38982"/>
    <cellStyle name="Input 8 4 11" xfId="38983"/>
    <cellStyle name="Input 8 4 2" xfId="38984"/>
    <cellStyle name="Input 8 4 2 10" xfId="38985"/>
    <cellStyle name="Input 8 4 2 2" xfId="38986"/>
    <cellStyle name="Input 8 4 2 2 2" xfId="38987"/>
    <cellStyle name="Input 8 4 2 2 2 2" xfId="38988"/>
    <cellStyle name="Input 8 4 2 2 2 2 2" xfId="38989"/>
    <cellStyle name="Input 8 4 2 2 2 2 2 2" xfId="38990"/>
    <cellStyle name="Input 8 4 2 2 2 2 3" xfId="38991"/>
    <cellStyle name="Input 8 4 2 2 2 2 3 2" xfId="38992"/>
    <cellStyle name="Input 8 4 2 2 2 2 4" xfId="38993"/>
    <cellStyle name="Input 8 4 2 2 2 2 5" xfId="38994"/>
    <cellStyle name="Input 8 4 2 2 2 2 6" xfId="38995"/>
    <cellStyle name="Input 8 4 2 2 2 3" xfId="38996"/>
    <cellStyle name="Input 8 4 2 2 2 3 2" xfId="38997"/>
    <cellStyle name="Input 8 4 2 2 2 4" xfId="38998"/>
    <cellStyle name="Input 8 4 2 2 2 4 2" xfId="38999"/>
    <cellStyle name="Input 8 4 2 2 2 5" xfId="39000"/>
    <cellStyle name="Input 8 4 2 2 2 6" xfId="39001"/>
    <cellStyle name="Input 8 4 2 2 2 7" xfId="39002"/>
    <cellStyle name="Input 8 4 2 2 3" xfId="39003"/>
    <cellStyle name="Input 8 4 2 2 3 2" xfId="39004"/>
    <cellStyle name="Input 8 4 2 2 3 2 2" xfId="39005"/>
    <cellStyle name="Input 8 4 2 2 3 3" xfId="39006"/>
    <cellStyle name="Input 8 4 2 2 3 3 2" xfId="39007"/>
    <cellStyle name="Input 8 4 2 2 3 4" xfId="39008"/>
    <cellStyle name="Input 8 4 2 2 3 5" xfId="39009"/>
    <cellStyle name="Input 8 4 2 2 3 6" xfId="39010"/>
    <cellStyle name="Input 8 4 2 2 4" xfId="39011"/>
    <cellStyle name="Input 8 4 2 2 4 2" xfId="39012"/>
    <cellStyle name="Input 8 4 2 2 5" xfId="39013"/>
    <cellStyle name="Input 8 4 2 2 5 2" xfId="39014"/>
    <cellStyle name="Input 8 4 2 2 6" xfId="39015"/>
    <cellStyle name="Input 8 4 2 2 7" xfId="39016"/>
    <cellStyle name="Input 8 4 2 2 8" xfId="39017"/>
    <cellStyle name="Input 8 4 2 3" xfId="39018"/>
    <cellStyle name="Input 8 4 2 3 2" xfId="39019"/>
    <cellStyle name="Input 8 4 2 3 2 2" xfId="39020"/>
    <cellStyle name="Input 8 4 2 3 2 2 2" xfId="39021"/>
    <cellStyle name="Input 8 4 2 3 2 2 2 2" xfId="39022"/>
    <cellStyle name="Input 8 4 2 3 2 2 3" xfId="39023"/>
    <cellStyle name="Input 8 4 2 3 2 2 3 2" xfId="39024"/>
    <cellStyle name="Input 8 4 2 3 2 2 4" xfId="39025"/>
    <cellStyle name="Input 8 4 2 3 2 2 5" xfId="39026"/>
    <cellStyle name="Input 8 4 2 3 2 2 6" xfId="39027"/>
    <cellStyle name="Input 8 4 2 3 2 3" xfId="39028"/>
    <cellStyle name="Input 8 4 2 3 2 3 2" xfId="39029"/>
    <cellStyle name="Input 8 4 2 3 2 4" xfId="39030"/>
    <cellStyle name="Input 8 4 2 3 2 4 2" xfId="39031"/>
    <cellStyle name="Input 8 4 2 3 2 5" xfId="39032"/>
    <cellStyle name="Input 8 4 2 3 2 6" xfId="39033"/>
    <cellStyle name="Input 8 4 2 3 2 7" xfId="39034"/>
    <cellStyle name="Input 8 4 2 3 3" xfId="39035"/>
    <cellStyle name="Input 8 4 2 3 3 2" xfId="39036"/>
    <cellStyle name="Input 8 4 2 3 3 2 2" xfId="39037"/>
    <cellStyle name="Input 8 4 2 3 3 3" xfId="39038"/>
    <cellStyle name="Input 8 4 2 3 3 3 2" xfId="39039"/>
    <cellStyle name="Input 8 4 2 3 3 4" xfId="39040"/>
    <cellStyle name="Input 8 4 2 3 3 5" xfId="39041"/>
    <cellStyle name="Input 8 4 2 3 3 6" xfId="39042"/>
    <cellStyle name="Input 8 4 2 3 4" xfId="39043"/>
    <cellStyle name="Input 8 4 2 3 4 2" xfId="39044"/>
    <cellStyle name="Input 8 4 2 3 5" xfId="39045"/>
    <cellStyle name="Input 8 4 2 3 5 2" xfId="39046"/>
    <cellStyle name="Input 8 4 2 3 6" xfId="39047"/>
    <cellStyle name="Input 8 4 2 3 7" xfId="39048"/>
    <cellStyle name="Input 8 4 2 3 8" xfId="39049"/>
    <cellStyle name="Input 8 4 2 4" xfId="39050"/>
    <cellStyle name="Input 8 4 2 4 2" xfId="39051"/>
    <cellStyle name="Input 8 4 2 4 2 2" xfId="39052"/>
    <cellStyle name="Input 8 4 2 4 2 2 2" xfId="39053"/>
    <cellStyle name="Input 8 4 2 4 2 3" xfId="39054"/>
    <cellStyle name="Input 8 4 2 4 2 3 2" xfId="39055"/>
    <cellStyle name="Input 8 4 2 4 2 4" xfId="39056"/>
    <cellStyle name="Input 8 4 2 4 2 5" xfId="39057"/>
    <cellStyle name="Input 8 4 2 4 2 6" xfId="39058"/>
    <cellStyle name="Input 8 4 2 4 3" xfId="39059"/>
    <cellStyle name="Input 8 4 2 4 3 2" xfId="39060"/>
    <cellStyle name="Input 8 4 2 4 4" xfId="39061"/>
    <cellStyle name="Input 8 4 2 4 4 2" xfId="39062"/>
    <cellStyle name="Input 8 4 2 4 5" xfId="39063"/>
    <cellStyle name="Input 8 4 2 4 6" xfId="39064"/>
    <cellStyle name="Input 8 4 2 4 7" xfId="39065"/>
    <cellStyle name="Input 8 4 2 5" xfId="39066"/>
    <cellStyle name="Input 8 4 2 5 2" xfId="39067"/>
    <cellStyle name="Input 8 4 2 5 2 2" xfId="39068"/>
    <cellStyle name="Input 8 4 2 5 3" xfId="39069"/>
    <cellStyle name="Input 8 4 2 5 3 2" xfId="39070"/>
    <cellStyle name="Input 8 4 2 5 4" xfId="39071"/>
    <cellStyle name="Input 8 4 2 5 5" xfId="39072"/>
    <cellStyle name="Input 8 4 2 5 6" xfId="39073"/>
    <cellStyle name="Input 8 4 2 6" xfId="39074"/>
    <cellStyle name="Input 8 4 2 6 2" xfId="39075"/>
    <cellStyle name="Input 8 4 2 7" xfId="39076"/>
    <cellStyle name="Input 8 4 2 7 2" xfId="39077"/>
    <cellStyle name="Input 8 4 2 8" xfId="39078"/>
    <cellStyle name="Input 8 4 2 9" xfId="39079"/>
    <cellStyle name="Input 8 4 3" xfId="39080"/>
    <cellStyle name="Input 8 4 3 2" xfId="39081"/>
    <cellStyle name="Input 8 4 3 2 2" xfId="39082"/>
    <cellStyle name="Input 8 4 3 2 2 2" xfId="39083"/>
    <cellStyle name="Input 8 4 3 2 2 2 2" xfId="39084"/>
    <cellStyle name="Input 8 4 3 2 2 3" xfId="39085"/>
    <cellStyle name="Input 8 4 3 2 2 3 2" xfId="39086"/>
    <cellStyle name="Input 8 4 3 2 2 4" xfId="39087"/>
    <cellStyle name="Input 8 4 3 2 2 5" xfId="39088"/>
    <cellStyle name="Input 8 4 3 2 2 6" xfId="39089"/>
    <cellStyle name="Input 8 4 3 2 3" xfId="39090"/>
    <cellStyle name="Input 8 4 3 2 3 2" xfId="39091"/>
    <cellStyle name="Input 8 4 3 2 4" xfId="39092"/>
    <cellStyle name="Input 8 4 3 2 4 2" xfId="39093"/>
    <cellStyle name="Input 8 4 3 2 5" xfId="39094"/>
    <cellStyle name="Input 8 4 3 2 6" xfId="39095"/>
    <cellStyle name="Input 8 4 3 2 7" xfId="39096"/>
    <cellStyle name="Input 8 4 3 3" xfId="39097"/>
    <cellStyle name="Input 8 4 3 3 2" xfId="39098"/>
    <cellStyle name="Input 8 4 3 3 2 2" xfId="39099"/>
    <cellStyle name="Input 8 4 3 3 3" xfId="39100"/>
    <cellStyle name="Input 8 4 3 3 3 2" xfId="39101"/>
    <cellStyle name="Input 8 4 3 3 4" xfId="39102"/>
    <cellStyle name="Input 8 4 3 3 5" xfId="39103"/>
    <cellStyle name="Input 8 4 3 3 6" xfId="39104"/>
    <cellStyle name="Input 8 4 3 4" xfId="39105"/>
    <cellStyle name="Input 8 4 3 4 2" xfId="39106"/>
    <cellStyle name="Input 8 4 3 5" xfId="39107"/>
    <cellStyle name="Input 8 4 3 5 2" xfId="39108"/>
    <cellStyle name="Input 8 4 3 6" xfId="39109"/>
    <cellStyle name="Input 8 4 3 7" xfId="39110"/>
    <cellStyle name="Input 8 4 3 8" xfId="39111"/>
    <cellStyle name="Input 8 4 4" xfId="39112"/>
    <cellStyle name="Input 8 4 4 2" xfId="39113"/>
    <cellStyle name="Input 8 4 4 2 2" xfId="39114"/>
    <cellStyle name="Input 8 4 4 2 2 2" xfId="39115"/>
    <cellStyle name="Input 8 4 4 2 2 2 2" xfId="39116"/>
    <cellStyle name="Input 8 4 4 2 2 3" xfId="39117"/>
    <cellStyle name="Input 8 4 4 2 2 3 2" xfId="39118"/>
    <cellStyle name="Input 8 4 4 2 2 4" xfId="39119"/>
    <cellStyle name="Input 8 4 4 2 2 5" xfId="39120"/>
    <cellStyle name="Input 8 4 4 2 2 6" xfId="39121"/>
    <cellStyle name="Input 8 4 4 2 3" xfId="39122"/>
    <cellStyle name="Input 8 4 4 2 3 2" xfId="39123"/>
    <cellStyle name="Input 8 4 4 2 4" xfId="39124"/>
    <cellStyle name="Input 8 4 4 2 4 2" xfId="39125"/>
    <cellStyle name="Input 8 4 4 2 5" xfId="39126"/>
    <cellStyle name="Input 8 4 4 2 6" xfId="39127"/>
    <cellStyle name="Input 8 4 4 2 7" xfId="39128"/>
    <cellStyle name="Input 8 4 4 3" xfId="39129"/>
    <cellStyle name="Input 8 4 4 3 2" xfId="39130"/>
    <cellStyle name="Input 8 4 4 3 2 2" xfId="39131"/>
    <cellStyle name="Input 8 4 4 3 3" xfId="39132"/>
    <cellStyle name="Input 8 4 4 3 3 2" xfId="39133"/>
    <cellStyle name="Input 8 4 4 3 4" xfId="39134"/>
    <cellStyle name="Input 8 4 4 3 5" xfId="39135"/>
    <cellStyle name="Input 8 4 4 3 6" xfId="39136"/>
    <cellStyle name="Input 8 4 4 4" xfId="39137"/>
    <cellStyle name="Input 8 4 4 4 2" xfId="39138"/>
    <cellStyle name="Input 8 4 4 5" xfId="39139"/>
    <cellStyle name="Input 8 4 4 5 2" xfId="39140"/>
    <cellStyle name="Input 8 4 4 6" xfId="39141"/>
    <cellStyle name="Input 8 4 4 7" xfId="39142"/>
    <cellStyle name="Input 8 4 4 8" xfId="39143"/>
    <cellStyle name="Input 8 4 5" xfId="39144"/>
    <cellStyle name="Input 8 4 5 2" xfId="39145"/>
    <cellStyle name="Input 8 4 5 2 2" xfId="39146"/>
    <cellStyle name="Input 8 4 5 2 2 2" xfId="39147"/>
    <cellStyle name="Input 8 4 5 2 3" xfId="39148"/>
    <cellStyle name="Input 8 4 5 2 3 2" xfId="39149"/>
    <cellStyle name="Input 8 4 5 2 4" xfId="39150"/>
    <cellStyle name="Input 8 4 5 2 5" xfId="39151"/>
    <cellStyle name="Input 8 4 5 2 6" xfId="39152"/>
    <cellStyle name="Input 8 4 5 3" xfId="39153"/>
    <cellStyle name="Input 8 4 5 3 2" xfId="39154"/>
    <cellStyle name="Input 8 4 5 4" xfId="39155"/>
    <cellStyle name="Input 8 4 5 4 2" xfId="39156"/>
    <cellStyle name="Input 8 4 5 5" xfId="39157"/>
    <cellStyle name="Input 8 4 5 6" xfId="39158"/>
    <cellStyle name="Input 8 4 5 7" xfId="39159"/>
    <cellStyle name="Input 8 4 6" xfId="39160"/>
    <cellStyle name="Input 8 4 6 2" xfId="39161"/>
    <cellStyle name="Input 8 4 6 2 2" xfId="39162"/>
    <cellStyle name="Input 8 4 6 3" xfId="39163"/>
    <cellStyle name="Input 8 4 6 3 2" xfId="39164"/>
    <cellStyle name="Input 8 4 6 4" xfId="39165"/>
    <cellStyle name="Input 8 4 6 5" xfId="39166"/>
    <cellStyle name="Input 8 4 6 6" xfId="39167"/>
    <cellStyle name="Input 8 4 7" xfId="39168"/>
    <cellStyle name="Input 8 4 7 2" xfId="39169"/>
    <cellStyle name="Input 8 4 8" xfId="39170"/>
    <cellStyle name="Input 8 4 8 2" xfId="39171"/>
    <cellStyle name="Input 8 4 9" xfId="39172"/>
    <cellStyle name="Input 8 5" xfId="39173"/>
    <cellStyle name="Input 8 5 10" xfId="39174"/>
    <cellStyle name="Input 8 5 2" xfId="39175"/>
    <cellStyle name="Input 8 5 2 2" xfId="39176"/>
    <cellStyle name="Input 8 5 2 2 2" xfId="39177"/>
    <cellStyle name="Input 8 5 2 2 2 2" xfId="39178"/>
    <cellStyle name="Input 8 5 2 2 2 2 2" xfId="39179"/>
    <cellStyle name="Input 8 5 2 2 2 3" xfId="39180"/>
    <cellStyle name="Input 8 5 2 2 2 3 2" xfId="39181"/>
    <cellStyle name="Input 8 5 2 2 2 4" xfId="39182"/>
    <cellStyle name="Input 8 5 2 2 2 5" xfId="39183"/>
    <cellStyle name="Input 8 5 2 2 2 6" xfId="39184"/>
    <cellStyle name="Input 8 5 2 2 3" xfId="39185"/>
    <cellStyle name="Input 8 5 2 2 3 2" xfId="39186"/>
    <cellStyle name="Input 8 5 2 2 4" xfId="39187"/>
    <cellStyle name="Input 8 5 2 2 4 2" xfId="39188"/>
    <cellStyle name="Input 8 5 2 2 5" xfId="39189"/>
    <cellStyle name="Input 8 5 2 2 6" xfId="39190"/>
    <cellStyle name="Input 8 5 2 2 7" xfId="39191"/>
    <cellStyle name="Input 8 5 2 3" xfId="39192"/>
    <cellStyle name="Input 8 5 2 3 2" xfId="39193"/>
    <cellStyle name="Input 8 5 2 3 2 2" xfId="39194"/>
    <cellStyle name="Input 8 5 2 3 3" xfId="39195"/>
    <cellStyle name="Input 8 5 2 3 3 2" xfId="39196"/>
    <cellStyle name="Input 8 5 2 3 4" xfId="39197"/>
    <cellStyle name="Input 8 5 2 3 5" xfId="39198"/>
    <cellStyle name="Input 8 5 2 3 6" xfId="39199"/>
    <cellStyle name="Input 8 5 2 4" xfId="39200"/>
    <cellStyle name="Input 8 5 2 4 2" xfId="39201"/>
    <cellStyle name="Input 8 5 2 5" xfId="39202"/>
    <cellStyle name="Input 8 5 2 5 2" xfId="39203"/>
    <cellStyle name="Input 8 5 2 6" xfId="39204"/>
    <cellStyle name="Input 8 5 2 7" xfId="39205"/>
    <cellStyle name="Input 8 5 2 8" xfId="39206"/>
    <cellStyle name="Input 8 5 3" xfId="39207"/>
    <cellStyle name="Input 8 5 3 2" xfId="39208"/>
    <cellStyle name="Input 8 5 3 2 2" xfId="39209"/>
    <cellStyle name="Input 8 5 3 2 2 2" xfId="39210"/>
    <cellStyle name="Input 8 5 3 2 2 2 2" xfId="39211"/>
    <cellStyle name="Input 8 5 3 2 2 3" xfId="39212"/>
    <cellStyle name="Input 8 5 3 2 2 3 2" xfId="39213"/>
    <cellStyle name="Input 8 5 3 2 2 4" xfId="39214"/>
    <cellStyle name="Input 8 5 3 2 2 5" xfId="39215"/>
    <cellStyle name="Input 8 5 3 2 2 6" xfId="39216"/>
    <cellStyle name="Input 8 5 3 2 3" xfId="39217"/>
    <cellStyle name="Input 8 5 3 2 3 2" xfId="39218"/>
    <cellStyle name="Input 8 5 3 2 4" xfId="39219"/>
    <cellStyle name="Input 8 5 3 2 4 2" xfId="39220"/>
    <cellStyle name="Input 8 5 3 2 5" xfId="39221"/>
    <cellStyle name="Input 8 5 3 2 6" xfId="39222"/>
    <cellStyle name="Input 8 5 3 2 7" xfId="39223"/>
    <cellStyle name="Input 8 5 3 3" xfId="39224"/>
    <cellStyle name="Input 8 5 3 3 2" xfId="39225"/>
    <cellStyle name="Input 8 5 3 3 2 2" xfId="39226"/>
    <cellStyle name="Input 8 5 3 3 3" xfId="39227"/>
    <cellStyle name="Input 8 5 3 3 3 2" xfId="39228"/>
    <cellStyle name="Input 8 5 3 3 4" xfId="39229"/>
    <cellStyle name="Input 8 5 3 3 5" xfId="39230"/>
    <cellStyle name="Input 8 5 3 3 6" xfId="39231"/>
    <cellStyle name="Input 8 5 3 4" xfId="39232"/>
    <cellStyle name="Input 8 5 3 4 2" xfId="39233"/>
    <cellStyle name="Input 8 5 3 5" xfId="39234"/>
    <cellStyle name="Input 8 5 3 5 2" xfId="39235"/>
    <cellStyle name="Input 8 5 3 6" xfId="39236"/>
    <cellStyle name="Input 8 5 3 7" xfId="39237"/>
    <cellStyle name="Input 8 5 3 8" xfId="39238"/>
    <cellStyle name="Input 8 5 4" xfId="39239"/>
    <cellStyle name="Input 8 5 4 2" xfId="39240"/>
    <cellStyle name="Input 8 5 4 2 2" xfId="39241"/>
    <cellStyle name="Input 8 5 4 2 2 2" xfId="39242"/>
    <cellStyle name="Input 8 5 4 2 3" xfId="39243"/>
    <cellStyle name="Input 8 5 4 2 3 2" xfId="39244"/>
    <cellStyle name="Input 8 5 4 2 4" xfId="39245"/>
    <cellStyle name="Input 8 5 4 2 5" xfId="39246"/>
    <cellStyle name="Input 8 5 4 2 6" xfId="39247"/>
    <cellStyle name="Input 8 5 4 3" xfId="39248"/>
    <cellStyle name="Input 8 5 4 3 2" xfId="39249"/>
    <cellStyle name="Input 8 5 4 4" xfId="39250"/>
    <cellStyle name="Input 8 5 4 4 2" xfId="39251"/>
    <cellStyle name="Input 8 5 4 5" xfId="39252"/>
    <cellStyle name="Input 8 5 4 6" xfId="39253"/>
    <cellStyle name="Input 8 5 4 7" xfId="39254"/>
    <cellStyle name="Input 8 5 5" xfId="39255"/>
    <cellStyle name="Input 8 5 5 2" xfId="39256"/>
    <cellStyle name="Input 8 5 5 2 2" xfId="39257"/>
    <cellStyle name="Input 8 5 5 3" xfId="39258"/>
    <cellStyle name="Input 8 5 5 3 2" xfId="39259"/>
    <cellStyle name="Input 8 5 5 4" xfId="39260"/>
    <cellStyle name="Input 8 5 5 5" xfId="39261"/>
    <cellStyle name="Input 8 5 5 6" xfId="39262"/>
    <cellStyle name="Input 8 5 6" xfId="39263"/>
    <cellStyle name="Input 8 5 6 2" xfId="39264"/>
    <cellStyle name="Input 8 5 7" xfId="39265"/>
    <cellStyle name="Input 8 5 7 2" xfId="39266"/>
    <cellStyle name="Input 8 5 8" xfId="39267"/>
    <cellStyle name="Input 8 5 9" xfId="39268"/>
    <cellStyle name="Input 8 6" xfId="39269"/>
    <cellStyle name="Input 8 6 2" xfId="39270"/>
    <cellStyle name="Input 8 6 2 2" xfId="39271"/>
    <cellStyle name="Input 8 6 2 2 2" xfId="39272"/>
    <cellStyle name="Input 8 6 2 2 2 2" xfId="39273"/>
    <cellStyle name="Input 8 6 2 2 3" xfId="39274"/>
    <cellStyle name="Input 8 6 2 2 3 2" xfId="39275"/>
    <cellStyle name="Input 8 6 2 2 4" xfId="39276"/>
    <cellStyle name="Input 8 6 2 2 5" xfId="39277"/>
    <cellStyle name="Input 8 6 2 2 6" xfId="39278"/>
    <cellStyle name="Input 8 6 2 3" xfId="39279"/>
    <cellStyle name="Input 8 6 2 3 2" xfId="39280"/>
    <cellStyle name="Input 8 6 2 4" xfId="39281"/>
    <cellStyle name="Input 8 6 2 4 2" xfId="39282"/>
    <cellStyle name="Input 8 6 2 5" xfId="39283"/>
    <cellStyle name="Input 8 6 2 6" xfId="39284"/>
    <cellStyle name="Input 8 6 2 7" xfId="39285"/>
    <cellStyle name="Input 8 6 3" xfId="39286"/>
    <cellStyle name="Input 8 6 3 2" xfId="39287"/>
    <cellStyle name="Input 8 6 3 2 2" xfId="39288"/>
    <cellStyle name="Input 8 6 3 3" xfId="39289"/>
    <cellStyle name="Input 8 6 3 3 2" xfId="39290"/>
    <cellStyle name="Input 8 6 3 4" xfId="39291"/>
    <cellStyle name="Input 8 6 3 5" xfId="39292"/>
    <cellStyle name="Input 8 6 3 6" xfId="39293"/>
    <cellStyle name="Input 8 6 4" xfId="39294"/>
    <cellStyle name="Input 8 6 4 2" xfId="39295"/>
    <cellStyle name="Input 8 6 5" xfId="39296"/>
    <cellStyle name="Input 8 6 5 2" xfId="39297"/>
    <cellStyle name="Input 8 6 6" xfId="39298"/>
    <cellStyle name="Input 8 6 7" xfId="39299"/>
    <cellStyle name="Input 8 6 8" xfId="39300"/>
    <cellStyle name="Input 8 7" xfId="39301"/>
    <cellStyle name="Input 8 7 2" xfId="39302"/>
    <cellStyle name="Input 8 7 2 2" xfId="39303"/>
    <cellStyle name="Input 8 7 2 2 2" xfId="39304"/>
    <cellStyle name="Input 8 7 2 3" xfId="39305"/>
    <cellStyle name="Input 8 7 2 3 2" xfId="39306"/>
    <cellStyle name="Input 8 7 2 4" xfId="39307"/>
    <cellStyle name="Input 8 7 2 5" xfId="39308"/>
    <cellStyle name="Input 8 7 2 6" xfId="39309"/>
    <cellStyle name="Input 8 7 3" xfId="39310"/>
    <cellStyle name="Input 8 7 3 2" xfId="39311"/>
    <cellStyle name="Input 8 7 4" xfId="39312"/>
    <cellStyle name="Input 8 7 4 2" xfId="39313"/>
    <cellStyle name="Input 8 7 5" xfId="39314"/>
    <cellStyle name="Input 8 7 6" xfId="39315"/>
    <cellStyle name="Input 8 7 7" xfId="39316"/>
    <cellStyle name="Input 8 8" xfId="39317"/>
    <cellStyle name="Input 8 8 2" xfId="39318"/>
    <cellStyle name="Input 8 9" xfId="39319"/>
    <cellStyle name="Input 8 9 2" xfId="39320"/>
    <cellStyle name="Input 9" xfId="39321"/>
    <cellStyle name="Input 9 10" xfId="39322"/>
    <cellStyle name="Input 9 11" xfId="39323"/>
    <cellStyle name="Input 9 12" xfId="39324"/>
    <cellStyle name="Input 9 2" xfId="39325"/>
    <cellStyle name="Input 9 2 10" xfId="39326"/>
    <cellStyle name="Input 9 2 11" xfId="39327"/>
    <cellStyle name="Input 9 2 12" xfId="39328"/>
    <cellStyle name="Input 9 2 2" xfId="39329"/>
    <cellStyle name="Input 9 2 2 10" xfId="39330"/>
    <cellStyle name="Input 9 2 2 11" xfId="39331"/>
    <cellStyle name="Input 9 2 2 2" xfId="39332"/>
    <cellStyle name="Input 9 2 2 2 10" xfId="39333"/>
    <cellStyle name="Input 9 2 2 2 2" xfId="39334"/>
    <cellStyle name="Input 9 2 2 2 2 2" xfId="39335"/>
    <cellStyle name="Input 9 2 2 2 2 2 2" xfId="39336"/>
    <cellStyle name="Input 9 2 2 2 2 2 2 2" xfId="39337"/>
    <cellStyle name="Input 9 2 2 2 2 2 2 2 2" xfId="39338"/>
    <cellStyle name="Input 9 2 2 2 2 2 2 3" xfId="39339"/>
    <cellStyle name="Input 9 2 2 2 2 2 2 3 2" xfId="39340"/>
    <cellStyle name="Input 9 2 2 2 2 2 2 4" xfId="39341"/>
    <cellStyle name="Input 9 2 2 2 2 2 2 5" xfId="39342"/>
    <cellStyle name="Input 9 2 2 2 2 2 2 6" xfId="39343"/>
    <cellStyle name="Input 9 2 2 2 2 2 3" xfId="39344"/>
    <cellStyle name="Input 9 2 2 2 2 2 3 2" xfId="39345"/>
    <cellStyle name="Input 9 2 2 2 2 2 4" xfId="39346"/>
    <cellStyle name="Input 9 2 2 2 2 2 4 2" xfId="39347"/>
    <cellStyle name="Input 9 2 2 2 2 2 5" xfId="39348"/>
    <cellStyle name="Input 9 2 2 2 2 2 6" xfId="39349"/>
    <cellStyle name="Input 9 2 2 2 2 2 7" xfId="39350"/>
    <cellStyle name="Input 9 2 2 2 2 3" xfId="39351"/>
    <cellStyle name="Input 9 2 2 2 2 3 2" xfId="39352"/>
    <cellStyle name="Input 9 2 2 2 2 3 2 2" xfId="39353"/>
    <cellStyle name="Input 9 2 2 2 2 3 3" xfId="39354"/>
    <cellStyle name="Input 9 2 2 2 2 3 3 2" xfId="39355"/>
    <cellStyle name="Input 9 2 2 2 2 3 4" xfId="39356"/>
    <cellStyle name="Input 9 2 2 2 2 3 5" xfId="39357"/>
    <cellStyle name="Input 9 2 2 2 2 3 6" xfId="39358"/>
    <cellStyle name="Input 9 2 2 2 2 4" xfId="39359"/>
    <cellStyle name="Input 9 2 2 2 2 4 2" xfId="39360"/>
    <cellStyle name="Input 9 2 2 2 2 5" xfId="39361"/>
    <cellStyle name="Input 9 2 2 2 2 5 2" xfId="39362"/>
    <cellStyle name="Input 9 2 2 2 2 6" xfId="39363"/>
    <cellStyle name="Input 9 2 2 2 2 7" xfId="39364"/>
    <cellStyle name="Input 9 2 2 2 2 8" xfId="39365"/>
    <cellStyle name="Input 9 2 2 2 3" xfId="39366"/>
    <cellStyle name="Input 9 2 2 2 3 2" xfId="39367"/>
    <cellStyle name="Input 9 2 2 2 3 2 2" xfId="39368"/>
    <cellStyle name="Input 9 2 2 2 3 2 2 2" xfId="39369"/>
    <cellStyle name="Input 9 2 2 2 3 2 2 2 2" xfId="39370"/>
    <cellStyle name="Input 9 2 2 2 3 2 2 3" xfId="39371"/>
    <cellStyle name="Input 9 2 2 2 3 2 2 3 2" xfId="39372"/>
    <cellStyle name="Input 9 2 2 2 3 2 2 4" xfId="39373"/>
    <cellStyle name="Input 9 2 2 2 3 2 2 5" xfId="39374"/>
    <cellStyle name="Input 9 2 2 2 3 2 2 6" xfId="39375"/>
    <cellStyle name="Input 9 2 2 2 3 2 3" xfId="39376"/>
    <cellStyle name="Input 9 2 2 2 3 2 3 2" xfId="39377"/>
    <cellStyle name="Input 9 2 2 2 3 2 4" xfId="39378"/>
    <cellStyle name="Input 9 2 2 2 3 2 4 2" xfId="39379"/>
    <cellStyle name="Input 9 2 2 2 3 2 5" xfId="39380"/>
    <cellStyle name="Input 9 2 2 2 3 2 6" xfId="39381"/>
    <cellStyle name="Input 9 2 2 2 3 2 7" xfId="39382"/>
    <cellStyle name="Input 9 2 2 2 3 3" xfId="39383"/>
    <cellStyle name="Input 9 2 2 2 3 3 2" xfId="39384"/>
    <cellStyle name="Input 9 2 2 2 3 3 2 2" xfId="39385"/>
    <cellStyle name="Input 9 2 2 2 3 3 3" xfId="39386"/>
    <cellStyle name="Input 9 2 2 2 3 3 3 2" xfId="39387"/>
    <cellStyle name="Input 9 2 2 2 3 3 4" xfId="39388"/>
    <cellStyle name="Input 9 2 2 2 3 3 5" xfId="39389"/>
    <cellStyle name="Input 9 2 2 2 3 3 6" xfId="39390"/>
    <cellStyle name="Input 9 2 2 2 3 4" xfId="39391"/>
    <cellStyle name="Input 9 2 2 2 3 4 2" xfId="39392"/>
    <cellStyle name="Input 9 2 2 2 3 5" xfId="39393"/>
    <cellStyle name="Input 9 2 2 2 3 5 2" xfId="39394"/>
    <cellStyle name="Input 9 2 2 2 3 6" xfId="39395"/>
    <cellStyle name="Input 9 2 2 2 3 7" xfId="39396"/>
    <cellStyle name="Input 9 2 2 2 3 8" xfId="39397"/>
    <cellStyle name="Input 9 2 2 2 4" xfId="39398"/>
    <cellStyle name="Input 9 2 2 2 4 2" xfId="39399"/>
    <cellStyle name="Input 9 2 2 2 4 2 2" xfId="39400"/>
    <cellStyle name="Input 9 2 2 2 4 2 2 2" xfId="39401"/>
    <cellStyle name="Input 9 2 2 2 4 2 3" xfId="39402"/>
    <cellStyle name="Input 9 2 2 2 4 2 3 2" xfId="39403"/>
    <cellStyle name="Input 9 2 2 2 4 2 4" xfId="39404"/>
    <cellStyle name="Input 9 2 2 2 4 2 5" xfId="39405"/>
    <cellStyle name="Input 9 2 2 2 4 2 6" xfId="39406"/>
    <cellStyle name="Input 9 2 2 2 4 3" xfId="39407"/>
    <cellStyle name="Input 9 2 2 2 4 3 2" xfId="39408"/>
    <cellStyle name="Input 9 2 2 2 4 4" xfId="39409"/>
    <cellStyle name="Input 9 2 2 2 4 4 2" xfId="39410"/>
    <cellStyle name="Input 9 2 2 2 4 5" xfId="39411"/>
    <cellStyle name="Input 9 2 2 2 4 6" xfId="39412"/>
    <cellStyle name="Input 9 2 2 2 4 7" xfId="39413"/>
    <cellStyle name="Input 9 2 2 2 5" xfId="39414"/>
    <cellStyle name="Input 9 2 2 2 5 2" xfId="39415"/>
    <cellStyle name="Input 9 2 2 2 5 2 2" xfId="39416"/>
    <cellStyle name="Input 9 2 2 2 5 3" xfId="39417"/>
    <cellStyle name="Input 9 2 2 2 5 3 2" xfId="39418"/>
    <cellStyle name="Input 9 2 2 2 5 4" xfId="39419"/>
    <cellStyle name="Input 9 2 2 2 5 5" xfId="39420"/>
    <cellStyle name="Input 9 2 2 2 5 6" xfId="39421"/>
    <cellStyle name="Input 9 2 2 2 6" xfId="39422"/>
    <cellStyle name="Input 9 2 2 2 6 2" xfId="39423"/>
    <cellStyle name="Input 9 2 2 2 7" xfId="39424"/>
    <cellStyle name="Input 9 2 2 2 7 2" xfId="39425"/>
    <cellStyle name="Input 9 2 2 2 8" xfId="39426"/>
    <cellStyle name="Input 9 2 2 2 9" xfId="39427"/>
    <cellStyle name="Input 9 2 2 3" xfId="39428"/>
    <cellStyle name="Input 9 2 2 3 2" xfId="39429"/>
    <cellStyle name="Input 9 2 2 3 2 2" xfId="39430"/>
    <cellStyle name="Input 9 2 2 3 2 2 2" xfId="39431"/>
    <cellStyle name="Input 9 2 2 3 2 2 2 2" xfId="39432"/>
    <cellStyle name="Input 9 2 2 3 2 2 3" xfId="39433"/>
    <cellStyle name="Input 9 2 2 3 2 2 3 2" xfId="39434"/>
    <cellStyle name="Input 9 2 2 3 2 2 4" xfId="39435"/>
    <cellStyle name="Input 9 2 2 3 2 2 5" xfId="39436"/>
    <cellStyle name="Input 9 2 2 3 2 2 6" xfId="39437"/>
    <cellStyle name="Input 9 2 2 3 2 3" xfId="39438"/>
    <cellStyle name="Input 9 2 2 3 2 3 2" xfId="39439"/>
    <cellStyle name="Input 9 2 2 3 2 4" xfId="39440"/>
    <cellStyle name="Input 9 2 2 3 2 4 2" xfId="39441"/>
    <cellStyle name="Input 9 2 2 3 2 5" xfId="39442"/>
    <cellStyle name="Input 9 2 2 3 2 6" xfId="39443"/>
    <cellStyle name="Input 9 2 2 3 2 7" xfId="39444"/>
    <cellStyle name="Input 9 2 2 3 3" xfId="39445"/>
    <cellStyle name="Input 9 2 2 3 3 2" xfId="39446"/>
    <cellStyle name="Input 9 2 2 3 3 2 2" xfId="39447"/>
    <cellStyle name="Input 9 2 2 3 3 3" xfId="39448"/>
    <cellStyle name="Input 9 2 2 3 3 3 2" xfId="39449"/>
    <cellStyle name="Input 9 2 2 3 3 4" xfId="39450"/>
    <cellStyle name="Input 9 2 2 3 3 5" xfId="39451"/>
    <cellStyle name="Input 9 2 2 3 3 6" xfId="39452"/>
    <cellStyle name="Input 9 2 2 3 4" xfId="39453"/>
    <cellStyle name="Input 9 2 2 3 4 2" xfId="39454"/>
    <cellStyle name="Input 9 2 2 3 5" xfId="39455"/>
    <cellStyle name="Input 9 2 2 3 5 2" xfId="39456"/>
    <cellStyle name="Input 9 2 2 3 6" xfId="39457"/>
    <cellStyle name="Input 9 2 2 3 7" xfId="39458"/>
    <cellStyle name="Input 9 2 2 3 8" xfId="39459"/>
    <cellStyle name="Input 9 2 2 4" xfId="39460"/>
    <cellStyle name="Input 9 2 2 4 2" xfId="39461"/>
    <cellStyle name="Input 9 2 2 4 2 2" xfId="39462"/>
    <cellStyle name="Input 9 2 2 4 2 2 2" xfId="39463"/>
    <cellStyle name="Input 9 2 2 4 2 2 2 2" xfId="39464"/>
    <cellStyle name="Input 9 2 2 4 2 2 3" xfId="39465"/>
    <cellStyle name="Input 9 2 2 4 2 2 3 2" xfId="39466"/>
    <cellStyle name="Input 9 2 2 4 2 2 4" xfId="39467"/>
    <cellStyle name="Input 9 2 2 4 2 2 5" xfId="39468"/>
    <cellStyle name="Input 9 2 2 4 2 2 6" xfId="39469"/>
    <cellStyle name="Input 9 2 2 4 2 3" xfId="39470"/>
    <cellStyle name="Input 9 2 2 4 2 3 2" xfId="39471"/>
    <cellStyle name="Input 9 2 2 4 2 4" xfId="39472"/>
    <cellStyle name="Input 9 2 2 4 2 4 2" xfId="39473"/>
    <cellStyle name="Input 9 2 2 4 2 5" xfId="39474"/>
    <cellStyle name="Input 9 2 2 4 2 6" xfId="39475"/>
    <cellStyle name="Input 9 2 2 4 2 7" xfId="39476"/>
    <cellStyle name="Input 9 2 2 4 3" xfId="39477"/>
    <cellStyle name="Input 9 2 2 4 3 2" xfId="39478"/>
    <cellStyle name="Input 9 2 2 4 3 2 2" xfId="39479"/>
    <cellStyle name="Input 9 2 2 4 3 3" xfId="39480"/>
    <cellStyle name="Input 9 2 2 4 3 3 2" xfId="39481"/>
    <cellStyle name="Input 9 2 2 4 3 4" xfId="39482"/>
    <cellStyle name="Input 9 2 2 4 3 5" xfId="39483"/>
    <cellStyle name="Input 9 2 2 4 3 6" xfId="39484"/>
    <cellStyle name="Input 9 2 2 4 4" xfId="39485"/>
    <cellStyle name="Input 9 2 2 4 4 2" xfId="39486"/>
    <cellStyle name="Input 9 2 2 4 5" xfId="39487"/>
    <cellStyle name="Input 9 2 2 4 5 2" xfId="39488"/>
    <cellStyle name="Input 9 2 2 4 6" xfId="39489"/>
    <cellStyle name="Input 9 2 2 4 7" xfId="39490"/>
    <cellStyle name="Input 9 2 2 4 8" xfId="39491"/>
    <cellStyle name="Input 9 2 2 5" xfId="39492"/>
    <cellStyle name="Input 9 2 2 5 2" xfId="39493"/>
    <cellStyle name="Input 9 2 2 5 2 2" xfId="39494"/>
    <cellStyle name="Input 9 2 2 5 2 2 2" xfId="39495"/>
    <cellStyle name="Input 9 2 2 5 2 3" xfId="39496"/>
    <cellStyle name="Input 9 2 2 5 2 3 2" xfId="39497"/>
    <cellStyle name="Input 9 2 2 5 2 4" xfId="39498"/>
    <cellStyle name="Input 9 2 2 5 2 5" xfId="39499"/>
    <cellStyle name="Input 9 2 2 5 2 6" xfId="39500"/>
    <cellStyle name="Input 9 2 2 5 3" xfId="39501"/>
    <cellStyle name="Input 9 2 2 5 3 2" xfId="39502"/>
    <cellStyle name="Input 9 2 2 5 4" xfId="39503"/>
    <cellStyle name="Input 9 2 2 5 4 2" xfId="39504"/>
    <cellStyle name="Input 9 2 2 5 5" xfId="39505"/>
    <cellStyle name="Input 9 2 2 5 6" xfId="39506"/>
    <cellStyle name="Input 9 2 2 5 7" xfId="39507"/>
    <cellStyle name="Input 9 2 2 6" xfId="39508"/>
    <cellStyle name="Input 9 2 2 6 2" xfId="39509"/>
    <cellStyle name="Input 9 2 2 6 2 2" xfId="39510"/>
    <cellStyle name="Input 9 2 2 6 3" xfId="39511"/>
    <cellStyle name="Input 9 2 2 6 3 2" xfId="39512"/>
    <cellStyle name="Input 9 2 2 6 4" xfId="39513"/>
    <cellStyle name="Input 9 2 2 6 5" xfId="39514"/>
    <cellStyle name="Input 9 2 2 6 6" xfId="39515"/>
    <cellStyle name="Input 9 2 2 7" xfId="39516"/>
    <cellStyle name="Input 9 2 2 7 2" xfId="39517"/>
    <cellStyle name="Input 9 2 2 8" xfId="39518"/>
    <cellStyle name="Input 9 2 2 8 2" xfId="39519"/>
    <cellStyle name="Input 9 2 2 9" xfId="39520"/>
    <cellStyle name="Input 9 2 3" xfId="39521"/>
    <cellStyle name="Input 9 2 3 10" xfId="39522"/>
    <cellStyle name="Input 9 2 3 2" xfId="39523"/>
    <cellStyle name="Input 9 2 3 2 10" xfId="39524"/>
    <cellStyle name="Input 9 2 3 2 2" xfId="39525"/>
    <cellStyle name="Input 9 2 3 2 2 2" xfId="39526"/>
    <cellStyle name="Input 9 2 3 2 2 2 2" xfId="39527"/>
    <cellStyle name="Input 9 2 3 2 2 2 2 2" xfId="39528"/>
    <cellStyle name="Input 9 2 3 2 2 2 2 2 2" xfId="39529"/>
    <cellStyle name="Input 9 2 3 2 2 2 2 3" xfId="39530"/>
    <cellStyle name="Input 9 2 3 2 2 2 2 3 2" xfId="39531"/>
    <cellStyle name="Input 9 2 3 2 2 2 2 4" xfId="39532"/>
    <cellStyle name="Input 9 2 3 2 2 2 2 5" xfId="39533"/>
    <cellStyle name="Input 9 2 3 2 2 2 2 6" xfId="39534"/>
    <cellStyle name="Input 9 2 3 2 2 2 3" xfId="39535"/>
    <cellStyle name="Input 9 2 3 2 2 2 3 2" xfId="39536"/>
    <cellStyle name="Input 9 2 3 2 2 2 4" xfId="39537"/>
    <cellStyle name="Input 9 2 3 2 2 2 4 2" xfId="39538"/>
    <cellStyle name="Input 9 2 3 2 2 2 5" xfId="39539"/>
    <cellStyle name="Input 9 2 3 2 2 2 6" xfId="39540"/>
    <cellStyle name="Input 9 2 3 2 2 2 7" xfId="39541"/>
    <cellStyle name="Input 9 2 3 2 2 3" xfId="39542"/>
    <cellStyle name="Input 9 2 3 2 2 3 2" xfId="39543"/>
    <cellStyle name="Input 9 2 3 2 2 3 2 2" xfId="39544"/>
    <cellStyle name="Input 9 2 3 2 2 3 3" xfId="39545"/>
    <cellStyle name="Input 9 2 3 2 2 3 3 2" xfId="39546"/>
    <cellStyle name="Input 9 2 3 2 2 3 4" xfId="39547"/>
    <cellStyle name="Input 9 2 3 2 2 3 5" xfId="39548"/>
    <cellStyle name="Input 9 2 3 2 2 3 6" xfId="39549"/>
    <cellStyle name="Input 9 2 3 2 2 4" xfId="39550"/>
    <cellStyle name="Input 9 2 3 2 2 4 2" xfId="39551"/>
    <cellStyle name="Input 9 2 3 2 2 5" xfId="39552"/>
    <cellStyle name="Input 9 2 3 2 2 5 2" xfId="39553"/>
    <cellStyle name="Input 9 2 3 2 2 6" xfId="39554"/>
    <cellStyle name="Input 9 2 3 2 2 7" xfId="39555"/>
    <cellStyle name="Input 9 2 3 2 2 8" xfId="39556"/>
    <cellStyle name="Input 9 2 3 2 3" xfId="39557"/>
    <cellStyle name="Input 9 2 3 2 3 2" xfId="39558"/>
    <cellStyle name="Input 9 2 3 2 3 2 2" xfId="39559"/>
    <cellStyle name="Input 9 2 3 2 3 2 2 2" xfId="39560"/>
    <cellStyle name="Input 9 2 3 2 3 2 2 2 2" xfId="39561"/>
    <cellStyle name="Input 9 2 3 2 3 2 2 3" xfId="39562"/>
    <cellStyle name="Input 9 2 3 2 3 2 2 3 2" xfId="39563"/>
    <cellStyle name="Input 9 2 3 2 3 2 2 4" xfId="39564"/>
    <cellStyle name="Input 9 2 3 2 3 2 2 5" xfId="39565"/>
    <cellStyle name="Input 9 2 3 2 3 2 2 6" xfId="39566"/>
    <cellStyle name="Input 9 2 3 2 3 2 3" xfId="39567"/>
    <cellStyle name="Input 9 2 3 2 3 2 3 2" xfId="39568"/>
    <cellStyle name="Input 9 2 3 2 3 2 4" xfId="39569"/>
    <cellStyle name="Input 9 2 3 2 3 2 4 2" xfId="39570"/>
    <cellStyle name="Input 9 2 3 2 3 2 5" xfId="39571"/>
    <cellStyle name="Input 9 2 3 2 3 2 6" xfId="39572"/>
    <cellStyle name="Input 9 2 3 2 3 2 7" xfId="39573"/>
    <cellStyle name="Input 9 2 3 2 3 3" xfId="39574"/>
    <cellStyle name="Input 9 2 3 2 3 3 2" xfId="39575"/>
    <cellStyle name="Input 9 2 3 2 3 3 2 2" xfId="39576"/>
    <cellStyle name="Input 9 2 3 2 3 3 3" xfId="39577"/>
    <cellStyle name="Input 9 2 3 2 3 3 3 2" xfId="39578"/>
    <cellStyle name="Input 9 2 3 2 3 3 4" xfId="39579"/>
    <cellStyle name="Input 9 2 3 2 3 3 5" xfId="39580"/>
    <cellStyle name="Input 9 2 3 2 3 3 6" xfId="39581"/>
    <cellStyle name="Input 9 2 3 2 3 4" xfId="39582"/>
    <cellStyle name="Input 9 2 3 2 3 4 2" xfId="39583"/>
    <cellStyle name="Input 9 2 3 2 3 5" xfId="39584"/>
    <cellStyle name="Input 9 2 3 2 3 5 2" xfId="39585"/>
    <cellStyle name="Input 9 2 3 2 3 6" xfId="39586"/>
    <cellStyle name="Input 9 2 3 2 3 7" xfId="39587"/>
    <cellStyle name="Input 9 2 3 2 3 8" xfId="39588"/>
    <cellStyle name="Input 9 2 3 2 4" xfId="39589"/>
    <cellStyle name="Input 9 2 3 2 4 2" xfId="39590"/>
    <cellStyle name="Input 9 2 3 2 4 2 2" xfId="39591"/>
    <cellStyle name="Input 9 2 3 2 4 2 2 2" xfId="39592"/>
    <cellStyle name="Input 9 2 3 2 4 2 3" xfId="39593"/>
    <cellStyle name="Input 9 2 3 2 4 2 3 2" xfId="39594"/>
    <cellStyle name="Input 9 2 3 2 4 2 4" xfId="39595"/>
    <cellStyle name="Input 9 2 3 2 4 2 5" xfId="39596"/>
    <cellStyle name="Input 9 2 3 2 4 2 6" xfId="39597"/>
    <cellStyle name="Input 9 2 3 2 4 3" xfId="39598"/>
    <cellStyle name="Input 9 2 3 2 4 3 2" xfId="39599"/>
    <cellStyle name="Input 9 2 3 2 4 4" xfId="39600"/>
    <cellStyle name="Input 9 2 3 2 4 4 2" xfId="39601"/>
    <cellStyle name="Input 9 2 3 2 4 5" xfId="39602"/>
    <cellStyle name="Input 9 2 3 2 4 6" xfId="39603"/>
    <cellStyle name="Input 9 2 3 2 4 7" xfId="39604"/>
    <cellStyle name="Input 9 2 3 2 5" xfId="39605"/>
    <cellStyle name="Input 9 2 3 2 5 2" xfId="39606"/>
    <cellStyle name="Input 9 2 3 2 5 2 2" xfId="39607"/>
    <cellStyle name="Input 9 2 3 2 5 3" xfId="39608"/>
    <cellStyle name="Input 9 2 3 2 5 3 2" xfId="39609"/>
    <cellStyle name="Input 9 2 3 2 5 4" xfId="39610"/>
    <cellStyle name="Input 9 2 3 2 5 5" xfId="39611"/>
    <cellStyle name="Input 9 2 3 2 5 6" xfId="39612"/>
    <cellStyle name="Input 9 2 3 2 6" xfId="39613"/>
    <cellStyle name="Input 9 2 3 2 6 2" xfId="39614"/>
    <cellStyle name="Input 9 2 3 2 7" xfId="39615"/>
    <cellStyle name="Input 9 2 3 2 7 2" xfId="39616"/>
    <cellStyle name="Input 9 2 3 2 8" xfId="39617"/>
    <cellStyle name="Input 9 2 3 2 9" xfId="39618"/>
    <cellStyle name="Input 9 2 3 3" xfId="39619"/>
    <cellStyle name="Input 9 2 3 3 2" xfId="39620"/>
    <cellStyle name="Input 9 2 3 3 2 2" xfId="39621"/>
    <cellStyle name="Input 9 2 3 3 2 2 2" xfId="39622"/>
    <cellStyle name="Input 9 2 3 3 2 2 2 2" xfId="39623"/>
    <cellStyle name="Input 9 2 3 3 2 2 3" xfId="39624"/>
    <cellStyle name="Input 9 2 3 3 2 2 3 2" xfId="39625"/>
    <cellStyle name="Input 9 2 3 3 2 2 4" xfId="39626"/>
    <cellStyle name="Input 9 2 3 3 2 2 5" xfId="39627"/>
    <cellStyle name="Input 9 2 3 3 2 2 6" xfId="39628"/>
    <cellStyle name="Input 9 2 3 3 2 3" xfId="39629"/>
    <cellStyle name="Input 9 2 3 3 2 3 2" xfId="39630"/>
    <cellStyle name="Input 9 2 3 3 2 4" xfId="39631"/>
    <cellStyle name="Input 9 2 3 3 2 4 2" xfId="39632"/>
    <cellStyle name="Input 9 2 3 3 2 5" xfId="39633"/>
    <cellStyle name="Input 9 2 3 3 2 6" xfId="39634"/>
    <cellStyle name="Input 9 2 3 3 2 7" xfId="39635"/>
    <cellStyle name="Input 9 2 3 3 3" xfId="39636"/>
    <cellStyle name="Input 9 2 3 3 3 2" xfId="39637"/>
    <cellStyle name="Input 9 2 3 3 3 2 2" xfId="39638"/>
    <cellStyle name="Input 9 2 3 3 3 3" xfId="39639"/>
    <cellStyle name="Input 9 2 3 3 3 3 2" xfId="39640"/>
    <cellStyle name="Input 9 2 3 3 3 4" xfId="39641"/>
    <cellStyle name="Input 9 2 3 3 3 5" xfId="39642"/>
    <cellStyle name="Input 9 2 3 3 3 6" xfId="39643"/>
    <cellStyle name="Input 9 2 3 3 4" xfId="39644"/>
    <cellStyle name="Input 9 2 3 3 4 2" xfId="39645"/>
    <cellStyle name="Input 9 2 3 3 5" xfId="39646"/>
    <cellStyle name="Input 9 2 3 3 5 2" xfId="39647"/>
    <cellStyle name="Input 9 2 3 3 6" xfId="39648"/>
    <cellStyle name="Input 9 2 3 3 7" xfId="39649"/>
    <cellStyle name="Input 9 2 3 3 8" xfId="39650"/>
    <cellStyle name="Input 9 2 3 4" xfId="39651"/>
    <cellStyle name="Input 9 2 3 4 2" xfId="39652"/>
    <cellStyle name="Input 9 2 3 4 2 2" xfId="39653"/>
    <cellStyle name="Input 9 2 3 4 2 2 2" xfId="39654"/>
    <cellStyle name="Input 9 2 3 4 2 3" xfId="39655"/>
    <cellStyle name="Input 9 2 3 4 2 3 2" xfId="39656"/>
    <cellStyle name="Input 9 2 3 4 2 4" xfId="39657"/>
    <cellStyle name="Input 9 2 3 4 2 5" xfId="39658"/>
    <cellStyle name="Input 9 2 3 4 2 6" xfId="39659"/>
    <cellStyle name="Input 9 2 3 4 3" xfId="39660"/>
    <cellStyle name="Input 9 2 3 4 3 2" xfId="39661"/>
    <cellStyle name="Input 9 2 3 4 4" xfId="39662"/>
    <cellStyle name="Input 9 2 3 4 4 2" xfId="39663"/>
    <cellStyle name="Input 9 2 3 4 5" xfId="39664"/>
    <cellStyle name="Input 9 2 3 4 6" xfId="39665"/>
    <cellStyle name="Input 9 2 3 4 7" xfId="39666"/>
    <cellStyle name="Input 9 2 3 5" xfId="39667"/>
    <cellStyle name="Input 9 2 3 5 2" xfId="39668"/>
    <cellStyle name="Input 9 2 3 5 2 2" xfId="39669"/>
    <cellStyle name="Input 9 2 3 5 3" xfId="39670"/>
    <cellStyle name="Input 9 2 3 5 3 2" xfId="39671"/>
    <cellStyle name="Input 9 2 3 5 4" xfId="39672"/>
    <cellStyle name="Input 9 2 3 5 5" xfId="39673"/>
    <cellStyle name="Input 9 2 3 5 6" xfId="39674"/>
    <cellStyle name="Input 9 2 3 6" xfId="39675"/>
    <cellStyle name="Input 9 2 3 6 2" xfId="39676"/>
    <cellStyle name="Input 9 2 3 7" xfId="39677"/>
    <cellStyle name="Input 9 2 3 7 2" xfId="39678"/>
    <cellStyle name="Input 9 2 3 8" xfId="39679"/>
    <cellStyle name="Input 9 2 3 9" xfId="39680"/>
    <cellStyle name="Input 9 2 4" xfId="39681"/>
    <cellStyle name="Input 9 2 4 10" xfId="39682"/>
    <cellStyle name="Input 9 2 4 2" xfId="39683"/>
    <cellStyle name="Input 9 2 4 2 2" xfId="39684"/>
    <cellStyle name="Input 9 2 4 2 2 2" xfId="39685"/>
    <cellStyle name="Input 9 2 4 2 2 2 2" xfId="39686"/>
    <cellStyle name="Input 9 2 4 2 2 2 2 2" xfId="39687"/>
    <cellStyle name="Input 9 2 4 2 2 2 3" xfId="39688"/>
    <cellStyle name="Input 9 2 4 2 2 2 3 2" xfId="39689"/>
    <cellStyle name="Input 9 2 4 2 2 2 4" xfId="39690"/>
    <cellStyle name="Input 9 2 4 2 2 2 5" xfId="39691"/>
    <cellStyle name="Input 9 2 4 2 2 2 6" xfId="39692"/>
    <cellStyle name="Input 9 2 4 2 2 3" xfId="39693"/>
    <cellStyle name="Input 9 2 4 2 2 3 2" xfId="39694"/>
    <cellStyle name="Input 9 2 4 2 2 4" xfId="39695"/>
    <cellStyle name="Input 9 2 4 2 2 4 2" xfId="39696"/>
    <cellStyle name="Input 9 2 4 2 2 5" xfId="39697"/>
    <cellStyle name="Input 9 2 4 2 2 6" xfId="39698"/>
    <cellStyle name="Input 9 2 4 2 2 7" xfId="39699"/>
    <cellStyle name="Input 9 2 4 2 3" xfId="39700"/>
    <cellStyle name="Input 9 2 4 2 3 2" xfId="39701"/>
    <cellStyle name="Input 9 2 4 2 3 2 2" xfId="39702"/>
    <cellStyle name="Input 9 2 4 2 3 3" xfId="39703"/>
    <cellStyle name="Input 9 2 4 2 3 3 2" xfId="39704"/>
    <cellStyle name="Input 9 2 4 2 3 4" xfId="39705"/>
    <cellStyle name="Input 9 2 4 2 3 5" xfId="39706"/>
    <cellStyle name="Input 9 2 4 2 3 6" xfId="39707"/>
    <cellStyle name="Input 9 2 4 2 4" xfId="39708"/>
    <cellStyle name="Input 9 2 4 2 4 2" xfId="39709"/>
    <cellStyle name="Input 9 2 4 2 5" xfId="39710"/>
    <cellStyle name="Input 9 2 4 2 5 2" xfId="39711"/>
    <cellStyle name="Input 9 2 4 2 6" xfId="39712"/>
    <cellStyle name="Input 9 2 4 2 7" xfId="39713"/>
    <cellStyle name="Input 9 2 4 2 8" xfId="39714"/>
    <cellStyle name="Input 9 2 4 3" xfId="39715"/>
    <cellStyle name="Input 9 2 4 3 2" xfId="39716"/>
    <cellStyle name="Input 9 2 4 3 2 2" xfId="39717"/>
    <cellStyle name="Input 9 2 4 3 2 2 2" xfId="39718"/>
    <cellStyle name="Input 9 2 4 3 2 2 2 2" xfId="39719"/>
    <cellStyle name="Input 9 2 4 3 2 2 3" xfId="39720"/>
    <cellStyle name="Input 9 2 4 3 2 2 3 2" xfId="39721"/>
    <cellStyle name="Input 9 2 4 3 2 2 4" xfId="39722"/>
    <cellStyle name="Input 9 2 4 3 2 2 5" xfId="39723"/>
    <cellStyle name="Input 9 2 4 3 2 2 6" xfId="39724"/>
    <cellStyle name="Input 9 2 4 3 2 3" xfId="39725"/>
    <cellStyle name="Input 9 2 4 3 2 3 2" xfId="39726"/>
    <cellStyle name="Input 9 2 4 3 2 4" xfId="39727"/>
    <cellStyle name="Input 9 2 4 3 2 4 2" xfId="39728"/>
    <cellStyle name="Input 9 2 4 3 2 5" xfId="39729"/>
    <cellStyle name="Input 9 2 4 3 2 6" xfId="39730"/>
    <cellStyle name="Input 9 2 4 3 2 7" xfId="39731"/>
    <cellStyle name="Input 9 2 4 3 3" xfId="39732"/>
    <cellStyle name="Input 9 2 4 3 3 2" xfId="39733"/>
    <cellStyle name="Input 9 2 4 3 3 2 2" xfId="39734"/>
    <cellStyle name="Input 9 2 4 3 3 3" xfId="39735"/>
    <cellStyle name="Input 9 2 4 3 3 3 2" xfId="39736"/>
    <cellStyle name="Input 9 2 4 3 3 4" xfId="39737"/>
    <cellStyle name="Input 9 2 4 3 3 5" xfId="39738"/>
    <cellStyle name="Input 9 2 4 3 3 6" xfId="39739"/>
    <cellStyle name="Input 9 2 4 3 4" xfId="39740"/>
    <cellStyle name="Input 9 2 4 3 4 2" xfId="39741"/>
    <cellStyle name="Input 9 2 4 3 5" xfId="39742"/>
    <cellStyle name="Input 9 2 4 3 5 2" xfId="39743"/>
    <cellStyle name="Input 9 2 4 3 6" xfId="39744"/>
    <cellStyle name="Input 9 2 4 3 7" xfId="39745"/>
    <cellStyle name="Input 9 2 4 3 8" xfId="39746"/>
    <cellStyle name="Input 9 2 4 4" xfId="39747"/>
    <cellStyle name="Input 9 2 4 4 2" xfId="39748"/>
    <cellStyle name="Input 9 2 4 4 2 2" xfId="39749"/>
    <cellStyle name="Input 9 2 4 4 2 2 2" xfId="39750"/>
    <cellStyle name="Input 9 2 4 4 2 3" xfId="39751"/>
    <cellStyle name="Input 9 2 4 4 2 3 2" xfId="39752"/>
    <cellStyle name="Input 9 2 4 4 2 4" xfId="39753"/>
    <cellStyle name="Input 9 2 4 4 2 5" xfId="39754"/>
    <cellStyle name="Input 9 2 4 4 2 6" xfId="39755"/>
    <cellStyle name="Input 9 2 4 4 3" xfId="39756"/>
    <cellStyle name="Input 9 2 4 4 3 2" xfId="39757"/>
    <cellStyle name="Input 9 2 4 4 4" xfId="39758"/>
    <cellStyle name="Input 9 2 4 4 4 2" xfId="39759"/>
    <cellStyle name="Input 9 2 4 4 5" xfId="39760"/>
    <cellStyle name="Input 9 2 4 4 6" xfId="39761"/>
    <cellStyle name="Input 9 2 4 4 7" xfId="39762"/>
    <cellStyle name="Input 9 2 4 5" xfId="39763"/>
    <cellStyle name="Input 9 2 4 5 2" xfId="39764"/>
    <cellStyle name="Input 9 2 4 5 2 2" xfId="39765"/>
    <cellStyle name="Input 9 2 4 5 3" xfId="39766"/>
    <cellStyle name="Input 9 2 4 5 3 2" xfId="39767"/>
    <cellStyle name="Input 9 2 4 5 4" xfId="39768"/>
    <cellStyle name="Input 9 2 4 5 5" xfId="39769"/>
    <cellStyle name="Input 9 2 4 5 6" xfId="39770"/>
    <cellStyle name="Input 9 2 4 6" xfId="39771"/>
    <cellStyle name="Input 9 2 4 6 2" xfId="39772"/>
    <cellStyle name="Input 9 2 4 7" xfId="39773"/>
    <cellStyle name="Input 9 2 4 7 2" xfId="39774"/>
    <cellStyle name="Input 9 2 4 8" xfId="39775"/>
    <cellStyle name="Input 9 2 4 9" xfId="39776"/>
    <cellStyle name="Input 9 2 5" xfId="39777"/>
    <cellStyle name="Input 9 2 5 2" xfId="39778"/>
    <cellStyle name="Input 9 2 5 2 2" xfId="39779"/>
    <cellStyle name="Input 9 2 5 2 2 2" xfId="39780"/>
    <cellStyle name="Input 9 2 5 2 2 2 2" xfId="39781"/>
    <cellStyle name="Input 9 2 5 2 2 3" xfId="39782"/>
    <cellStyle name="Input 9 2 5 2 2 3 2" xfId="39783"/>
    <cellStyle name="Input 9 2 5 2 2 4" xfId="39784"/>
    <cellStyle name="Input 9 2 5 2 2 5" xfId="39785"/>
    <cellStyle name="Input 9 2 5 2 2 6" xfId="39786"/>
    <cellStyle name="Input 9 2 5 2 3" xfId="39787"/>
    <cellStyle name="Input 9 2 5 2 3 2" xfId="39788"/>
    <cellStyle name="Input 9 2 5 2 4" xfId="39789"/>
    <cellStyle name="Input 9 2 5 2 4 2" xfId="39790"/>
    <cellStyle name="Input 9 2 5 2 5" xfId="39791"/>
    <cellStyle name="Input 9 2 5 2 6" xfId="39792"/>
    <cellStyle name="Input 9 2 5 2 7" xfId="39793"/>
    <cellStyle name="Input 9 2 5 3" xfId="39794"/>
    <cellStyle name="Input 9 2 5 3 2" xfId="39795"/>
    <cellStyle name="Input 9 2 5 3 2 2" xfId="39796"/>
    <cellStyle name="Input 9 2 5 3 3" xfId="39797"/>
    <cellStyle name="Input 9 2 5 3 3 2" xfId="39798"/>
    <cellStyle name="Input 9 2 5 3 4" xfId="39799"/>
    <cellStyle name="Input 9 2 5 3 5" xfId="39800"/>
    <cellStyle name="Input 9 2 5 3 6" xfId="39801"/>
    <cellStyle name="Input 9 2 5 4" xfId="39802"/>
    <cellStyle name="Input 9 2 5 4 2" xfId="39803"/>
    <cellStyle name="Input 9 2 5 5" xfId="39804"/>
    <cellStyle name="Input 9 2 5 5 2" xfId="39805"/>
    <cellStyle name="Input 9 2 5 6" xfId="39806"/>
    <cellStyle name="Input 9 2 5 7" xfId="39807"/>
    <cellStyle name="Input 9 2 5 8" xfId="39808"/>
    <cellStyle name="Input 9 2 6" xfId="39809"/>
    <cellStyle name="Input 9 2 6 2" xfId="39810"/>
    <cellStyle name="Input 9 2 6 2 2" xfId="39811"/>
    <cellStyle name="Input 9 2 6 2 2 2" xfId="39812"/>
    <cellStyle name="Input 9 2 6 2 3" xfId="39813"/>
    <cellStyle name="Input 9 2 6 2 3 2" xfId="39814"/>
    <cellStyle name="Input 9 2 6 2 4" xfId="39815"/>
    <cellStyle name="Input 9 2 6 2 5" xfId="39816"/>
    <cellStyle name="Input 9 2 6 2 6" xfId="39817"/>
    <cellStyle name="Input 9 2 6 3" xfId="39818"/>
    <cellStyle name="Input 9 2 6 3 2" xfId="39819"/>
    <cellStyle name="Input 9 2 6 4" xfId="39820"/>
    <cellStyle name="Input 9 2 6 4 2" xfId="39821"/>
    <cellStyle name="Input 9 2 6 5" xfId="39822"/>
    <cellStyle name="Input 9 2 6 6" xfId="39823"/>
    <cellStyle name="Input 9 2 6 7" xfId="39824"/>
    <cellStyle name="Input 9 2 7" xfId="39825"/>
    <cellStyle name="Input 9 2 7 2" xfId="39826"/>
    <cellStyle name="Input 9 2 7 2 2" xfId="39827"/>
    <cellStyle name="Input 9 2 7 3" xfId="39828"/>
    <cellStyle name="Input 9 2 7 3 2" xfId="39829"/>
    <cellStyle name="Input 9 2 7 4" xfId="39830"/>
    <cellStyle name="Input 9 2 7 5" xfId="39831"/>
    <cellStyle name="Input 9 2 7 6" xfId="39832"/>
    <cellStyle name="Input 9 2 8" xfId="39833"/>
    <cellStyle name="Input 9 2 8 2" xfId="39834"/>
    <cellStyle name="Input 9 2 9" xfId="39835"/>
    <cellStyle name="Input 9 2 9 2" xfId="39836"/>
    <cellStyle name="Input 9 3" xfId="39837"/>
    <cellStyle name="Input 9 3 10" xfId="39838"/>
    <cellStyle name="Input 9 3 11" xfId="39839"/>
    <cellStyle name="Input 9 3 2" xfId="39840"/>
    <cellStyle name="Input 9 3 2 10" xfId="39841"/>
    <cellStyle name="Input 9 3 2 2" xfId="39842"/>
    <cellStyle name="Input 9 3 2 2 10" xfId="39843"/>
    <cellStyle name="Input 9 3 2 2 2" xfId="39844"/>
    <cellStyle name="Input 9 3 2 2 2 2" xfId="39845"/>
    <cellStyle name="Input 9 3 2 2 2 2 2" xfId="39846"/>
    <cellStyle name="Input 9 3 2 2 2 2 2 2" xfId="39847"/>
    <cellStyle name="Input 9 3 2 2 2 2 2 2 2" xfId="39848"/>
    <cellStyle name="Input 9 3 2 2 2 2 2 3" xfId="39849"/>
    <cellStyle name="Input 9 3 2 2 2 2 2 3 2" xfId="39850"/>
    <cellStyle name="Input 9 3 2 2 2 2 2 4" xfId="39851"/>
    <cellStyle name="Input 9 3 2 2 2 2 2 5" xfId="39852"/>
    <cellStyle name="Input 9 3 2 2 2 2 2 6" xfId="39853"/>
    <cellStyle name="Input 9 3 2 2 2 2 3" xfId="39854"/>
    <cellStyle name="Input 9 3 2 2 2 2 3 2" xfId="39855"/>
    <cellStyle name="Input 9 3 2 2 2 2 4" xfId="39856"/>
    <cellStyle name="Input 9 3 2 2 2 2 4 2" xfId="39857"/>
    <cellStyle name="Input 9 3 2 2 2 2 5" xfId="39858"/>
    <cellStyle name="Input 9 3 2 2 2 2 6" xfId="39859"/>
    <cellStyle name="Input 9 3 2 2 2 2 7" xfId="39860"/>
    <cellStyle name="Input 9 3 2 2 2 3" xfId="39861"/>
    <cellStyle name="Input 9 3 2 2 2 3 2" xfId="39862"/>
    <cellStyle name="Input 9 3 2 2 2 3 2 2" xfId="39863"/>
    <cellStyle name="Input 9 3 2 2 2 3 3" xfId="39864"/>
    <cellStyle name="Input 9 3 2 2 2 3 3 2" xfId="39865"/>
    <cellStyle name="Input 9 3 2 2 2 3 4" xfId="39866"/>
    <cellStyle name="Input 9 3 2 2 2 3 5" xfId="39867"/>
    <cellStyle name="Input 9 3 2 2 2 3 6" xfId="39868"/>
    <cellStyle name="Input 9 3 2 2 2 4" xfId="39869"/>
    <cellStyle name="Input 9 3 2 2 2 4 2" xfId="39870"/>
    <cellStyle name="Input 9 3 2 2 2 5" xfId="39871"/>
    <cellStyle name="Input 9 3 2 2 2 5 2" xfId="39872"/>
    <cellStyle name="Input 9 3 2 2 2 6" xfId="39873"/>
    <cellStyle name="Input 9 3 2 2 2 7" xfId="39874"/>
    <cellStyle name="Input 9 3 2 2 2 8" xfId="39875"/>
    <cellStyle name="Input 9 3 2 2 3" xfId="39876"/>
    <cellStyle name="Input 9 3 2 2 3 2" xfId="39877"/>
    <cellStyle name="Input 9 3 2 2 3 2 2" xfId="39878"/>
    <cellStyle name="Input 9 3 2 2 3 2 2 2" xfId="39879"/>
    <cellStyle name="Input 9 3 2 2 3 2 2 2 2" xfId="39880"/>
    <cellStyle name="Input 9 3 2 2 3 2 2 3" xfId="39881"/>
    <cellStyle name="Input 9 3 2 2 3 2 2 3 2" xfId="39882"/>
    <cellStyle name="Input 9 3 2 2 3 2 2 4" xfId="39883"/>
    <cellStyle name="Input 9 3 2 2 3 2 2 5" xfId="39884"/>
    <cellStyle name="Input 9 3 2 2 3 2 2 6" xfId="39885"/>
    <cellStyle name="Input 9 3 2 2 3 2 3" xfId="39886"/>
    <cellStyle name="Input 9 3 2 2 3 2 3 2" xfId="39887"/>
    <cellStyle name="Input 9 3 2 2 3 2 4" xfId="39888"/>
    <cellStyle name="Input 9 3 2 2 3 2 4 2" xfId="39889"/>
    <cellStyle name="Input 9 3 2 2 3 2 5" xfId="39890"/>
    <cellStyle name="Input 9 3 2 2 3 2 6" xfId="39891"/>
    <cellStyle name="Input 9 3 2 2 3 2 7" xfId="39892"/>
    <cellStyle name="Input 9 3 2 2 3 3" xfId="39893"/>
    <cellStyle name="Input 9 3 2 2 3 3 2" xfId="39894"/>
    <cellStyle name="Input 9 3 2 2 3 3 2 2" xfId="39895"/>
    <cellStyle name="Input 9 3 2 2 3 3 3" xfId="39896"/>
    <cellStyle name="Input 9 3 2 2 3 3 3 2" xfId="39897"/>
    <cellStyle name="Input 9 3 2 2 3 3 4" xfId="39898"/>
    <cellStyle name="Input 9 3 2 2 3 3 5" xfId="39899"/>
    <cellStyle name="Input 9 3 2 2 3 3 6" xfId="39900"/>
    <cellStyle name="Input 9 3 2 2 3 4" xfId="39901"/>
    <cellStyle name="Input 9 3 2 2 3 4 2" xfId="39902"/>
    <cellStyle name="Input 9 3 2 2 3 5" xfId="39903"/>
    <cellStyle name="Input 9 3 2 2 3 5 2" xfId="39904"/>
    <cellStyle name="Input 9 3 2 2 3 6" xfId="39905"/>
    <cellStyle name="Input 9 3 2 2 3 7" xfId="39906"/>
    <cellStyle name="Input 9 3 2 2 3 8" xfId="39907"/>
    <cellStyle name="Input 9 3 2 2 4" xfId="39908"/>
    <cellStyle name="Input 9 3 2 2 4 2" xfId="39909"/>
    <cellStyle name="Input 9 3 2 2 4 2 2" xfId="39910"/>
    <cellStyle name="Input 9 3 2 2 4 2 2 2" xfId="39911"/>
    <cellStyle name="Input 9 3 2 2 4 2 3" xfId="39912"/>
    <cellStyle name="Input 9 3 2 2 4 2 3 2" xfId="39913"/>
    <cellStyle name="Input 9 3 2 2 4 2 4" xfId="39914"/>
    <cellStyle name="Input 9 3 2 2 4 2 5" xfId="39915"/>
    <cellStyle name="Input 9 3 2 2 4 2 6" xfId="39916"/>
    <cellStyle name="Input 9 3 2 2 4 3" xfId="39917"/>
    <cellStyle name="Input 9 3 2 2 4 3 2" xfId="39918"/>
    <cellStyle name="Input 9 3 2 2 4 4" xfId="39919"/>
    <cellStyle name="Input 9 3 2 2 4 4 2" xfId="39920"/>
    <cellStyle name="Input 9 3 2 2 4 5" xfId="39921"/>
    <cellStyle name="Input 9 3 2 2 4 6" xfId="39922"/>
    <cellStyle name="Input 9 3 2 2 4 7" xfId="39923"/>
    <cellStyle name="Input 9 3 2 2 5" xfId="39924"/>
    <cellStyle name="Input 9 3 2 2 5 2" xfId="39925"/>
    <cellStyle name="Input 9 3 2 2 5 2 2" xfId="39926"/>
    <cellStyle name="Input 9 3 2 2 5 3" xfId="39927"/>
    <cellStyle name="Input 9 3 2 2 5 3 2" xfId="39928"/>
    <cellStyle name="Input 9 3 2 2 5 4" xfId="39929"/>
    <cellStyle name="Input 9 3 2 2 5 5" xfId="39930"/>
    <cellStyle name="Input 9 3 2 2 5 6" xfId="39931"/>
    <cellStyle name="Input 9 3 2 2 6" xfId="39932"/>
    <cellStyle name="Input 9 3 2 2 6 2" xfId="39933"/>
    <cellStyle name="Input 9 3 2 2 7" xfId="39934"/>
    <cellStyle name="Input 9 3 2 2 7 2" xfId="39935"/>
    <cellStyle name="Input 9 3 2 2 8" xfId="39936"/>
    <cellStyle name="Input 9 3 2 2 9" xfId="39937"/>
    <cellStyle name="Input 9 3 2 3" xfId="39938"/>
    <cellStyle name="Input 9 3 2 3 2" xfId="39939"/>
    <cellStyle name="Input 9 3 2 3 2 2" xfId="39940"/>
    <cellStyle name="Input 9 3 2 3 2 2 2" xfId="39941"/>
    <cellStyle name="Input 9 3 2 3 2 2 2 2" xfId="39942"/>
    <cellStyle name="Input 9 3 2 3 2 2 3" xfId="39943"/>
    <cellStyle name="Input 9 3 2 3 2 2 3 2" xfId="39944"/>
    <cellStyle name="Input 9 3 2 3 2 2 4" xfId="39945"/>
    <cellStyle name="Input 9 3 2 3 2 2 5" xfId="39946"/>
    <cellStyle name="Input 9 3 2 3 2 2 6" xfId="39947"/>
    <cellStyle name="Input 9 3 2 3 2 3" xfId="39948"/>
    <cellStyle name="Input 9 3 2 3 2 3 2" xfId="39949"/>
    <cellStyle name="Input 9 3 2 3 2 4" xfId="39950"/>
    <cellStyle name="Input 9 3 2 3 2 4 2" xfId="39951"/>
    <cellStyle name="Input 9 3 2 3 2 5" xfId="39952"/>
    <cellStyle name="Input 9 3 2 3 2 6" xfId="39953"/>
    <cellStyle name="Input 9 3 2 3 2 7" xfId="39954"/>
    <cellStyle name="Input 9 3 2 3 3" xfId="39955"/>
    <cellStyle name="Input 9 3 2 3 3 2" xfId="39956"/>
    <cellStyle name="Input 9 3 2 3 3 2 2" xfId="39957"/>
    <cellStyle name="Input 9 3 2 3 3 3" xfId="39958"/>
    <cellStyle name="Input 9 3 2 3 3 3 2" xfId="39959"/>
    <cellStyle name="Input 9 3 2 3 3 4" xfId="39960"/>
    <cellStyle name="Input 9 3 2 3 3 5" xfId="39961"/>
    <cellStyle name="Input 9 3 2 3 3 6" xfId="39962"/>
    <cellStyle name="Input 9 3 2 3 4" xfId="39963"/>
    <cellStyle name="Input 9 3 2 3 4 2" xfId="39964"/>
    <cellStyle name="Input 9 3 2 3 5" xfId="39965"/>
    <cellStyle name="Input 9 3 2 3 5 2" xfId="39966"/>
    <cellStyle name="Input 9 3 2 3 6" xfId="39967"/>
    <cellStyle name="Input 9 3 2 3 7" xfId="39968"/>
    <cellStyle name="Input 9 3 2 3 8" xfId="39969"/>
    <cellStyle name="Input 9 3 2 4" xfId="39970"/>
    <cellStyle name="Input 9 3 2 4 2" xfId="39971"/>
    <cellStyle name="Input 9 3 2 4 2 2" xfId="39972"/>
    <cellStyle name="Input 9 3 2 4 2 2 2" xfId="39973"/>
    <cellStyle name="Input 9 3 2 4 2 3" xfId="39974"/>
    <cellStyle name="Input 9 3 2 4 2 3 2" xfId="39975"/>
    <cellStyle name="Input 9 3 2 4 2 4" xfId="39976"/>
    <cellStyle name="Input 9 3 2 4 2 5" xfId="39977"/>
    <cellStyle name="Input 9 3 2 4 2 6" xfId="39978"/>
    <cellStyle name="Input 9 3 2 4 3" xfId="39979"/>
    <cellStyle name="Input 9 3 2 4 3 2" xfId="39980"/>
    <cellStyle name="Input 9 3 2 4 4" xfId="39981"/>
    <cellStyle name="Input 9 3 2 4 4 2" xfId="39982"/>
    <cellStyle name="Input 9 3 2 4 5" xfId="39983"/>
    <cellStyle name="Input 9 3 2 4 6" xfId="39984"/>
    <cellStyle name="Input 9 3 2 4 7" xfId="39985"/>
    <cellStyle name="Input 9 3 2 5" xfId="39986"/>
    <cellStyle name="Input 9 3 2 5 2" xfId="39987"/>
    <cellStyle name="Input 9 3 2 5 2 2" xfId="39988"/>
    <cellStyle name="Input 9 3 2 5 3" xfId="39989"/>
    <cellStyle name="Input 9 3 2 5 3 2" xfId="39990"/>
    <cellStyle name="Input 9 3 2 5 4" xfId="39991"/>
    <cellStyle name="Input 9 3 2 5 5" xfId="39992"/>
    <cellStyle name="Input 9 3 2 5 6" xfId="39993"/>
    <cellStyle name="Input 9 3 2 6" xfId="39994"/>
    <cellStyle name="Input 9 3 2 6 2" xfId="39995"/>
    <cellStyle name="Input 9 3 2 7" xfId="39996"/>
    <cellStyle name="Input 9 3 2 7 2" xfId="39997"/>
    <cellStyle name="Input 9 3 2 8" xfId="39998"/>
    <cellStyle name="Input 9 3 2 9" xfId="39999"/>
    <cellStyle name="Input 9 3 3" xfId="40000"/>
    <cellStyle name="Input 9 3 3 10" xfId="40001"/>
    <cellStyle name="Input 9 3 3 2" xfId="40002"/>
    <cellStyle name="Input 9 3 3 2 2" xfId="40003"/>
    <cellStyle name="Input 9 3 3 2 2 2" xfId="40004"/>
    <cellStyle name="Input 9 3 3 2 2 2 2" xfId="40005"/>
    <cellStyle name="Input 9 3 3 2 2 2 2 2" xfId="40006"/>
    <cellStyle name="Input 9 3 3 2 2 2 3" xfId="40007"/>
    <cellStyle name="Input 9 3 3 2 2 2 3 2" xfId="40008"/>
    <cellStyle name="Input 9 3 3 2 2 2 4" xfId="40009"/>
    <cellStyle name="Input 9 3 3 2 2 2 5" xfId="40010"/>
    <cellStyle name="Input 9 3 3 2 2 2 6" xfId="40011"/>
    <cellStyle name="Input 9 3 3 2 2 3" xfId="40012"/>
    <cellStyle name="Input 9 3 3 2 2 3 2" xfId="40013"/>
    <cellStyle name="Input 9 3 3 2 2 4" xfId="40014"/>
    <cellStyle name="Input 9 3 3 2 2 4 2" xfId="40015"/>
    <cellStyle name="Input 9 3 3 2 2 5" xfId="40016"/>
    <cellStyle name="Input 9 3 3 2 2 6" xfId="40017"/>
    <cellStyle name="Input 9 3 3 2 2 7" xfId="40018"/>
    <cellStyle name="Input 9 3 3 2 3" xfId="40019"/>
    <cellStyle name="Input 9 3 3 2 3 2" xfId="40020"/>
    <cellStyle name="Input 9 3 3 2 3 2 2" xfId="40021"/>
    <cellStyle name="Input 9 3 3 2 3 3" xfId="40022"/>
    <cellStyle name="Input 9 3 3 2 3 3 2" xfId="40023"/>
    <cellStyle name="Input 9 3 3 2 3 4" xfId="40024"/>
    <cellStyle name="Input 9 3 3 2 3 5" xfId="40025"/>
    <cellStyle name="Input 9 3 3 2 3 6" xfId="40026"/>
    <cellStyle name="Input 9 3 3 2 4" xfId="40027"/>
    <cellStyle name="Input 9 3 3 2 4 2" xfId="40028"/>
    <cellStyle name="Input 9 3 3 2 5" xfId="40029"/>
    <cellStyle name="Input 9 3 3 2 5 2" xfId="40030"/>
    <cellStyle name="Input 9 3 3 2 6" xfId="40031"/>
    <cellStyle name="Input 9 3 3 2 7" xfId="40032"/>
    <cellStyle name="Input 9 3 3 2 8" xfId="40033"/>
    <cellStyle name="Input 9 3 3 3" xfId="40034"/>
    <cellStyle name="Input 9 3 3 3 2" xfId="40035"/>
    <cellStyle name="Input 9 3 3 3 2 2" xfId="40036"/>
    <cellStyle name="Input 9 3 3 3 2 2 2" xfId="40037"/>
    <cellStyle name="Input 9 3 3 3 2 2 2 2" xfId="40038"/>
    <cellStyle name="Input 9 3 3 3 2 2 3" xfId="40039"/>
    <cellStyle name="Input 9 3 3 3 2 2 3 2" xfId="40040"/>
    <cellStyle name="Input 9 3 3 3 2 2 4" xfId="40041"/>
    <cellStyle name="Input 9 3 3 3 2 2 5" xfId="40042"/>
    <cellStyle name="Input 9 3 3 3 2 2 6" xfId="40043"/>
    <cellStyle name="Input 9 3 3 3 2 3" xfId="40044"/>
    <cellStyle name="Input 9 3 3 3 2 3 2" xfId="40045"/>
    <cellStyle name="Input 9 3 3 3 2 4" xfId="40046"/>
    <cellStyle name="Input 9 3 3 3 2 4 2" xfId="40047"/>
    <cellStyle name="Input 9 3 3 3 2 5" xfId="40048"/>
    <cellStyle name="Input 9 3 3 3 2 6" xfId="40049"/>
    <cellStyle name="Input 9 3 3 3 2 7" xfId="40050"/>
    <cellStyle name="Input 9 3 3 3 3" xfId="40051"/>
    <cellStyle name="Input 9 3 3 3 3 2" xfId="40052"/>
    <cellStyle name="Input 9 3 3 3 3 2 2" xfId="40053"/>
    <cellStyle name="Input 9 3 3 3 3 3" xfId="40054"/>
    <cellStyle name="Input 9 3 3 3 3 3 2" xfId="40055"/>
    <cellStyle name="Input 9 3 3 3 3 4" xfId="40056"/>
    <cellStyle name="Input 9 3 3 3 3 5" xfId="40057"/>
    <cellStyle name="Input 9 3 3 3 3 6" xfId="40058"/>
    <cellStyle name="Input 9 3 3 3 4" xfId="40059"/>
    <cellStyle name="Input 9 3 3 3 4 2" xfId="40060"/>
    <cellStyle name="Input 9 3 3 3 5" xfId="40061"/>
    <cellStyle name="Input 9 3 3 3 5 2" xfId="40062"/>
    <cellStyle name="Input 9 3 3 3 6" xfId="40063"/>
    <cellStyle name="Input 9 3 3 3 7" xfId="40064"/>
    <cellStyle name="Input 9 3 3 3 8" xfId="40065"/>
    <cellStyle name="Input 9 3 3 4" xfId="40066"/>
    <cellStyle name="Input 9 3 3 4 2" xfId="40067"/>
    <cellStyle name="Input 9 3 3 4 2 2" xfId="40068"/>
    <cellStyle name="Input 9 3 3 4 2 2 2" xfId="40069"/>
    <cellStyle name="Input 9 3 3 4 2 3" xfId="40070"/>
    <cellStyle name="Input 9 3 3 4 2 3 2" xfId="40071"/>
    <cellStyle name="Input 9 3 3 4 2 4" xfId="40072"/>
    <cellStyle name="Input 9 3 3 4 2 5" xfId="40073"/>
    <cellStyle name="Input 9 3 3 4 2 6" xfId="40074"/>
    <cellStyle name="Input 9 3 3 4 3" xfId="40075"/>
    <cellStyle name="Input 9 3 3 4 3 2" xfId="40076"/>
    <cellStyle name="Input 9 3 3 4 4" xfId="40077"/>
    <cellStyle name="Input 9 3 3 4 4 2" xfId="40078"/>
    <cellStyle name="Input 9 3 3 4 5" xfId="40079"/>
    <cellStyle name="Input 9 3 3 4 6" xfId="40080"/>
    <cellStyle name="Input 9 3 3 4 7" xfId="40081"/>
    <cellStyle name="Input 9 3 3 5" xfId="40082"/>
    <cellStyle name="Input 9 3 3 5 2" xfId="40083"/>
    <cellStyle name="Input 9 3 3 5 2 2" xfId="40084"/>
    <cellStyle name="Input 9 3 3 5 3" xfId="40085"/>
    <cellStyle name="Input 9 3 3 5 3 2" xfId="40086"/>
    <cellStyle name="Input 9 3 3 5 4" xfId="40087"/>
    <cellStyle name="Input 9 3 3 5 5" xfId="40088"/>
    <cellStyle name="Input 9 3 3 5 6" xfId="40089"/>
    <cellStyle name="Input 9 3 3 6" xfId="40090"/>
    <cellStyle name="Input 9 3 3 6 2" xfId="40091"/>
    <cellStyle name="Input 9 3 3 7" xfId="40092"/>
    <cellStyle name="Input 9 3 3 7 2" xfId="40093"/>
    <cellStyle name="Input 9 3 3 8" xfId="40094"/>
    <cellStyle name="Input 9 3 3 9" xfId="40095"/>
    <cellStyle name="Input 9 3 4" xfId="40096"/>
    <cellStyle name="Input 9 3 4 2" xfId="40097"/>
    <cellStyle name="Input 9 3 4 2 2" xfId="40098"/>
    <cellStyle name="Input 9 3 4 2 2 2" xfId="40099"/>
    <cellStyle name="Input 9 3 4 2 2 2 2" xfId="40100"/>
    <cellStyle name="Input 9 3 4 2 2 3" xfId="40101"/>
    <cellStyle name="Input 9 3 4 2 2 3 2" xfId="40102"/>
    <cellStyle name="Input 9 3 4 2 2 4" xfId="40103"/>
    <cellStyle name="Input 9 3 4 2 2 5" xfId="40104"/>
    <cellStyle name="Input 9 3 4 2 2 6" xfId="40105"/>
    <cellStyle name="Input 9 3 4 2 3" xfId="40106"/>
    <cellStyle name="Input 9 3 4 2 3 2" xfId="40107"/>
    <cellStyle name="Input 9 3 4 2 4" xfId="40108"/>
    <cellStyle name="Input 9 3 4 2 4 2" xfId="40109"/>
    <cellStyle name="Input 9 3 4 2 5" xfId="40110"/>
    <cellStyle name="Input 9 3 4 2 6" xfId="40111"/>
    <cellStyle name="Input 9 3 4 2 7" xfId="40112"/>
    <cellStyle name="Input 9 3 4 3" xfId="40113"/>
    <cellStyle name="Input 9 3 4 3 2" xfId="40114"/>
    <cellStyle name="Input 9 3 4 3 2 2" xfId="40115"/>
    <cellStyle name="Input 9 3 4 3 3" xfId="40116"/>
    <cellStyle name="Input 9 3 4 3 3 2" xfId="40117"/>
    <cellStyle name="Input 9 3 4 3 4" xfId="40118"/>
    <cellStyle name="Input 9 3 4 3 5" xfId="40119"/>
    <cellStyle name="Input 9 3 4 3 6" xfId="40120"/>
    <cellStyle name="Input 9 3 4 4" xfId="40121"/>
    <cellStyle name="Input 9 3 4 4 2" xfId="40122"/>
    <cellStyle name="Input 9 3 4 5" xfId="40123"/>
    <cellStyle name="Input 9 3 4 5 2" xfId="40124"/>
    <cellStyle name="Input 9 3 4 6" xfId="40125"/>
    <cellStyle name="Input 9 3 4 7" xfId="40126"/>
    <cellStyle name="Input 9 3 4 8" xfId="40127"/>
    <cellStyle name="Input 9 3 5" xfId="40128"/>
    <cellStyle name="Input 9 3 5 2" xfId="40129"/>
    <cellStyle name="Input 9 3 5 2 2" xfId="40130"/>
    <cellStyle name="Input 9 3 5 2 2 2" xfId="40131"/>
    <cellStyle name="Input 9 3 5 2 3" xfId="40132"/>
    <cellStyle name="Input 9 3 5 2 3 2" xfId="40133"/>
    <cellStyle name="Input 9 3 5 2 4" xfId="40134"/>
    <cellStyle name="Input 9 3 5 2 5" xfId="40135"/>
    <cellStyle name="Input 9 3 5 2 6" xfId="40136"/>
    <cellStyle name="Input 9 3 5 3" xfId="40137"/>
    <cellStyle name="Input 9 3 5 3 2" xfId="40138"/>
    <cellStyle name="Input 9 3 5 4" xfId="40139"/>
    <cellStyle name="Input 9 3 5 4 2" xfId="40140"/>
    <cellStyle name="Input 9 3 5 5" xfId="40141"/>
    <cellStyle name="Input 9 3 5 6" xfId="40142"/>
    <cellStyle name="Input 9 3 5 7" xfId="40143"/>
    <cellStyle name="Input 9 3 6" xfId="40144"/>
    <cellStyle name="Input 9 3 6 2" xfId="40145"/>
    <cellStyle name="Input 9 3 6 2 2" xfId="40146"/>
    <cellStyle name="Input 9 3 6 3" xfId="40147"/>
    <cellStyle name="Input 9 3 6 3 2" xfId="40148"/>
    <cellStyle name="Input 9 3 6 4" xfId="40149"/>
    <cellStyle name="Input 9 3 6 5" xfId="40150"/>
    <cellStyle name="Input 9 3 6 6" xfId="40151"/>
    <cellStyle name="Input 9 3 7" xfId="40152"/>
    <cellStyle name="Input 9 3 7 2" xfId="40153"/>
    <cellStyle name="Input 9 3 8" xfId="40154"/>
    <cellStyle name="Input 9 3 8 2" xfId="40155"/>
    <cellStyle name="Input 9 3 9" xfId="40156"/>
    <cellStyle name="Input 9 4" xfId="40157"/>
    <cellStyle name="Input 9 4 10" xfId="40158"/>
    <cellStyle name="Input 9 4 11" xfId="40159"/>
    <cellStyle name="Input 9 4 2" xfId="40160"/>
    <cellStyle name="Input 9 4 2 10" xfId="40161"/>
    <cellStyle name="Input 9 4 2 2" xfId="40162"/>
    <cellStyle name="Input 9 4 2 2 2" xfId="40163"/>
    <cellStyle name="Input 9 4 2 2 2 2" xfId="40164"/>
    <cellStyle name="Input 9 4 2 2 2 2 2" xfId="40165"/>
    <cellStyle name="Input 9 4 2 2 2 2 2 2" xfId="40166"/>
    <cellStyle name="Input 9 4 2 2 2 2 3" xfId="40167"/>
    <cellStyle name="Input 9 4 2 2 2 2 3 2" xfId="40168"/>
    <cellStyle name="Input 9 4 2 2 2 2 4" xfId="40169"/>
    <cellStyle name="Input 9 4 2 2 2 2 5" xfId="40170"/>
    <cellStyle name="Input 9 4 2 2 2 2 6" xfId="40171"/>
    <cellStyle name="Input 9 4 2 2 2 3" xfId="40172"/>
    <cellStyle name="Input 9 4 2 2 2 3 2" xfId="40173"/>
    <cellStyle name="Input 9 4 2 2 2 4" xfId="40174"/>
    <cellStyle name="Input 9 4 2 2 2 4 2" xfId="40175"/>
    <cellStyle name="Input 9 4 2 2 2 5" xfId="40176"/>
    <cellStyle name="Input 9 4 2 2 2 6" xfId="40177"/>
    <cellStyle name="Input 9 4 2 2 2 7" xfId="40178"/>
    <cellStyle name="Input 9 4 2 2 3" xfId="40179"/>
    <cellStyle name="Input 9 4 2 2 3 2" xfId="40180"/>
    <cellStyle name="Input 9 4 2 2 3 2 2" xfId="40181"/>
    <cellStyle name="Input 9 4 2 2 3 3" xfId="40182"/>
    <cellStyle name="Input 9 4 2 2 3 3 2" xfId="40183"/>
    <cellStyle name="Input 9 4 2 2 3 4" xfId="40184"/>
    <cellStyle name="Input 9 4 2 2 3 5" xfId="40185"/>
    <cellStyle name="Input 9 4 2 2 3 6" xfId="40186"/>
    <cellStyle name="Input 9 4 2 2 4" xfId="40187"/>
    <cellStyle name="Input 9 4 2 2 4 2" xfId="40188"/>
    <cellStyle name="Input 9 4 2 2 5" xfId="40189"/>
    <cellStyle name="Input 9 4 2 2 5 2" xfId="40190"/>
    <cellStyle name="Input 9 4 2 2 6" xfId="40191"/>
    <cellStyle name="Input 9 4 2 2 7" xfId="40192"/>
    <cellStyle name="Input 9 4 2 2 8" xfId="40193"/>
    <cellStyle name="Input 9 4 2 3" xfId="40194"/>
    <cellStyle name="Input 9 4 2 3 2" xfId="40195"/>
    <cellStyle name="Input 9 4 2 3 2 2" xfId="40196"/>
    <cellStyle name="Input 9 4 2 3 2 2 2" xfId="40197"/>
    <cellStyle name="Input 9 4 2 3 2 2 2 2" xfId="40198"/>
    <cellStyle name="Input 9 4 2 3 2 2 3" xfId="40199"/>
    <cellStyle name="Input 9 4 2 3 2 2 3 2" xfId="40200"/>
    <cellStyle name="Input 9 4 2 3 2 2 4" xfId="40201"/>
    <cellStyle name="Input 9 4 2 3 2 2 5" xfId="40202"/>
    <cellStyle name="Input 9 4 2 3 2 2 6" xfId="40203"/>
    <cellStyle name="Input 9 4 2 3 2 3" xfId="40204"/>
    <cellStyle name="Input 9 4 2 3 2 3 2" xfId="40205"/>
    <cellStyle name="Input 9 4 2 3 2 4" xfId="40206"/>
    <cellStyle name="Input 9 4 2 3 2 4 2" xfId="40207"/>
    <cellStyle name="Input 9 4 2 3 2 5" xfId="40208"/>
    <cellStyle name="Input 9 4 2 3 2 6" xfId="40209"/>
    <cellStyle name="Input 9 4 2 3 2 7" xfId="40210"/>
    <cellStyle name="Input 9 4 2 3 3" xfId="40211"/>
    <cellStyle name="Input 9 4 2 3 3 2" xfId="40212"/>
    <cellStyle name="Input 9 4 2 3 3 2 2" xfId="40213"/>
    <cellStyle name="Input 9 4 2 3 3 3" xfId="40214"/>
    <cellStyle name="Input 9 4 2 3 3 3 2" xfId="40215"/>
    <cellStyle name="Input 9 4 2 3 3 4" xfId="40216"/>
    <cellStyle name="Input 9 4 2 3 3 5" xfId="40217"/>
    <cellStyle name="Input 9 4 2 3 3 6" xfId="40218"/>
    <cellStyle name="Input 9 4 2 3 4" xfId="40219"/>
    <cellStyle name="Input 9 4 2 3 4 2" xfId="40220"/>
    <cellStyle name="Input 9 4 2 3 5" xfId="40221"/>
    <cellStyle name="Input 9 4 2 3 5 2" xfId="40222"/>
    <cellStyle name="Input 9 4 2 3 6" xfId="40223"/>
    <cellStyle name="Input 9 4 2 3 7" xfId="40224"/>
    <cellStyle name="Input 9 4 2 3 8" xfId="40225"/>
    <cellStyle name="Input 9 4 2 4" xfId="40226"/>
    <cellStyle name="Input 9 4 2 4 2" xfId="40227"/>
    <cellStyle name="Input 9 4 2 4 2 2" xfId="40228"/>
    <cellStyle name="Input 9 4 2 4 2 2 2" xfId="40229"/>
    <cellStyle name="Input 9 4 2 4 2 3" xfId="40230"/>
    <cellStyle name="Input 9 4 2 4 2 3 2" xfId="40231"/>
    <cellStyle name="Input 9 4 2 4 2 4" xfId="40232"/>
    <cellStyle name="Input 9 4 2 4 2 5" xfId="40233"/>
    <cellStyle name="Input 9 4 2 4 2 6" xfId="40234"/>
    <cellStyle name="Input 9 4 2 4 3" xfId="40235"/>
    <cellStyle name="Input 9 4 2 4 3 2" xfId="40236"/>
    <cellStyle name="Input 9 4 2 4 4" xfId="40237"/>
    <cellStyle name="Input 9 4 2 4 4 2" xfId="40238"/>
    <cellStyle name="Input 9 4 2 4 5" xfId="40239"/>
    <cellStyle name="Input 9 4 2 4 6" xfId="40240"/>
    <cellStyle name="Input 9 4 2 4 7" xfId="40241"/>
    <cellStyle name="Input 9 4 2 5" xfId="40242"/>
    <cellStyle name="Input 9 4 2 5 2" xfId="40243"/>
    <cellStyle name="Input 9 4 2 5 2 2" xfId="40244"/>
    <cellStyle name="Input 9 4 2 5 3" xfId="40245"/>
    <cellStyle name="Input 9 4 2 5 3 2" xfId="40246"/>
    <cellStyle name="Input 9 4 2 5 4" xfId="40247"/>
    <cellStyle name="Input 9 4 2 5 5" xfId="40248"/>
    <cellStyle name="Input 9 4 2 5 6" xfId="40249"/>
    <cellStyle name="Input 9 4 2 6" xfId="40250"/>
    <cellStyle name="Input 9 4 2 6 2" xfId="40251"/>
    <cellStyle name="Input 9 4 2 7" xfId="40252"/>
    <cellStyle name="Input 9 4 2 7 2" xfId="40253"/>
    <cellStyle name="Input 9 4 2 8" xfId="40254"/>
    <cellStyle name="Input 9 4 2 9" xfId="40255"/>
    <cellStyle name="Input 9 4 3" xfId="40256"/>
    <cellStyle name="Input 9 4 3 2" xfId="40257"/>
    <cellStyle name="Input 9 4 3 2 2" xfId="40258"/>
    <cellStyle name="Input 9 4 3 2 2 2" xfId="40259"/>
    <cellStyle name="Input 9 4 3 2 2 2 2" xfId="40260"/>
    <cellStyle name="Input 9 4 3 2 2 3" xfId="40261"/>
    <cellStyle name="Input 9 4 3 2 2 3 2" xfId="40262"/>
    <cellStyle name="Input 9 4 3 2 2 4" xfId="40263"/>
    <cellStyle name="Input 9 4 3 2 2 5" xfId="40264"/>
    <cellStyle name="Input 9 4 3 2 2 6" xfId="40265"/>
    <cellStyle name="Input 9 4 3 2 3" xfId="40266"/>
    <cellStyle name="Input 9 4 3 2 3 2" xfId="40267"/>
    <cellStyle name="Input 9 4 3 2 4" xfId="40268"/>
    <cellStyle name="Input 9 4 3 2 4 2" xfId="40269"/>
    <cellStyle name="Input 9 4 3 2 5" xfId="40270"/>
    <cellStyle name="Input 9 4 3 2 6" xfId="40271"/>
    <cellStyle name="Input 9 4 3 2 7" xfId="40272"/>
    <cellStyle name="Input 9 4 3 3" xfId="40273"/>
    <cellStyle name="Input 9 4 3 3 2" xfId="40274"/>
    <cellStyle name="Input 9 4 3 3 2 2" xfId="40275"/>
    <cellStyle name="Input 9 4 3 3 3" xfId="40276"/>
    <cellStyle name="Input 9 4 3 3 3 2" xfId="40277"/>
    <cellStyle name="Input 9 4 3 3 4" xfId="40278"/>
    <cellStyle name="Input 9 4 3 3 5" xfId="40279"/>
    <cellStyle name="Input 9 4 3 3 6" xfId="40280"/>
    <cellStyle name="Input 9 4 3 4" xfId="40281"/>
    <cellStyle name="Input 9 4 3 4 2" xfId="40282"/>
    <cellStyle name="Input 9 4 3 5" xfId="40283"/>
    <cellStyle name="Input 9 4 3 5 2" xfId="40284"/>
    <cellStyle name="Input 9 4 3 6" xfId="40285"/>
    <cellStyle name="Input 9 4 3 7" xfId="40286"/>
    <cellStyle name="Input 9 4 3 8" xfId="40287"/>
    <cellStyle name="Input 9 4 4" xfId="40288"/>
    <cellStyle name="Input 9 4 4 2" xfId="40289"/>
    <cellStyle name="Input 9 4 4 2 2" xfId="40290"/>
    <cellStyle name="Input 9 4 4 2 2 2" xfId="40291"/>
    <cellStyle name="Input 9 4 4 2 2 2 2" xfId="40292"/>
    <cellStyle name="Input 9 4 4 2 2 3" xfId="40293"/>
    <cellStyle name="Input 9 4 4 2 2 3 2" xfId="40294"/>
    <cellStyle name="Input 9 4 4 2 2 4" xfId="40295"/>
    <cellStyle name="Input 9 4 4 2 2 5" xfId="40296"/>
    <cellStyle name="Input 9 4 4 2 2 6" xfId="40297"/>
    <cellStyle name="Input 9 4 4 2 3" xfId="40298"/>
    <cellStyle name="Input 9 4 4 2 3 2" xfId="40299"/>
    <cellStyle name="Input 9 4 4 2 4" xfId="40300"/>
    <cellStyle name="Input 9 4 4 2 4 2" xfId="40301"/>
    <cellStyle name="Input 9 4 4 2 5" xfId="40302"/>
    <cellStyle name="Input 9 4 4 2 6" xfId="40303"/>
    <cellStyle name="Input 9 4 4 2 7" xfId="40304"/>
    <cellStyle name="Input 9 4 4 3" xfId="40305"/>
    <cellStyle name="Input 9 4 4 3 2" xfId="40306"/>
    <cellStyle name="Input 9 4 4 3 2 2" xfId="40307"/>
    <cellStyle name="Input 9 4 4 3 3" xfId="40308"/>
    <cellStyle name="Input 9 4 4 3 3 2" xfId="40309"/>
    <cellStyle name="Input 9 4 4 3 4" xfId="40310"/>
    <cellStyle name="Input 9 4 4 3 5" xfId="40311"/>
    <cellStyle name="Input 9 4 4 3 6" xfId="40312"/>
    <cellStyle name="Input 9 4 4 4" xfId="40313"/>
    <cellStyle name="Input 9 4 4 4 2" xfId="40314"/>
    <cellStyle name="Input 9 4 4 5" xfId="40315"/>
    <cellStyle name="Input 9 4 4 5 2" xfId="40316"/>
    <cellStyle name="Input 9 4 4 6" xfId="40317"/>
    <cellStyle name="Input 9 4 4 7" xfId="40318"/>
    <cellStyle name="Input 9 4 4 8" xfId="40319"/>
    <cellStyle name="Input 9 4 5" xfId="40320"/>
    <cellStyle name="Input 9 4 5 2" xfId="40321"/>
    <cellStyle name="Input 9 4 5 2 2" xfId="40322"/>
    <cellStyle name="Input 9 4 5 2 2 2" xfId="40323"/>
    <cellStyle name="Input 9 4 5 2 3" xfId="40324"/>
    <cellStyle name="Input 9 4 5 2 3 2" xfId="40325"/>
    <cellStyle name="Input 9 4 5 2 4" xfId="40326"/>
    <cellStyle name="Input 9 4 5 2 5" xfId="40327"/>
    <cellStyle name="Input 9 4 5 2 6" xfId="40328"/>
    <cellStyle name="Input 9 4 5 3" xfId="40329"/>
    <cellStyle name="Input 9 4 5 3 2" xfId="40330"/>
    <cellStyle name="Input 9 4 5 4" xfId="40331"/>
    <cellStyle name="Input 9 4 5 4 2" xfId="40332"/>
    <cellStyle name="Input 9 4 5 5" xfId="40333"/>
    <cellStyle name="Input 9 4 5 6" xfId="40334"/>
    <cellStyle name="Input 9 4 5 7" xfId="40335"/>
    <cellStyle name="Input 9 4 6" xfId="40336"/>
    <cellStyle name="Input 9 4 6 2" xfId="40337"/>
    <cellStyle name="Input 9 4 6 2 2" xfId="40338"/>
    <cellStyle name="Input 9 4 6 3" xfId="40339"/>
    <cellStyle name="Input 9 4 6 3 2" xfId="40340"/>
    <cellStyle name="Input 9 4 6 4" xfId="40341"/>
    <cellStyle name="Input 9 4 6 5" xfId="40342"/>
    <cellStyle name="Input 9 4 6 6" xfId="40343"/>
    <cellStyle name="Input 9 4 7" xfId="40344"/>
    <cellStyle name="Input 9 4 7 2" xfId="40345"/>
    <cellStyle name="Input 9 4 8" xfId="40346"/>
    <cellStyle name="Input 9 4 8 2" xfId="40347"/>
    <cellStyle name="Input 9 4 9" xfId="40348"/>
    <cellStyle name="Input 9 5" xfId="40349"/>
    <cellStyle name="Input 9 5 10" xfId="40350"/>
    <cellStyle name="Input 9 5 2" xfId="40351"/>
    <cellStyle name="Input 9 5 2 2" xfId="40352"/>
    <cellStyle name="Input 9 5 2 2 2" xfId="40353"/>
    <cellStyle name="Input 9 5 2 2 2 2" xfId="40354"/>
    <cellStyle name="Input 9 5 2 2 2 2 2" xfId="40355"/>
    <cellStyle name="Input 9 5 2 2 2 3" xfId="40356"/>
    <cellStyle name="Input 9 5 2 2 2 3 2" xfId="40357"/>
    <cellStyle name="Input 9 5 2 2 2 4" xfId="40358"/>
    <cellStyle name="Input 9 5 2 2 2 5" xfId="40359"/>
    <cellStyle name="Input 9 5 2 2 2 6" xfId="40360"/>
    <cellStyle name="Input 9 5 2 2 3" xfId="40361"/>
    <cellStyle name="Input 9 5 2 2 3 2" xfId="40362"/>
    <cellStyle name="Input 9 5 2 2 4" xfId="40363"/>
    <cellStyle name="Input 9 5 2 2 4 2" xfId="40364"/>
    <cellStyle name="Input 9 5 2 2 5" xfId="40365"/>
    <cellStyle name="Input 9 5 2 2 6" xfId="40366"/>
    <cellStyle name="Input 9 5 2 2 7" xfId="40367"/>
    <cellStyle name="Input 9 5 2 3" xfId="40368"/>
    <cellStyle name="Input 9 5 2 3 2" xfId="40369"/>
    <cellStyle name="Input 9 5 2 3 2 2" xfId="40370"/>
    <cellStyle name="Input 9 5 2 3 3" xfId="40371"/>
    <cellStyle name="Input 9 5 2 3 3 2" xfId="40372"/>
    <cellStyle name="Input 9 5 2 3 4" xfId="40373"/>
    <cellStyle name="Input 9 5 2 3 5" xfId="40374"/>
    <cellStyle name="Input 9 5 2 3 6" xfId="40375"/>
    <cellStyle name="Input 9 5 2 4" xfId="40376"/>
    <cellStyle name="Input 9 5 2 4 2" xfId="40377"/>
    <cellStyle name="Input 9 5 2 5" xfId="40378"/>
    <cellStyle name="Input 9 5 2 5 2" xfId="40379"/>
    <cellStyle name="Input 9 5 2 6" xfId="40380"/>
    <cellStyle name="Input 9 5 2 7" xfId="40381"/>
    <cellStyle name="Input 9 5 2 8" xfId="40382"/>
    <cellStyle name="Input 9 5 3" xfId="40383"/>
    <cellStyle name="Input 9 5 3 2" xfId="40384"/>
    <cellStyle name="Input 9 5 3 2 2" xfId="40385"/>
    <cellStyle name="Input 9 5 3 2 2 2" xfId="40386"/>
    <cellStyle name="Input 9 5 3 2 2 2 2" xfId="40387"/>
    <cellStyle name="Input 9 5 3 2 2 3" xfId="40388"/>
    <cellStyle name="Input 9 5 3 2 2 3 2" xfId="40389"/>
    <cellStyle name="Input 9 5 3 2 2 4" xfId="40390"/>
    <cellStyle name="Input 9 5 3 2 2 5" xfId="40391"/>
    <cellStyle name="Input 9 5 3 2 2 6" xfId="40392"/>
    <cellStyle name="Input 9 5 3 2 3" xfId="40393"/>
    <cellStyle name="Input 9 5 3 2 3 2" xfId="40394"/>
    <cellStyle name="Input 9 5 3 2 4" xfId="40395"/>
    <cellStyle name="Input 9 5 3 2 4 2" xfId="40396"/>
    <cellStyle name="Input 9 5 3 2 5" xfId="40397"/>
    <cellStyle name="Input 9 5 3 2 6" xfId="40398"/>
    <cellStyle name="Input 9 5 3 2 7" xfId="40399"/>
    <cellStyle name="Input 9 5 3 3" xfId="40400"/>
    <cellStyle name="Input 9 5 3 3 2" xfId="40401"/>
    <cellStyle name="Input 9 5 3 3 2 2" xfId="40402"/>
    <cellStyle name="Input 9 5 3 3 3" xfId="40403"/>
    <cellStyle name="Input 9 5 3 3 3 2" xfId="40404"/>
    <cellStyle name="Input 9 5 3 3 4" xfId="40405"/>
    <cellStyle name="Input 9 5 3 3 5" xfId="40406"/>
    <cellStyle name="Input 9 5 3 3 6" xfId="40407"/>
    <cellStyle name="Input 9 5 3 4" xfId="40408"/>
    <cellStyle name="Input 9 5 3 4 2" xfId="40409"/>
    <cellStyle name="Input 9 5 3 5" xfId="40410"/>
    <cellStyle name="Input 9 5 3 5 2" xfId="40411"/>
    <cellStyle name="Input 9 5 3 6" xfId="40412"/>
    <cellStyle name="Input 9 5 3 7" xfId="40413"/>
    <cellStyle name="Input 9 5 3 8" xfId="40414"/>
    <cellStyle name="Input 9 5 4" xfId="40415"/>
    <cellStyle name="Input 9 5 4 2" xfId="40416"/>
    <cellStyle name="Input 9 5 4 2 2" xfId="40417"/>
    <cellStyle name="Input 9 5 4 2 2 2" xfId="40418"/>
    <cellStyle name="Input 9 5 4 2 3" xfId="40419"/>
    <cellStyle name="Input 9 5 4 2 3 2" xfId="40420"/>
    <cellStyle name="Input 9 5 4 2 4" xfId="40421"/>
    <cellStyle name="Input 9 5 4 2 5" xfId="40422"/>
    <cellStyle name="Input 9 5 4 2 6" xfId="40423"/>
    <cellStyle name="Input 9 5 4 3" xfId="40424"/>
    <cellStyle name="Input 9 5 4 3 2" xfId="40425"/>
    <cellStyle name="Input 9 5 4 4" xfId="40426"/>
    <cellStyle name="Input 9 5 4 4 2" xfId="40427"/>
    <cellStyle name="Input 9 5 4 5" xfId="40428"/>
    <cellStyle name="Input 9 5 4 6" xfId="40429"/>
    <cellStyle name="Input 9 5 4 7" xfId="40430"/>
    <cellStyle name="Input 9 5 5" xfId="40431"/>
    <cellStyle name="Input 9 5 5 2" xfId="40432"/>
    <cellStyle name="Input 9 5 5 2 2" xfId="40433"/>
    <cellStyle name="Input 9 5 5 3" xfId="40434"/>
    <cellStyle name="Input 9 5 5 3 2" xfId="40435"/>
    <cellStyle name="Input 9 5 5 4" xfId="40436"/>
    <cellStyle name="Input 9 5 5 5" xfId="40437"/>
    <cellStyle name="Input 9 5 5 6" xfId="40438"/>
    <cellStyle name="Input 9 5 6" xfId="40439"/>
    <cellStyle name="Input 9 5 6 2" xfId="40440"/>
    <cellStyle name="Input 9 5 7" xfId="40441"/>
    <cellStyle name="Input 9 5 7 2" xfId="40442"/>
    <cellStyle name="Input 9 5 8" xfId="40443"/>
    <cellStyle name="Input 9 5 9" xfId="40444"/>
    <cellStyle name="Input 9 6" xfId="40445"/>
    <cellStyle name="Input 9 6 2" xfId="40446"/>
    <cellStyle name="Input 9 6 2 2" xfId="40447"/>
    <cellStyle name="Input 9 6 2 2 2" xfId="40448"/>
    <cellStyle name="Input 9 6 2 2 2 2" xfId="40449"/>
    <cellStyle name="Input 9 6 2 2 3" xfId="40450"/>
    <cellStyle name="Input 9 6 2 2 3 2" xfId="40451"/>
    <cellStyle name="Input 9 6 2 2 4" xfId="40452"/>
    <cellStyle name="Input 9 6 2 2 5" xfId="40453"/>
    <cellStyle name="Input 9 6 2 2 6" xfId="40454"/>
    <cellStyle name="Input 9 6 2 3" xfId="40455"/>
    <cellStyle name="Input 9 6 2 3 2" xfId="40456"/>
    <cellStyle name="Input 9 6 2 4" xfId="40457"/>
    <cellStyle name="Input 9 6 2 4 2" xfId="40458"/>
    <cellStyle name="Input 9 6 2 5" xfId="40459"/>
    <cellStyle name="Input 9 6 2 6" xfId="40460"/>
    <cellStyle name="Input 9 6 2 7" xfId="40461"/>
    <cellStyle name="Input 9 6 3" xfId="40462"/>
    <cellStyle name="Input 9 6 3 2" xfId="40463"/>
    <cellStyle name="Input 9 6 3 2 2" xfId="40464"/>
    <cellStyle name="Input 9 6 3 3" xfId="40465"/>
    <cellStyle name="Input 9 6 3 3 2" xfId="40466"/>
    <cellStyle name="Input 9 6 3 4" xfId="40467"/>
    <cellStyle name="Input 9 6 3 5" xfId="40468"/>
    <cellStyle name="Input 9 6 3 6" xfId="40469"/>
    <cellStyle name="Input 9 6 4" xfId="40470"/>
    <cellStyle name="Input 9 6 4 2" xfId="40471"/>
    <cellStyle name="Input 9 6 5" xfId="40472"/>
    <cellStyle name="Input 9 6 5 2" xfId="40473"/>
    <cellStyle name="Input 9 6 6" xfId="40474"/>
    <cellStyle name="Input 9 6 7" xfId="40475"/>
    <cellStyle name="Input 9 6 8" xfId="40476"/>
    <cellStyle name="Input 9 7" xfId="40477"/>
    <cellStyle name="Input 9 7 2" xfId="40478"/>
    <cellStyle name="Input 9 7 2 2" xfId="40479"/>
    <cellStyle name="Input 9 7 2 2 2" xfId="40480"/>
    <cellStyle name="Input 9 7 2 3" xfId="40481"/>
    <cellStyle name="Input 9 7 2 3 2" xfId="40482"/>
    <cellStyle name="Input 9 7 2 4" xfId="40483"/>
    <cellStyle name="Input 9 7 2 5" xfId="40484"/>
    <cellStyle name="Input 9 7 2 6" xfId="40485"/>
    <cellStyle name="Input 9 7 3" xfId="40486"/>
    <cellStyle name="Input 9 7 3 2" xfId="40487"/>
    <cellStyle name="Input 9 7 4" xfId="40488"/>
    <cellStyle name="Input 9 7 4 2" xfId="40489"/>
    <cellStyle name="Input 9 7 5" xfId="40490"/>
    <cellStyle name="Input 9 7 6" xfId="40491"/>
    <cellStyle name="Input 9 7 7" xfId="40492"/>
    <cellStyle name="Input 9 8" xfId="40493"/>
    <cellStyle name="Input 9 8 2" xfId="40494"/>
    <cellStyle name="Input 9 9" xfId="40495"/>
    <cellStyle name="Input 9 9 2" xfId="40496"/>
    <cellStyle name="Input_05-Z01-SHH Desuperheater" xfId="40497"/>
    <cellStyle name="Linked Cell" xfId="40498"/>
    <cellStyle name="Linked Cell 2" xfId="40499"/>
    <cellStyle name="Linked Cell 2 2" xfId="40500"/>
    <cellStyle name="Linked Cell 2 3" xfId="40501"/>
    <cellStyle name="Linked Cell 2 4" xfId="40502"/>
    <cellStyle name="Linked Cell 2 5" xfId="40503"/>
    <cellStyle name="Linked Cell 3" xfId="40504"/>
    <cellStyle name="Linked Cell 4" xfId="40505"/>
    <cellStyle name="Linked Cell 5" xfId="40506"/>
    <cellStyle name="Linked Cell 6" xfId="40507"/>
    <cellStyle name="mhcha" xfId="40508"/>
    <cellStyle name="mhcha 2" xfId="40509"/>
    <cellStyle name="mhcha 3" xfId="40510"/>
    <cellStyle name="mhcha 4" xfId="40511"/>
    <cellStyle name="mhcha 5" xfId="40512"/>
    <cellStyle name="Migliaia (0)_alkila" xfId="40513"/>
    <cellStyle name="Migliaia_alkila" xfId="40514"/>
    <cellStyle name="Milliers [0]_Arabian Spec" xfId="40515"/>
    <cellStyle name="Milliers_Arabian Spec" xfId="40516"/>
    <cellStyle name="Model" xfId="40517"/>
    <cellStyle name="Model 2" xfId="40518"/>
    <cellStyle name="Model 2 2" xfId="40519"/>
    <cellStyle name="Model 2 2 2" xfId="40520"/>
    <cellStyle name="Model 2 3" xfId="40521"/>
    <cellStyle name="Model 2 4" xfId="40522"/>
    <cellStyle name="Model 2 5" xfId="40523"/>
    <cellStyle name="Model 3" xfId="40524"/>
    <cellStyle name="Model 3 2" xfId="40525"/>
    <cellStyle name="Model 4" xfId="40526"/>
    <cellStyle name="Model 5" xfId="40527"/>
    <cellStyle name="Model 6" xfId="40528"/>
    <cellStyle name="Moeda [0]_PLDT" xfId="40529"/>
    <cellStyle name="Moeda_PLDT" xfId="40530"/>
    <cellStyle name="Mon?aire [0]_Arabian Spec" xfId="40531"/>
    <cellStyle name="Mon?aire_Arabian Spec" xfId="40532"/>
    <cellStyle name="Neutral" xfId="40533"/>
    <cellStyle name="Neutral 2" xfId="40534"/>
    <cellStyle name="Neutral 2 10" xfId="40535"/>
    <cellStyle name="Neutral 2 11" xfId="40536"/>
    <cellStyle name="Neutral 2 12" xfId="40537"/>
    <cellStyle name="Neutral 2 13" xfId="40538"/>
    <cellStyle name="Neutral 2 14" xfId="40539"/>
    <cellStyle name="Neutral 2 15" xfId="40540"/>
    <cellStyle name="Neutral 2 16" xfId="40541"/>
    <cellStyle name="Neutral 2 17" xfId="40542"/>
    <cellStyle name="Neutral 2 18" xfId="40543"/>
    <cellStyle name="Neutral 2 19" xfId="40544"/>
    <cellStyle name="Neutral 2 2" xfId="40545"/>
    <cellStyle name="Neutral 2 20" xfId="40546"/>
    <cellStyle name="Neutral 2 21" xfId="40547"/>
    <cellStyle name="Neutral 2 22" xfId="40548"/>
    <cellStyle name="Neutral 2 23" xfId="40549"/>
    <cellStyle name="Neutral 2 24" xfId="40550"/>
    <cellStyle name="Neutral 2 25" xfId="40551"/>
    <cellStyle name="Neutral 2 26" xfId="40552"/>
    <cellStyle name="Neutral 2 3" xfId="40553"/>
    <cellStyle name="Neutral 2 4" xfId="40554"/>
    <cellStyle name="Neutral 2 5" xfId="40555"/>
    <cellStyle name="Neutral 2 6" xfId="40556"/>
    <cellStyle name="Neutral 2 7" xfId="40557"/>
    <cellStyle name="Neutral 2 8" xfId="40558"/>
    <cellStyle name="Neutral 2 9" xfId="40559"/>
    <cellStyle name="Neutral 3" xfId="40560"/>
    <cellStyle name="Neutral 4" xfId="40561"/>
    <cellStyle name="Neutral 5" xfId="40562"/>
    <cellStyle name="Neutral 6" xfId="40563"/>
    <cellStyle name="no dec" xfId="40564"/>
    <cellStyle name="no dec 2" xfId="40565"/>
    <cellStyle name="no dec 3" xfId="40566"/>
    <cellStyle name="no dec 4" xfId="40567"/>
    <cellStyle name="no dec 5" xfId="40568"/>
    <cellStyle name="Normal - Style1" xfId="40569"/>
    <cellStyle name="Normal - Style1 2" xfId="40570"/>
    <cellStyle name="Normal - Style1 3" xfId="40571"/>
    <cellStyle name="Normal - Style1 4" xfId="40572"/>
    <cellStyle name="Normal - Style1 5" xfId="40573"/>
    <cellStyle name="Normal - Style1 6" xfId="40574"/>
    <cellStyle name="Normal - Style1 7" xfId="40575"/>
    <cellStyle name="Normal - Style1 8" xfId="40576"/>
    <cellStyle name="Normal 2" xfId="40577"/>
    <cellStyle name="Normal 2 2" xfId="40578"/>
    <cellStyle name="Normal 2 2 2" xfId="40579"/>
    <cellStyle name="Normal 2 2 3" xfId="40580"/>
    <cellStyle name="Normal 2 2 4" xfId="40581"/>
    <cellStyle name="Normal 2 2 5" xfId="40582"/>
    <cellStyle name="Normal 2 2 6" xfId="40583"/>
    <cellStyle name="Normal 2 3" xfId="40584"/>
    <cellStyle name="Normal 2 4" xfId="40585"/>
    <cellStyle name="Normal 2 5" xfId="40586"/>
    <cellStyle name="Normal 2 6" xfId="40587"/>
    <cellStyle name="Normal 3" xfId="40588"/>
    <cellStyle name="Normal_ " xfId="40589"/>
    <cellStyle name="Normale_03263_2A" xfId="40590"/>
    <cellStyle name="Note" xfId="40591"/>
    <cellStyle name="Note 10" xfId="40592"/>
    <cellStyle name="Note 11" xfId="40593"/>
    <cellStyle name="Note 12" xfId="40594"/>
    <cellStyle name="Note 2" xfId="40595"/>
    <cellStyle name="Note 2 10" xfId="40596"/>
    <cellStyle name="Note 2 11" xfId="40597"/>
    <cellStyle name="Note 2 2" xfId="40598"/>
    <cellStyle name="Note 2 2 10" xfId="40599"/>
    <cellStyle name="Note 2 2 11" xfId="40600"/>
    <cellStyle name="Note 2 2 12" xfId="40601"/>
    <cellStyle name="Note 2 2 2" xfId="40602"/>
    <cellStyle name="Note 2 2 2 10" xfId="40603"/>
    <cellStyle name="Note 2 2 2 11" xfId="40604"/>
    <cellStyle name="Note 2 2 2 12" xfId="40605"/>
    <cellStyle name="Note 2 2 2 2" xfId="40606"/>
    <cellStyle name="Note 2 2 2 2 10" xfId="40607"/>
    <cellStyle name="Note 2 2 2 2 2" xfId="40608"/>
    <cellStyle name="Note 2 2 2 2 2 2" xfId="40609"/>
    <cellStyle name="Note 2 2 2 2 2 2 2" xfId="40610"/>
    <cellStyle name="Note 2 2 2 2 2 2 2 2" xfId="40611"/>
    <cellStyle name="Note 2 2 2 2 2 2 2 2 2" xfId="40612"/>
    <cellStyle name="Note 2 2 2 2 2 2 2 2 2 2" xfId="40613"/>
    <cellStyle name="Note 2 2 2 2 2 2 2 2 3" xfId="40614"/>
    <cellStyle name="Note 2 2 2 2 2 2 2 2 3 2" xfId="40615"/>
    <cellStyle name="Note 2 2 2 2 2 2 2 2 4" xfId="40616"/>
    <cellStyle name="Note 2 2 2 2 2 2 2 2 5" xfId="40617"/>
    <cellStyle name="Note 2 2 2 2 2 2 2 2 6" xfId="40618"/>
    <cellStyle name="Note 2 2 2 2 2 2 2 3" xfId="40619"/>
    <cellStyle name="Note 2 2 2 2 2 2 2 3 2" xfId="40620"/>
    <cellStyle name="Note 2 2 2 2 2 2 2 4" xfId="40621"/>
    <cellStyle name="Note 2 2 2 2 2 2 2 4 2" xfId="40622"/>
    <cellStyle name="Note 2 2 2 2 2 2 2 5" xfId="40623"/>
    <cellStyle name="Note 2 2 2 2 2 2 2 6" xfId="40624"/>
    <cellStyle name="Note 2 2 2 2 2 2 2 7" xfId="40625"/>
    <cellStyle name="Note 2 2 2 2 2 2 3" xfId="40626"/>
    <cellStyle name="Note 2 2 2 2 2 2 3 2" xfId="40627"/>
    <cellStyle name="Note 2 2 2 2 2 2 3 2 2" xfId="40628"/>
    <cellStyle name="Note 2 2 2 2 2 2 3 3" xfId="40629"/>
    <cellStyle name="Note 2 2 2 2 2 2 3 3 2" xfId="40630"/>
    <cellStyle name="Note 2 2 2 2 2 2 3 4" xfId="40631"/>
    <cellStyle name="Note 2 2 2 2 2 2 3 5" xfId="40632"/>
    <cellStyle name="Note 2 2 2 2 2 2 3 6" xfId="40633"/>
    <cellStyle name="Note 2 2 2 2 2 2 4" xfId="40634"/>
    <cellStyle name="Note 2 2 2 2 2 2 4 2" xfId="40635"/>
    <cellStyle name="Note 2 2 2 2 2 2 5" xfId="40636"/>
    <cellStyle name="Note 2 2 2 2 2 2 5 2" xfId="40637"/>
    <cellStyle name="Note 2 2 2 2 2 2 6" xfId="40638"/>
    <cellStyle name="Note 2 2 2 2 2 2 7" xfId="40639"/>
    <cellStyle name="Note 2 2 2 2 2 2 8" xfId="40640"/>
    <cellStyle name="Note 2 2 2 2 2 3" xfId="40641"/>
    <cellStyle name="Note 2 2 2 2 2 3 2" xfId="40642"/>
    <cellStyle name="Note 2 2 2 2 2 3 2 2" xfId="40643"/>
    <cellStyle name="Note 2 2 2 2 2 3 2 2 2" xfId="40644"/>
    <cellStyle name="Note 2 2 2 2 2 3 2 3" xfId="40645"/>
    <cellStyle name="Note 2 2 2 2 2 3 2 3 2" xfId="40646"/>
    <cellStyle name="Note 2 2 2 2 2 3 2 4" xfId="40647"/>
    <cellStyle name="Note 2 2 2 2 2 3 2 5" xfId="40648"/>
    <cellStyle name="Note 2 2 2 2 2 3 2 6" xfId="40649"/>
    <cellStyle name="Note 2 2 2 2 2 3 3" xfId="40650"/>
    <cellStyle name="Note 2 2 2 2 2 3 3 2" xfId="40651"/>
    <cellStyle name="Note 2 2 2 2 2 3 4" xfId="40652"/>
    <cellStyle name="Note 2 2 2 2 2 3 4 2" xfId="40653"/>
    <cellStyle name="Note 2 2 2 2 2 3 5" xfId="40654"/>
    <cellStyle name="Note 2 2 2 2 2 3 6" xfId="40655"/>
    <cellStyle name="Note 2 2 2 2 2 3 7" xfId="40656"/>
    <cellStyle name="Note 2 2 2 2 2 4" xfId="40657"/>
    <cellStyle name="Note 2 2 2 2 2 4 2" xfId="40658"/>
    <cellStyle name="Note 2 2 2 2 2 4 2 2" xfId="40659"/>
    <cellStyle name="Note 2 2 2 2 2 4 3" xfId="40660"/>
    <cellStyle name="Note 2 2 2 2 2 4 3 2" xfId="40661"/>
    <cellStyle name="Note 2 2 2 2 2 4 4" xfId="40662"/>
    <cellStyle name="Note 2 2 2 2 2 4 5" xfId="40663"/>
    <cellStyle name="Note 2 2 2 2 2 4 6" xfId="40664"/>
    <cellStyle name="Note 2 2 2 2 2 5" xfId="40665"/>
    <cellStyle name="Note 2 2 2 2 2 5 2" xfId="40666"/>
    <cellStyle name="Note 2 2 2 2 2 6" xfId="40667"/>
    <cellStyle name="Note 2 2 2 2 2 6 2" xfId="40668"/>
    <cellStyle name="Note 2 2 2 2 2 7" xfId="40669"/>
    <cellStyle name="Note 2 2 2 2 2 8" xfId="40670"/>
    <cellStyle name="Note 2 2 2 2 2 9" xfId="40671"/>
    <cellStyle name="Note 2 2 2 2 3" xfId="40672"/>
    <cellStyle name="Note 2 2 2 2 3 2" xfId="40673"/>
    <cellStyle name="Note 2 2 2 2 3 2 2" xfId="40674"/>
    <cellStyle name="Note 2 2 2 2 3 2 2 2" xfId="40675"/>
    <cellStyle name="Note 2 2 2 2 3 2 2 2 2" xfId="40676"/>
    <cellStyle name="Note 2 2 2 2 3 2 2 3" xfId="40677"/>
    <cellStyle name="Note 2 2 2 2 3 2 2 3 2" xfId="40678"/>
    <cellStyle name="Note 2 2 2 2 3 2 2 4" xfId="40679"/>
    <cellStyle name="Note 2 2 2 2 3 2 2 5" xfId="40680"/>
    <cellStyle name="Note 2 2 2 2 3 2 2 6" xfId="40681"/>
    <cellStyle name="Note 2 2 2 2 3 2 3" xfId="40682"/>
    <cellStyle name="Note 2 2 2 2 3 2 3 2" xfId="40683"/>
    <cellStyle name="Note 2 2 2 2 3 2 4" xfId="40684"/>
    <cellStyle name="Note 2 2 2 2 3 2 4 2" xfId="40685"/>
    <cellStyle name="Note 2 2 2 2 3 2 5" xfId="40686"/>
    <cellStyle name="Note 2 2 2 2 3 2 6" xfId="40687"/>
    <cellStyle name="Note 2 2 2 2 3 2 7" xfId="40688"/>
    <cellStyle name="Note 2 2 2 2 3 3" xfId="40689"/>
    <cellStyle name="Note 2 2 2 2 3 3 2" xfId="40690"/>
    <cellStyle name="Note 2 2 2 2 3 3 2 2" xfId="40691"/>
    <cellStyle name="Note 2 2 2 2 3 3 3" xfId="40692"/>
    <cellStyle name="Note 2 2 2 2 3 3 3 2" xfId="40693"/>
    <cellStyle name="Note 2 2 2 2 3 3 4" xfId="40694"/>
    <cellStyle name="Note 2 2 2 2 3 3 5" xfId="40695"/>
    <cellStyle name="Note 2 2 2 2 3 3 6" xfId="40696"/>
    <cellStyle name="Note 2 2 2 2 3 4" xfId="40697"/>
    <cellStyle name="Note 2 2 2 2 3 4 2" xfId="40698"/>
    <cellStyle name="Note 2 2 2 2 3 5" xfId="40699"/>
    <cellStyle name="Note 2 2 2 2 3 5 2" xfId="40700"/>
    <cellStyle name="Note 2 2 2 2 3 6" xfId="40701"/>
    <cellStyle name="Note 2 2 2 2 3 7" xfId="40702"/>
    <cellStyle name="Note 2 2 2 2 3 8" xfId="40703"/>
    <cellStyle name="Note 2 2 2 2 4" xfId="40704"/>
    <cellStyle name="Note 2 2 2 2 4 2" xfId="40705"/>
    <cellStyle name="Note 2 2 2 2 4 2 2" xfId="40706"/>
    <cellStyle name="Note 2 2 2 2 4 2 2 2" xfId="40707"/>
    <cellStyle name="Note 2 2 2 2 4 2 3" xfId="40708"/>
    <cellStyle name="Note 2 2 2 2 4 2 3 2" xfId="40709"/>
    <cellStyle name="Note 2 2 2 2 4 2 4" xfId="40710"/>
    <cellStyle name="Note 2 2 2 2 4 2 5" xfId="40711"/>
    <cellStyle name="Note 2 2 2 2 4 2 6" xfId="40712"/>
    <cellStyle name="Note 2 2 2 2 4 3" xfId="40713"/>
    <cellStyle name="Note 2 2 2 2 4 3 2" xfId="40714"/>
    <cellStyle name="Note 2 2 2 2 4 4" xfId="40715"/>
    <cellStyle name="Note 2 2 2 2 4 4 2" xfId="40716"/>
    <cellStyle name="Note 2 2 2 2 4 5" xfId="40717"/>
    <cellStyle name="Note 2 2 2 2 4 6" xfId="40718"/>
    <cellStyle name="Note 2 2 2 2 4 7" xfId="40719"/>
    <cellStyle name="Note 2 2 2 2 5" xfId="40720"/>
    <cellStyle name="Note 2 2 2 2 5 2" xfId="40721"/>
    <cellStyle name="Note 2 2 2 2 5 2 2" xfId="40722"/>
    <cellStyle name="Note 2 2 2 2 5 3" xfId="40723"/>
    <cellStyle name="Note 2 2 2 2 5 3 2" xfId="40724"/>
    <cellStyle name="Note 2 2 2 2 5 4" xfId="40725"/>
    <cellStyle name="Note 2 2 2 2 5 5" xfId="40726"/>
    <cellStyle name="Note 2 2 2 2 5 6" xfId="40727"/>
    <cellStyle name="Note 2 2 2 2 6" xfId="40728"/>
    <cellStyle name="Note 2 2 2 2 6 2" xfId="40729"/>
    <cellStyle name="Note 2 2 2 2 7" xfId="40730"/>
    <cellStyle name="Note 2 2 2 2 7 2" xfId="40731"/>
    <cellStyle name="Note 2 2 2 2 8" xfId="40732"/>
    <cellStyle name="Note 2 2 2 2 9" xfId="40733"/>
    <cellStyle name="Note 2 2 2 3" xfId="40734"/>
    <cellStyle name="Note 2 2 2 3 10" xfId="40735"/>
    <cellStyle name="Note 2 2 2 3 2" xfId="40736"/>
    <cellStyle name="Note 2 2 2 3 2 2" xfId="40737"/>
    <cellStyle name="Note 2 2 2 3 2 2 2" xfId="40738"/>
    <cellStyle name="Note 2 2 2 3 2 2 2 2" xfId="40739"/>
    <cellStyle name="Note 2 2 2 3 2 2 2 2 2" xfId="40740"/>
    <cellStyle name="Note 2 2 2 3 2 2 2 2 2 2" xfId="40741"/>
    <cellStyle name="Note 2 2 2 3 2 2 2 2 3" xfId="40742"/>
    <cellStyle name="Note 2 2 2 3 2 2 2 2 3 2" xfId="40743"/>
    <cellStyle name="Note 2 2 2 3 2 2 2 2 4" xfId="40744"/>
    <cellStyle name="Note 2 2 2 3 2 2 2 2 5" xfId="40745"/>
    <cellStyle name="Note 2 2 2 3 2 2 2 2 6" xfId="40746"/>
    <cellStyle name="Note 2 2 2 3 2 2 2 3" xfId="40747"/>
    <cellStyle name="Note 2 2 2 3 2 2 2 3 2" xfId="40748"/>
    <cellStyle name="Note 2 2 2 3 2 2 2 4" xfId="40749"/>
    <cellStyle name="Note 2 2 2 3 2 2 2 4 2" xfId="40750"/>
    <cellStyle name="Note 2 2 2 3 2 2 2 5" xfId="40751"/>
    <cellStyle name="Note 2 2 2 3 2 2 2 6" xfId="40752"/>
    <cellStyle name="Note 2 2 2 3 2 2 2 7" xfId="40753"/>
    <cellStyle name="Note 2 2 2 3 2 2 3" xfId="40754"/>
    <cellStyle name="Note 2 2 2 3 2 2 3 2" xfId="40755"/>
    <cellStyle name="Note 2 2 2 3 2 2 3 2 2" xfId="40756"/>
    <cellStyle name="Note 2 2 2 3 2 2 3 3" xfId="40757"/>
    <cellStyle name="Note 2 2 2 3 2 2 3 3 2" xfId="40758"/>
    <cellStyle name="Note 2 2 2 3 2 2 3 4" xfId="40759"/>
    <cellStyle name="Note 2 2 2 3 2 2 3 5" xfId="40760"/>
    <cellStyle name="Note 2 2 2 3 2 2 3 6" xfId="40761"/>
    <cellStyle name="Note 2 2 2 3 2 2 4" xfId="40762"/>
    <cellStyle name="Note 2 2 2 3 2 2 4 2" xfId="40763"/>
    <cellStyle name="Note 2 2 2 3 2 2 5" xfId="40764"/>
    <cellStyle name="Note 2 2 2 3 2 2 5 2" xfId="40765"/>
    <cellStyle name="Note 2 2 2 3 2 2 6" xfId="40766"/>
    <cellStyle name="Note 2 2 2 3 2 2 7" xfId="40767"/>
    <cellStyle name="Note 2 2 2 3 2 2 8" xfId="40768"/>
    <cellStyle name="Note 2 2 2 3 2 3" xfId="40769"/>
    <cellStyle name="Note 2 2 2 3 2 3 2" xfId="40770"/>
    <cellStyle name="Note 2 2 2 3 2 3 2 2" xfId="40771"/>
    <cellStyle name="Note 2 2 2 3 2 3 2 2 2" xfId="40772"/>
    <cellStyle name="Note 2 2 2 3 2 3 2 3" xfId="40773"/>
    <cellStyle name="Note 2 2 2 3 2 3 2 3 2" xfId="40774"/>
    <cellStyle name="Note 2 2 2 3 2 3 2 4" xfId="40775"/>
    <cellStyle name="Note 2 2 2 3 2 3 2 5" xfId="40776"/>
    <cellStyle name="Note 2 2 2 3 2 3 2 6" xfId="40777"/>
    <cellStyle name="Note 2 2 2 3 2 3 3" xfId="40778"/>
    <cellStyle name="Note 2 2 2 3 2 3 3 2" xfId="40779"/>
    <cellStyle name="Note 2 2 2 3 2 3 4" xfId="40780"/>
    <cellStyle name="Note 2 2 2 3 2 3 4 2" xfId="40781"/>
    <cellStyle name="Note 2 2 2 3 2 3 5" xfId="40782"/>
    <cellStyle name="Note 2 2 2 3 2 3 6" xfId="40783"/>
    <cellStyle name="Note 2 2 2 3 2 3 7" xfId="40784"/>
    <cellStyle name="Note 2 2 2 3 2 4" xfId="40785"/>
    <cellStyle name="Note 2 2 2 3 2 4 2" xfId="40786"/>
    <cellStyle name="Note 2 2 2 3 2 4 2 2" xfId="40787"/>
    <cellStyle name="Note 2 2 2 3 2 4 3" xfId="40788"/>
    <cellStyle name="Note 2 2 2 3 2 4 3 2" xfId="40789"/>
    <cellStyle name="Note 2 2 2 3 2 4 4" xfId="40790"/>
    <cellStyle name="Note 2 2 2 3 2 4 5" xfId="40791"/>
    <cellStyle name="Note 2 2 2 3 2 4 6" xfId="40792"/>
    <cellStyle name="Note 2 2 2 3 2 5" xfId="40793"/>
    <cellStyle name="Note 2 2 2 3 2 5 2" xfId="40794"/>
    <cellStyle name="Note 2 2 2 3 2 6" xfId="40795"/>
    <cellStyle name="Note 2 2 2 3 2 6 2" xfId="40796"/>
    <cellStyle name="Note 2 2 2 3 2 7" xfId="40797"/>
    <cellStyle name="Note 2 2 2 3 2 8" xfId="40798"/>
    <cellStyle name="Note 2 2 2 3 2 9" xfId="40799"/>
    <cellStyle name="Note 2 2 2 3 3" xfId="40800"/>
    <cellStyle name="Note 2 2 2 3 3 2" xfId="40801"/>
    <cellStyle name="Note 2 2 2 3 3 2 2" xfId="40802"/>
    <cellStyle name="Note 2 2 2 3 3 2 2 2" xfId="40803"/>
    <cellStyle name="Note 2 2 2 3 3 2 2 2 2" xfId="40804"/>
    <cellStyle name="Note 2 2 2 3 3 2 2 3" xfId="40805"/>
    <cellStyle name="Note 2 2 2 3 3 2 2 3 2" xfId="40806"/>
    <cellStyle name="Note 2 2 2 3 3 2 2 4" xfId="40807"/>
    <cellStyle name="Note 2 2 2 3 3 2 2 5" xfId="40808"/>
    <cellStyle name="Note 2 2 2 3 3 2 2 6" xfId="40809"/>
    <cellStyle name="Note 2 2 2 3 3 2 3" xfId="40810"/>
    <cellStyle name="Note 2 2 2 3 3 2 3 2" xfId="40811"/>
    <cellStyle name="Note 2 2 2 3 3 2 4" xfId="40812"/>
    <cellStyle name="Note 2 2 2 3 3 2 4 2" xfId="40813"/>
    <cellStyle name="Note 2 2 2 3 3 2 5" xfId="40814"/>
    <cellStyle name="Note 2 2 2 3 3 2 6" xfId="40815"/>
    <cellStyle name="Note 2 2 2 3 3 2 7" xfId="40816"/>
    <cellStyle name="Note 2 2 2 3 3 3" xfId="40817"/>
    <cellStyle name="Note 2 2 2 3 3 3 2" xfId="40818"/>
    <cellStyle name="Note 2 2 2 3 3 3 2 2" xfId="40819"/>
    <cellStyle name="Note 2 2 2 3 3 3 3" xfId="40820"/>
    <cellStyle name="Note 2 2 2 3 3 3 3 2" xfId="40821"/>
    <cellStyle name="Note 2 2 2 3 3 3 4" xfId="40822"/>
    <cellStyle name="Note 2 2 2 3 3 3 5" xfId="40823"/>
    <cellStyle name="Note 2 2 2 3 3 3 6" xfId="40824"/>
    <cellStyle name="Note 2 2 2 3 3 4" xfId="40825"/>
    <cellStyle name="Note 2 2 2 3 3 4 2" xfId="40826"/>
    <cellStyle name="Note 2 2 2 3 3 5" xfId="40827"/>
    <cellStyle name="Note 2 2 2 3 3 5 2" xfId="40828"/>
    <cellStyle name="Note 2 2 2 3 3 6" xfId="40829"/>
    <cellStyle name="Note 2 2 2 3 3 7" xfId="40830"/>
    <cellStyle name="Note 2 2 2 3 3 8" xfId="40831"/>
    <cellStyle name="Note 2 2 2 3 4" xfId="40832"/>
    <cellStyle name="Note 2 2 2 3 4 2" xfId="40833"/>
    <cellStyle name="Note 2 2 2 3 4 2 2" xfId="40834"/>
    <cellStyle name="Note 2 2 2 3 4 2 2 2" xfId="40835"/>
    <cellStyle name="Note 2 2 2 3 4 2 3" xfId="40836"/>
    <cellStyle name="Note 2 2 2 3 4 2 3 2" xfId="40837"/>
    <cellStyle name="Note 2 2 2 3 4 2 4" xfId="40838"/>
    <cellStyle name="Note 2 2 2 3 4 2 5" xfId="40839"/>
    <cellStyle name="Note 2 2 2 3 4 2 6" xfId="40840"/>
    <cellStyle name="Note 2 2 2 3 4 3" xfId="40841"/>
    <cellStyle name="Note 2 2 2 3 4 3 2" xfId="40842"/>
    <cellStyle name="Note 2 2 2 3 4 4" xfId="40843"/>
    <cellStyle name="Note 2 2 2 3 4 4 2" xfId="40844"/>
    <cellStyle name="Note 2 2 2 3 4 5" xfId="40845"/>
    <cellStyle name="Note 2 2 2 3 4 6" xfId="40846"/>
    <cellStyle name="Note 2 2 2 3 4 7" xfId="40847"/>
    <cellStyle name="Note 2 2 2 3 5" xfId="40848"/>
    <cellStyle name="Note 2 2 2 3 5 2" xfId="40849"/>
    <cellStyle name="Note 2 2 2 3 5 2 2" xfId="40850"/>
    <cellStyle name="Note 2 2 2 3 5 3" xfId="40851"/>
    <cellStyle name="Note 2 2 2 3 5 3 2" xfId="40852"/>
    <cellStyle name="Note 2 2 2 3 5 4" xfId="40853"/>
    <cellStyle name="Note 2 2 2 3 5 5" xfId="40854"/>
    <cellStyle name="Note 2 2 2 3 5 6" xfId="40855"/>
    <cellStyle name="Note 2 2 2 3 6" xfId="40856"/>
    <cellStyle name="Note 2 2 2 3 6 2" xfId="40857"/>
    <cellStyle name="Note 2 2 2 3 7" xfId="40858"/>
    <cellStyle name="Note 2 2 2 3 7 2" xfId="40859"/>
    <cellStyle name="Note 2 2 2 3 8" xfId="40860"/>
    <cellStyle name="Note 2 2 2 3 9" xfId="40861"/>
    <cellStyle name="Note 2 2 2 4" xfId="40862"/>
    <cellStyle name="Note 2 2 2 4 2" xfId="40863"/>
    <cellStyle name="Note 2 2 2 4 2 2" xfId="40864"/>
    <cellStyle name="Note 2 2 2 4 2 2 2" xfId="40865"/>
    <cellStyle name="Note 2 2 2 4 2 2 2 2" xfId="40866"/>
    <cellStyle name="Note 2 2 2 4 2 2 2 2 2" xfId="40867"/>
    <cellStyle name="Note 2 2 2 4 2 2 2 3" xfId="40868"/>
    <cellStyle name="Note 2 2 2 4 2 2 2 3 2" xfId="40869"/>
    <cellStyle name="Note 2 2 2 4 2 2 2 4" xfId="40870"/>
    <cellStyle name="Note 2 2 2 4 2 2 2 5" xfId="40871"/>
    <cellStyle name="Note 2 2 2 4 2 2 2 6" xfId="40872"/>
    <cellStyle name="Note 2 2 2 4 2 2 3" xfId="40873"/>
    <cellStyle name="Note 2 2 2 4 2 2 3 2" xfId="40874"/>
    <cellStyle name="Note 2 2 2 4 2 2 4" xfId="40875"/>
    <cellStyle name="Note 2 2 2 4 2 2 4 2" xfId="40876"/>
    <cellStyle name="Note 2 2 2 4 2 2 5" xfId="40877"/>
    <cellStyle name="Note 2 2 2 4 2 2 6" xfId="40878"/>
    <cellStyle name="Note 2 2 2 4 2 2 7" xfId="40879"/>
    <cellStyle name="Note 2 2 2 4 2 3" xfId="40880"/>
    <cellStyle name="Note 2 2 2 4 2 3 2" xfId="40881"/>
    <cellStyle name="Note 2 2 2 4 2 3 2 2" xfId="40882"/>
    <cellStyle name="Note 2 2 2 4 2 3 3" xfId="40883"/>
    <cellStyle name="Note 2 2 2 4 2 3 3 2" xfId="40884"/>
    <cellStyle name="Note 2 2 2 4 2 3 4" xfId="40885"/>
    <cellStyle name="Note 2 2 2 4 2 3 5" xfId="40886"/>
    <cellStyle name="Note 2 2 2 4 2 3 6" xfId="40887"/>
    <cellStyle name="Note 2 2 2 4 2 4" xfId="40888"/>
    <cellStyle name="Note 2 2 2 4 2 4 2" xfId="40889"/>
    <cellStyle name="Note 2 2 2 4 2 5" xfId="40890"/>
    <cellStyle name="Note 2 2 2 4 2 5 2" xfId="40891"/>
    <cellStyle name="Note 2 2 2 4 2 6" xfId="40892"/>
    <cellStyle name="Note 2 2 2 4 2 7" xfId="40893"/>
    <cellStyle name="Note 2 2 2 4 2 8" xfId="40894"/>
    <cellStyle name="Note 2 2 2 4 3" xfId="40895"/>
    <cellStyle name="Note 2 2 2 4 3 2" xfId="40896"/>
    <cellStyle name="Note 2 2 2 4 3 2 2" xfId="40897"/>
    <cellStyle name="Note 2 2 2 4 3 2 2 2" xfId="40898"/>
    <cellStyle name="Note 2 2 2 4 3 2 3" xfId="40899"/>
    <cellStyle name="Note 2 2 2 4 3 2 3 2" xfId="40900"/>
    <cellStyle name="Note 2 2 2 4 3 2 4" xfId="40901"/>
    <cellStyle name="Note 2 2 2 4 3 2 5" xfId="40902"/>
    <cellStyle name="Note 2 2 2 4 3 2 6" xfId="40903"/>
    <cellStyle name="Note 2 2 2 4 3 3" xfId="40904"/>
    <cellStyle name="Note 2 2 2 4 3 3 2" xfId="40905"/>
    <cellStyle name="Note 2 2 2 4 3 4" xfId="40906"/>
    <cellStyle name="Note 2 2 2 4 3 4 2" xfId="40907"/>
    <cellStyle name="Note 2 2 2 4 3 5" xfId="40908"/>
    <cellStyle name="Note 2 2 2 4 3 6" xfId="40909"/>
    <cellStyle name="Note 2 2 2 4 3 7" xfId="40910"/>
    <cellStyle name="Note 2 2 2 4 4" xfId="40911"/>
    <cellStyle name="Note 2 2 2 4 4 2" xfId="40912"/>
    <cellStyle name="Note 2 2 2 4 4 2 2" xfId="40913"/>
    <cellStyle name="Note 2 2 2 4 4 3" xfId="40914"/>
    <cellStyle name="Note 2 2 2 4 4 3 2" xfId="40915"/>
    <cellStyle name="Note 2 2 2 4 4 4" xfId="40916"/>
    <cellStyle name="Note 2 2 2 4 4 5" xfId="40917"/>
    <cellStyle name="Note 2 2 2 4 4 6" xfId="40918"/>
    <cellStyle name="Note 2 2 2 4 5" xfId="40919"/>
    <cellStyle name="Note 2 2 2 4 5 2" xfId="40920"/>
    <cellStyle name="Note 2 2 2 4 6" xfId="40921"/>
    <cellStyle name="Note 2 2 2 4 6 2" xfId="40922"/>
    <cellStyle name="Note 2 2 2 4 7" xfId="40923"/>
    <cellStyle name="Note 2 2 2 4 8" xfId="40924"/>
    <cellStyle name="Note 2 2 2 4 9" xfId="40925"/>
    <cellStyle name="Note 2 2 2 5" xfId="40926"/>
    <cellStyle name="Note 2 2 2 5 2" xfId="40927"/>
    <cellStyle name="Note 2 2 2 5 2 2" xfId="40928"/>
    <cellStyle name="Note 2 2 2 5 2 2 2" xfId="40929"/>
    <cellStyle name="Note 2 2 2 5 2 2 2 2" xfId="40930"/>
    <cellStyle name="Note 2 2 2 5 2 2 3" xfId="40931"/>
    <cellStyle name="Note 2 2 2 5 2 2 3 2" xfId="40932"/>
    <cellStyle name="Note 2 2 2 5 2 2 4" xfId="40933"/>
    <cellStyle name="Note 2 2 2 5 2 2 5" xfId="40934"/>
    <cellStyle name="Note 2 2 2 5 2 2 6" xfId="40935"/>
    <cellStyle name="Note 2 2 2 5 2 3" xfId="40936"/>
    <cellStyle name="Note 2 2 2 5 2 3 2" xfId="40937"/>
    <cellStyle name="Note 2 2 2 5 2 4" xfId="40938"/>
    <cellStyle name="Note 2 2 2 5 2 4 2" xfId="40939"/>
    <cellStyle name="Note 2 2 2 5 2 5" xfId="40940"/>
    <cellStyle name="Note 2 2 2 5 2 6" xfId="40941"/>
    <cellStyle name="Note 2 2 2 5 2 7" xfId="40942"/>
    <cellStyle name="Note 2 2 2 5 3" xfId="40943"/>
    <cellStyle name="Note 2 2 2 5 3 2" xfId="40944"/>
    <cellStyle name="Note 2 2 2 5 3 2 2" xfId="40945"/>
    <cellStyle name="Note 2 2 2 5 3 3" xfId="40946"/>
    <cellStyle name="Note 2 2 2 5 3 3 2" xfId="40947"/>
    <cellStyle name="Note 2 2 2 5 3 4" xfId="40948"/>
    <cellStyle name="Note 2 2 2 5 3 5" xfId="40949"/>
    <cellStyle name="Note 2 2 2 5 3 6" xfId="40950"/>
    <cellStyle name="Note 2 2 2 5 4" xfId="40951"/>
    <cellStyle name="Note 2 2 2 5 4 2" xfId="40952"/>
    <cellStyle name="Note 2 2 2 5 5" xfId="40953"/>
    <cellStyle name="Note 2 2 2 5 5 2" xfId="40954"/>
    <cellStyle name="Note 2 2 2 5 6" xfId="40955"/>
    <cellStyle name="Note 2 2 2 5 7" xfId="40956"/>
    <cellStyle name="Note 2 2 2 5 8" xfId="40957"/>
    <cellStyle name="Note 2 2 2 6" xfId="40958"/>
    <cellStyle name="Note 2 2 2 6 2" xfId="40959"/>
    <cellStyle name="Note 2 2 2 6 2 2" xfId="40960"/>
    <cellStyle name="Note 2 2 2 6 2 2 2" xfId="40961"/>
    <cellStyle name="Note 2 2 2 6 2 3" xfId="40962"/>
    <cellStyle name="Note 2 2 2 6 2 3 2" xfId="40963"/>
    <cellStyle name="Note 2 2 2 6 2 4" xfId="40964"/>
    <cellStyle name="Note 2 2 2 6 2 5" xfId="40965"/>
    <cellStyle name="Note 2 2 2 6 2 6" xfId="40966"/>
    <cellStyle name="Note 2 2 2 6 3" xfId="40967"/>
    <cellStyle name="Note 2 2 2 6 3 2" xfId="40968"/>
    <cellStyle name="Note 2 2 2 6 4" xfId="40969"/>
    <cellStyle name="Note 2 2 2 6 4 2" xfId="40970"/>
    <cellStyle name="Note 2 2 2 6 5" xfId="40971"/>
    <cellStyle name="Note 2 2 2 6 6" xfId="40972"/>
    <cellStyle name="Note 2 2 2 6 7" xfId="40973"/>
    <cellStyle name="Note 2 2 2 7" xfId="40974"/>
    <cellStyle name="Note 2 2 2 7 2" xfId="40975"/>
    <cellStyle name="Note 2 2 2 7 2 2" xfId="40976"/>
    <cellStyle name="Note 2 2 2 7 3" xfId="40977"/>
    <cellStyle name="Note 2 2 2 7 3 2" xfId="40978"/>
    <cellStyle name="Note 2 2 2 7 4" xfId="40979"/>
    <cellStyle name="Note 2 2 2 7 5" xfId="40980"/>
    <cellStyle name="Note 2 2 2 7 6" xfId="40981"/>
    <cellStyle name="Note 2 2 2 8" xfId="40982"/>
    <cellStyle name="Note 2 2 2 8 2" xfId="40983"/>
    <cellStyle name="Note 2 2 2 9" xfId="40984"/>
    <cellStyle name="Note 2 2 2 9 2" xfId="40985"/>
    <cellStyle name="Note 2 2 3" xfId="40986"/>
    <cellStyle name="Note 2 2 3 10" xfId="40987"/>
    <cellStyle name="Note 2 2 3 11" xfId="40988"/>
    <cellStyle name="Note 2 2 3 12" xfId="40989"/>
    <cellStyle name="Note 2 2 3 2" xfId="40990"/>
    <cellStyle name="Note 2 2 3 2 10" xfId="40991"/>
    <cellStyle name="Note 2 2 3 2 2" xfId="40992"/>
    <cellStyle name="Note 2 2 3 2 2 2" xfId="40993"/>
    <cellStyle name="Note 2 2 3 2 2 2 2" xfId="40994"/>
    <cellStyle name="Note 2 2 3 2 2 2 2 2" xfId="40995"/>
    <cellStyle name="Note 2 2 3 2 2 2 2 2 2" xfId="40996"/>
    <cellStyle name="Note 2 2 3 2 2 2 2 2 2 2" xfId="40997"/>
    <cellStyle name="Note 2 2 3 2 2 2 2 2 3" xfId="40998"/>
    <cellStyle name="Note 2 2 3 2 2 2 2 2 3 2" xfId="40999"/>
    <cellStyle name="Note 2 2 3 2 2 2 2 2 4" xfId="41000"/>
    <cellStyle name="Note 2 2 3 2 2 2 2 2 5" xfId="41001"/>
    <cellStyle name="Note 2 2 3 2 2 2 2 2 6" xfId="41002"/>
    <cellStyle name="Note 2 2 3 2 2 2 2 3" xfId="41003"/>
    <cellStyle name="Note 2 2 3 2 2 2 2 3 2" xfId="41004"/>
    <cellStyle name="Note 2 2 3 2 2 2 2 4" xfId="41005"/>
    <cellStyle name="Note 2 2 3 2 2 2 2 4 2" xfId="41006"/>
    <cellStyle name="Note 2 2 3 2 2 2 2 5" xfId="41007"/>
    <cellStyle name="Note 2 2 3 2 2 2 2 6" xfId="41008"/>
    <cellStyle name="Note 2 2 3 2 2 2 2 7" xfId="41009"/>
    <cellStyle name="Note 2 2 3 2 2 2 3" xfId="41010"/>
    <cellStyle name="Note 2 2 3 2 2 2 3 2" xfId="41011"/>
    <cellStyle name="Note 2 2 3 2 2 2 3 2 2" xfId="41012"/>
    <cellStyle name="Note 2 2 3 2 2 2 3 3" xfId="41013"/>
    <cellStyle name="Note 2 2 3 2 2 2 3 3 2" xfId="41014"/>
    <cellStyle name="Note 2 2 3 2 2 2 3 4" xfId="41015"/>
    <cellStyle name="Note 2 2 3 2 2 2 3 5" xfId="41016"/>
    <cellStyle name="Note 2 2 3 2 2 2 3 6" xfId="41017"/>
    <cellStyle name="Note 2 2 3 2 2 2 4" xfId="41018"/>
    <cellStyle name="Note 2 2 3 2 2 2 4 2" xfId="41019"/>
    <cellStyle name="Note 2 2 3 2 2 2 5" xfId="41020"/>
    <cellStyle name="Note 2 2 3 2 2 2 5 2" xfId="41021"/>
    <cellStyle name="Note 2 2 3 2 2 2 6" xfId="41022"/>
    <cellStyle name="Note 2 2 3 2 2 2 7" xfId="41023"/>
    <cellStyle name="Note 2 2 3 2 2 2 8" xfId="41024"/>
    <cellStyle name="Note 2 2 3 2 2 3" xfId="41025"/>
    <cellStyle name="Note 2 2 3 2 2 3 2" xfId="41026"/>
    <cellStyle name="Note 2 2 3 2 2 3 2 2" xfId="41027"/>
    <cellStyle name="Note 2 2 3 2 2 3 2 2 2" xfId="41028"/>
    <cellStyle name="Note 2 2 3 2 2 3 2 3" xfId="41029"/>
    <cellStyle name="Note 2 2 3 2 2 3 2 3 2" xfId="41030"/>
    <cellStyle name="Note 2 2 3 2 2 3 2 4" xfId="41031"/>
    <cellStyle name="Note 2 2 3 2 2 3 2 5" xfId="41032"/>
    <cellStyle name="Note 2 2 3 2 2 3 2 6" xfId="41033"/>
    <cellStyle name="Note 2 2 3 2 2 3 3" xfId="41034"/>
    <cellStyle name="Note 2 2 3 2 2 3 3 2" xfId="41035"/>
    <cellStyle name="Note 2 2 3 2 2 3 4" xfId="41036"/>
    <cellStyle name="Note 2 2 3 2 2 3 4 2" xfId="41037"/>
    <cellStyle name="Note 2 2 3 2 2 3 5" xfId="41038"/>
    <cellStyle name="Note 2 2 3 2 2 3 6" xfId="41039"/>
    <cellStyle name="Note 2 2 3 2 2 3 7" xfId="41040"/>
    <cellStyle name="Note 2 2 3 2 2 4" xfId="41041"/>
    <cellStyle name="Note 2 2 3 2 2 4 2" xfId="41042"/>
    <cellStyle name="Note 2 2 3 2 2 4 2 2" xfId="41043"/>
    <cellStyle name="Note 2 2 3 2 2 4 3" xfId="41044"/>
    <cellStyle name="Note 2 2 3 2 2 4 3 2" xfId="41045"/>
    <cellStyle name="Note 2 2 3 2 2 4 4" xfId="41046"/>
    <cellStyle name="Note 2 2 3 2 2 4 5" xfId="41047"/>
    <cellStyle name="Note 2 2 3 2 2 4 6" xfId="41048"/>
    <cellStyle name="Note 2 2 3 2 2 5" xfId="41049"/>
    <cellStyle name="Note 2 2 3 2 2 5 2" xfId="41050"/>
    <cellStyle name="Note 2 2 3 2 2 6" xfId="41051"/>
    <cellStyle name="Note 2 2 3 2 2 6 2" xfId="41052"/>
    <cellStyle name="Note 2 2 3 2 2 7" xfId="41053"/>
    <cellStyle name="Note 2 2 3 2 2 8" xfId="41054"/>
    <cellStyle name="Note 2 2 3 2 2 9" xfId="41055"/>
    <cellStyle name="Note 2 2 3 2 3" xfId="41056"/>
    <cellStyle name="Note 2 2 3 2 3 2" xfId="41057"/>
    <cellStyle name="Note 2 2 3 2 3 2 2" xfId="41058"/>
    <cellStyle name="Note 2 2 3 2 3 2 2 2" xfId="41059"/>
    <cellStyle name="Note 2 2 3 2 3 2 2 2 2" xfId="41060"/>
    <cellStyle name="Note 2 2 3 2 3 2 2 3" xfId="41061"/>
    <cellStyle name="Note 2 2 3 2 3 2 2 3 2" xfId="41062"/>
    <cellStyle name="Note 2 2 3 2 3 2 2 4" xfId="41063"/>
    <cellStyle name="Note 2 2 3 2 3 2 2 5" xfId="41064"/>
    <cellStyle name="Note 2 2 3 2 3 2 2 6" xfId="41065"/>
    <cellStyle name="Note 2 2 3 2 3 2 3" xfId="41066"/>
    <cellStyle name="Note 2 2 3 2 3 2 3 2" xfId="41067"/>
    <cellStyle name="Note 2 2 3 2 3 2 4" xfId="41068"/>
    <cellStyle name="Note 2 2 3 2 3 2 4 2" xfId="41069"/>
    <cellStyle name="Note 2 2 3 2 3 2 5" xfId="41070"/>
    <cellStyle name="Note 2 2 3 2 3 2 6" xfId="41071"/>
    <cellStyle name="Note 2 2 3 2 3 2 7" xfId="41072"/>
    <cellStyle name="Note 2 2 3 2 3 3" xfId="41073"/>
    <cellStyle name="Note 2 2 3 2 3 3 2" xfId="41074"/>
    <cellStyle name="Note 2 2 3 2 3 3 2 2" xfId="41075"/>
    <cellStyle name="Note 2 2 3 2 3 3 3" xfId="41076"/>
    <cellStyle name="Note 2 2 3 2 3 3 3 2" xfId="41077"/>
    <cellStyle name="Note 2 2 3 2 3 3 4" xfId="41078"/>
    <cellStyle name="Note 2 2 3 2 3 3 5" xfId="41079"/>
    <cellStyle name="Note 2 2 3 2 3 3 6" xfId="41080"/>
    <cellStyle name="Note 2 2 3 2 3 4" xfId="41081"/>
    <cellStyle name="Note 2 2 3 2 3 4 2" xfId="41082"/>
    <cellStyle name="Note 2 2 3 2 3 5" xfId="41083"/>
    <cellStyle name="Note 2 2 3 2 3 5 2" xfId="41084"/>
    <cellStyle name="Note 2 2 3 2 3 6" xfId="41085"/>
    <cellStyle name="Note 2 2 3 2 3 7" xfId="41086"/>
    <cellStyle name="Note 2 2 3 2 3 8" xfId="41087"/>
    <cellStyle name="Note 2 2 3 2 4" xfId="41088"/>
    <cellStyle name="Note 2 2 3 2 4 2" xfId="41089"/>
    <cellStyle name="Note 2 2 3 2 4 2 2" xfId="41090"/>
    <cellStyle name="Note 2 2 3 2 4 2 2 2" xfId="41091"/>
    <cellStyle name="Note 2 2 3 2 4 2 3" xfId="41092"/>
    <cellStyle name="Note 2 2 3 2 4 2 3 2" xfId="41093"/>
    <cellStyle name="Note 2 2 3 2 4 2 4" xfId="41094"/>
    <cellStyle name="Note 2 2 3 2 4 2 5" xfId="41095"/>
    <cellStyle name="Note 2 2 3 2 4 2 6" xfId="41096"/>
    <cellStyle name="Note 2 2 3 2 4 3" xfId="41097"/>
    <cellStyle name="Note 2 2 3 2 4 3 2" xfId="41098"/>
    <cellStyle name="Note 2 2 3 2 4 4" xfId="41099"/>
    <cellStyle name="Note 2 2 3 2 4 4 2" xfId="41100"/>
    <cellStyle name="Note 2 2 3 2 4 5" xfId="41101"/>
    <cellStyle name="Note 2 2 3 2 4 6" xfId="41102"/>
    <cellStyle name="Note 2 2 3 2 4 7" xfId="41103"/>
    <cellStyle name="Note 2 2 3 2 5" xfId="41104"/>
    <cellStyle name="Note 2 2 3 2 5 2" xfId="41105"/>
    <cellStyle name="Note 2 2 3 2 5 2 2" xfId="41106"/>
    <cellStyle name="Note 2 2 3 2 5 3" xfId="41107"/>
    <cellStyle name="Note 2 2 3 2 5 3 2" xfId="41108"/>
    <cellStyle name="Note 2 2 3 2 5 4" xfId="41109"/>
    <cellStyle name="Note 2 2 3 2 5 5" xfId="41110"/>
    <cellStyle name="Note 2 2 3 2 5 6" xfId="41111"/>
    <cellStyle name="Note 2 2 3 2 6" xfId="41112"/>
    <cellStyle name="Note 2 2 3 2 6 2" xfId="41113"/>
    <cellStyle name="Note 2 2 3 2 7" xfId="41114"/>
    <cellStyle name="Note 2 2 3 2 7 2" xfId="41115"/>
    <cellStyle name="Note 2 2 3 2 8" xfId="41116"/>
    <cellStyle name="Note 2 2 3 2 9" xfId="41117"/>
    <cellStyle name="Note 2 2 3 3" xfId="41118"/>
    <cellStyle name="Note 2 2 3 3 10" xfId="41119"/>
    <cellStyle name="Note 2 2 3 3 2" xfId="41120"/>
    <cellStyle name="Note 2 2 3 3 2 2" xfId="41121"/>
    <cellStyle name="Note 2 2 3 3 2 2 2" xfId="41122"/>
    <cellStyle name="Note 2 2 3 3 2 2 2 2" xfId="41123"/>
    <cellStyle name="Note 2 2 3 3 2 2 2 2 2" xfId="41124"/>
    <cellStyle name="Note 2 2 3 3 2 2 2 2 2 2" xfId="41125"/>
    <cellStyle name="Note 2 2 3 3 2 2 2 2 3" xfId="41126"/>
    <cellStyle name="Note 2 2 3 3 2 2 2 2 3 2" xfId="41127"/>
    <cellStyle name="Note 2 2 3 3 2 2 2 2 4" xfId="41128"/>
    <cellStyle name="Note 2 2 3 3 2 2 2 2 5" xfId="41129"/>
    <cellStyle name="Note 2 2 3 3 2 2 2 2 6" xfId="41130"/>
    <cellStyle name="Note 2 2 3 3 2 2 2 3" xfId="41131"/>
    <cellStyle name="Note 2 2 3 3 2 2 2 3 2" xfId="41132"/>
    <cellStyle name="Note 2 2 3 3 2 2 2 4" xfId="41133"/>
    <cellStyle name="Note 2 2 3 3 2 2 2 4 2" xfId="41134"/>
    <cellStyle name="Note 2 2 3 3 2 2 2 5" xfId="41135"/>
    <cellStyle name="Note 2 2 3 3 2 2 2 6" xfId="41136"/>
    <cellStyle name="Note 2 2 3 3 2 2 2 7" xfId="41137"/>
    <cellStyle name="Note 2 2 3 3 2 2 3" xfId="41138"/>
    <cellStyle name="Note 2 2 3 3 2 2 3 2" xfId="41139"/>
    <cellStyle name="Note 2 2 3 3 2 2 3 2 2" xfId="41140"/>
    <cellStyle name="Note 2 2 3 3 2 2 3 3" xfId="41141"/>
    <cellStyle name="Note 2 2 3 3 2 2 3 3 2" xfId="41142"/>
    <cellStyle name="Note 2 2 3 3 2 2 3 4" xfId="41143"/>
    <cellStyle name="Note 2 2 3 3 2 2 3 5" xfId="41144"/>
    <cellStyle name="Note 2 2 3 3 2 2 3 6" xfId="41145"/>
    <cellStyle name="Note 2 2 3 3 2 2 4" xfId="41146"/>
    <cellStyle name="Note 2 2 3 3 2 2 4 2" xfId="41147"/>
    <cellStyle name="Note 2 2 3 3 2 2 5" xfId="41148"/>
    <cellStyle name="Note 2 2 3 3 2 2 5 2" xfId="41149"/>
    <cellStyle name="Note 2 2 3 3 2 2 6" xfId="41150"/>
    <cellStyle name="Note 2 2 3 3 2 2 7" xfId="41151"/>
    <cellStyle name="Note 2 2 3 3 2 2 8" xfId="41152"/>
    <cellStyle name="Note 2 2 3 3 2 3" xfId="41153"/>
    <cellStyle name="Note 2 2 3 3 2 3 2" xfId="41154"/>
    <cellStyle name="Note 2 2 3 3 2 3 2 2" xfId="41155"/>
    <cellStyle name="Note 2 2 3 3 2 3 2 2 2" xfId="41156"/>
    <cellStyle name="Note 2 2 3 3 2 3 2 3" xfId="41157"/>
    <cellStyle name="Note 2 2 3 3 2 3 2 3 2" xfId="41158"/>
    <cellStyle name="Note 2 2 3 3 2 3 2 4" xfId="41159"/>
    <cellStyle name="Note 2 2 3 3 2 3 2 5" xfId="41160"/>
    <cellStyle name="Note 2 2 3 3 2 3 2 6" xfId="41161"/>
    <cellStyle name="Note 2 2 3 3 2 3 3" xfId="41162"/>
    <cellStyle name="Note 2 2 3 3 2 3 3 2" xfId="41163"/>
    <cellStyle name="Note 2 2 3 3 2 3 4" xfId="41164"/>
    <cellStyle name="Note 2 2 3 3 2 3 4 2" xfId="41165"/>
    <cellStyle name="Note 2 2 3 3 2 3 5" xfId="41166"/>
    <cellStyle name="Note 2 2 3 3 2 3 6" xfId="41167"/>
    <cellStyle name="Note 2 2 3 3 2 3 7" xfId="41168"/>
    <cellStyle name="Note 2 2 3 3 2 4" xfId="41169"/>
    <cellStyle name="Note 2 2 3 3 2 4 2" xfId="41170"/>
    <cellStyle name="Note 2 2 3 3 2 4 2 2" xfId="41171"/>
    <cellStyle name="Note 2 2 3 3 2 4 3" xfId="41172"/>
    <cellStyle name="Note 2 2 3 3 2 4 3 2" xfId="41173"/>
    <cellStyle name="Note 2 2 3 3 2 4 4" xfId="41174"/>
    <cellStyle name="Note 2 2 3 3 2 4 5" xfId="41175"/>
    <cellStyle name="Note 2 2 3 3 2 4 6" xfId="41176"/>
    <cellStyle name="Note 2 2 3 3 2 5" xfId="41177"/>
    <cellStyle name="Note 2 2 3 3 2 5 2" xfId="41178"/>
    <cellStyle name="Note 2 2 3 3 2 6" xfId="41179"/>
    <cellStyle name="Note 2 2 3 3 2 6 2" xfId="41180"/>
    <cellStyle name="Note 2 2 3 3 2 7" xfId="41181"/>
    <cellStyle name="Note 2 2 3 3 2 8" xfId="41182"/>
    <cellStyle name="Note 2 2 3 3 2 9" xfId="41183"/>
    <cellStyle name="Note 2 2 3 3 3" xfId="41184"/>
    <cellStyle name="Note 2 2 3 3 3 2" xfId="41185"/>
    <cellStyle name="Note 2 2 3 3 3 2 2" xfId="41186"/>
    <cellStyle name="Note 2 2 3 3 3 2 2 2" xfId="41187"/>
    <cellStyle name="Note 2 2 3 3 3 2 2 2 2" xfId="41188"/>
    <cellStyle name="Note 2 2 3 3 3 2 2 3" xfId="41189"/>
    <cellStyle name="Note 2 2 3 3 3 2 2 3 2" xfId="41190"/>
    <cellStyle name="Note 2 2 3 3 3 2 2 4" xfId="41191"/>
    <cellStyle name="Note 2 2 3 3 3 2 2 5" xfId="41192"/>
    <cellStyle name="Note 2 2 3 3 3 2 2 6" xfId="41193"/>
    <cellStyle name="Note 2 2 3 3 3 2 3" xfId="41194"/>
    <cellStyle name="Note 2 2 3 3 3 2 3 2" xfId="41195"/>
    <cellStyle name="Note 2 2 3 3 3 2 4" xfId="41196"/>
    <cellStyle name="Note 2 2 3 3 3 2 4 2" xfId="41197"/>
    <cellStyle name="Note 2 2 3 3 3 2 5" xfId="41198"/>
    <cellStyle name="Note 2 2 3 3 3 2 6" xfId="41199"/>
    <cellStyle name="Note 2 2 3 3 3 2 7" xfId="41200"/>
    <cellStyle name="Note 2 2 3 3 3 3" xfId="41201"/>
    <cellStyle name="Note 2 2 3 3 3 3 2" xfId="41202"/>
    <cellStyle name="Note 2 2 3 3 3 3 2 2" xfId="41203"/>
    <cellStyle name="Note 2 2 3 3 3 3 3" xfId="41204"/>
    <cellStyle name="Note 2 2 3 3 3 3 3 2" xfId="41205"/>
    <cellStyle name="Note 2 2 3 3 3 3 4" xfId="41206"/>
    <cellStyle name="Note 2 2 3 3 3 3 5" xfId="41207"/>
    <cellStyle name="Note 2 2 3 3 3 3 6" xfId="41208"/>
    <cellStyle name="Note 2 2 3 3 3 4" xfId="41209"/>
    <cellStyle name="Note 2 2 3 3 3 4 2" xfId="41210"/>
    <cellStyle name="Note 2 2 3 3 3 5" xfId="41211"/>
    <cellStyle name="Note 2 2 3 3 3 5 2" xfId="41212"/>
    <cellStyle name="Note 2 2 3 3 3 6" xfId="41213"/>
    <cellStyle name="Note 2 2 3 3 3 7" xfId="41214"/>
    <cellStyle name="Note 2 2 3 3 3 8" xfId="41215"/>
    <cellStyle name="Note 2 2 3 3 4" xfId="41216"/>
    <cellStyle name="Note 2 2 3 3 4 2" xfId="41217"/>
    <cellStyle name="Note 2 2 3 3 4 2 2" xfId="41218"/>
    <cellStyle name="Note 2 2 3 3 4 2 2 2" xfId="41219"/>
    <cellStyle name="Note 2 2 3 3 4 2 3" xfId="41220"/>
    <cellStyle name="Note 2 2 3 3 4 2 3 2" xfId="41221"/>
    <cellStyle name="Note 2 2 3 3 4 2 4" xfId="41222"/>
    <cellStyle name="Note 2 2 3 3 4 2 5" xfId="41223"/>
    <cellStyle name="Note 2 2 3 3 4 2 6" xfId="41224"/>
    <cellStyle name="Note 2 2 3 3 4 3" xfId="41225"/>
    <cellStyle name="Note 2 2 3 3 4 3 2" xfId="41226"/>
    <cellStyle name="Note 2 2 3 3 4 4" xfId="41227"/>
    <cellStyle name="Note 2 2 3 3 4 4 2" xfId="41228"/>
    <cellStyle name="Note 2 2 3 3 4 5" xfId="41229"/>
    <cellStyle name="Note 2 2 3 3 4 6" xfId="41230"/>
    <cellStyle name="Note 2 2 3 3 4 7" xfId="41231"/>
    <cellStyle name="Note 2 2 3 3 5" xfId="41232"/>
    <cellStyle name="Note 2 2 3 3 5 2" xfId="41233"/>
    <cellStyle name="Note 2 2 3 3 5 2 2" xfId="41234"/>
    <cellStyle name="Note 2 2 3 3 5 3" xfId="41235"/>
    <cellStyle name="Note 2 2 3 3 5 3 2" xfId="41236"/>
    <cellStyle name="Note 2 2 3 3 5 4" xfId="41237"/>
    <cellStyle name="Note 2 2 3 3 5 5" xfId="41238"/>
    <cellStyle name="Note 2 2 3 3 5 6" xfId="41239"/>
    <cellStyle name="Note 2 2 3 3 6" xfId="41240"/>
    <cellStyle name="Note 2 2 3 3 6 2" xfId="41241"/>
    <cellStyle name="Note 2 2 3 3 7" xfId="41242"/>
    <cellStyle name="Note 2 2 3 3 7 2" xfId="41243"/>
    <cellStyle name="Note 2 2 3 3 8" xfId="41244"/>
    <cellStyle name="Note 2 2 3 3 9" xfId="41245"/>
    <cellStyle name="Note 2 2 3 4" xfId="41246"/>
    <cellStyle name="Note 2 2 3 4 2" xfId="41247"/>
    <cellStyle name="Note 2 2 3 4 2 2" xfId="41248"/>
    <cellStyle name="Note 2 2 3 4 2 2 2" xfId="41249"/>
    <cellStyle name="Note 2 2 3 4 2 2 2 2" xfId="41250"/>
    <cellStyle name="Note 2 2 3 4 2 2 2 2 2" xfId="41251"/>
    <cellStyle name="Note 2 2 3 4 2 2 2 3" xfId="41252"/>
    <cellStyle name="Note 2 2 3 4 2 2 2 3 2" xfId="41253"/>
    <cellStyle name="Note 2 2 3 4 2 2 2 4" xfId="41254"/>
    <cellStyle name="Note 2 2 3 4 2 2 2 5" xfId="41255"/>
    <cellStyle name="Note 2 2 3 4 2 2 2 6" xfId="41256"/>
    <cellStyle name="Note 2 2 3 4 2 2 3" xfId="41257"/>
    <cellStyle name="Note 2 2 3 4 2 2 3 2" xfId="41258"/>
    <cellStyle name="Note 2 2 3 4 2 2 4" xfId="41259"/>
    <cellStyle name="Note 2 2 3 4 2 2 4 2" xfId="41260"/>
    <cellStyle name="Note 2 2 3 4 2 2 5" xfId="41261"/>
    <cellStyle name="Note 2 2 3 4 2 2 6" xfId="41262"/>
    <cellStyle name="Note 2 2 3 4 2 2 7" xfId="41263"/>
    <cellStyle name="Note 2 2 3 4 2 3" xfId="41264"/>
    <cellStyle name="Note 2 2 3 4 2 3 2" xfId="41265"/>
    <cellStyle name="Note 2 2 3 4 2 3 2 2" xfId="41266"/>
    <cellStyle name="Note 2 2 3 4 2 3 3" xfId="41267"/>
    <cellStyle name="Note 2 2 3 4 2 3 3 2" xfId="41268"/>
    <cellStyle name="Note 2 2 3 4 2 3 4" xfId="41269"/>
    <cellStyle name="Note 2 2 3 4 2 3 5" xfId="41270"/>
    <cellStyle name="Note 2 2 3 4 2 3 6" xfId="41271"/>
    <cellStyle name="Note 2 2 3 4 2 4" xfId="41272"/>
    <cellStyle name="Note 2 2 3 4 2 4 2" xfId="41273"/>
    <cellStyle name="Note 2 2 3 4 2 5" xfId="41274"/>
    <cellStyle name="Note 2 2 3 4 2 5 2" xfId="41275"/>
    <cellStyle name="Note 2 2 3 4 2 6" xfId="41276"/>
    <cellStyle name="Note 2 2 3 4 2 7" xfId="41277"/>
    <cellStyle name="Note 2 2 3 4 2 8" xfId="41278"/>
    <cellStyle name="Note 2 2 3 4 3" xfId="41279"/>
    <cellStyle name="Note 2 2 3 4 3 2" xfId="41280"/>
    <cellStyle name="Note 2 2 3 4 3 2 2" xfId="41281"/>
    <cellStyle name="Note 2 2 3 4 3 2 2 2" xfId="41282"/>
    <cellStyle name="Note 2 2 3 4 3 2 3" xfId="41283"/>
    <cellStyle name="Note 2 2 3 4 3 2 3 2" xfId="41284"/>
    <cellStyle name="Note 2 2 3 4 3 2 4" xfId="41285"/>
    <cellStyle name="Note 2 2 3 4 3 2 5" xfId="41286"/>
    <cellStyle name="Note 2 2 3 4 3 2 6" xfId="41287"/>
    <cellStyle name="Note 2 2 3 4 3 3" xfId="41288"/>
    <cellStyle name="Note 2 2 3 4 3 3 2" xfId="41289"/>
    <cellStyle name="Note 2 2 3 4 3 4" xfId="41290"/>
    <cellStyle name="Note 2 2 3 4 3 4 2" xfId="41291"/>
    <cellStyle name="Note 2 2 3 4 3 5" xfId="41292"/>
    <cellStyle name="Note 2 2 3 4 3 6" xfId="41293"/>
    <cellStyle name="Note 2 2 3 4 3 7" xfId="41294"/>
    <cellStyle name="Note 2 2 3 4 4" xfId="41295"/>
    <cellStyle name="Note 2 2 3 4 4 2" xfId="41296"/>
    <cellStyle name="Note 2 2 3 4 4 2 2" xfId="41297"/>
    <cellStyle name="Note 2 2 3 4 4 3" xfId="41298"/>
    <cellStyle name="Note 2 2 3 4 4 3 2" xfId="41299"/>
    <cellStyle name="Note 2 2 3 4 4 4" xfId="41300"/>
    <cellStyle name="Note 2 2 3 4 4 5" xfId="41301"/>
    <cellStyle name="Note 2 2 3 4 4 6" xfId="41302"/>
    <cellStyle name="Note 2 2 3 4 5" xfId="41303"/>
    <cellStyle name="Note 2 2 3 4 5 2" xfId="41304"/>
    <cellStyle name="Note 2 2 3 4 6" xfId="41305"/>
    <cellStyle name="Note 2 2 3 4 6 2" xfId="41306"/>
    <cellStyle name="Note 2 2 3 4 7" xfId="41307"/>
    <cellStyle name="Note 2 2 3 4 8" xfId="41308"/>
    <cellStyle name="Note 2 2 3 4 9" xfId="41309"/>
    <cellStyle name="Note 2 2 3 5" xfId="41310"/>
    <cellStyle name="Note 2 2 3 5 2" xfId="41311"/>
    <cellStyle name="Note 2 2 3 5 2 2" xfId="41312"/>
    <cellStyle name="Note 2 2 3 5 2 2 2" xfId="41313"/>
    <cellStyle name="Note 2 2 3 5 2 2 2 2" xfId="41314"/>
    <cellStyle name="Note 2 2 3 5 2 2 3" xfId="41315"/>
    <cellStyle name="Note 2 2 3 5 2 2 3 2" xfId="41316"/>
    <cellStyle name="Note 2 2 3 5 2 2 4" xfId="41317"/>
    <cellStyle name="Note 2 2 3 5 2 2 5" xfId="41318"/>
    <cellStyle name="Note 2 2 3 5 2 2 6" xfId="41319"/>
    <cellStyle name="Note 2 2 3 5 2 3" xfId="41320"/>
    <cellStyle name="Note 2 2 3 5 2 3 2" xfId="41321"/>
    <cellStyle name="Note 2 2 3 5 2 4" xfId="41322"/>
    <cellStyle name="Note 2 2 3 5 2 4 2" xfId="41323"/>
    <cellStyle name="Note 2 2 3 5 2 5" xfId="41324"/>
    <cellStyle name="Note 2 2 3 5 2 6" xfId="41325"/>
    <cellStyle name="Note 2 2 3 5 2 7" xfId="41326"/>
    <cellStyle name="Note 2 2 3 5 3" xfId="41327"/>
    <cellStyle name="Note 2 2 3 5 3 2" xfId="41328"/>
    <cellStyle name="Note 2 2 3 5 3 2 2" xfId="41329"/>
    <cellStyle name="Note 2 2 3 5 3 3" xfId="41330"/>
    <cellStyle name="Note 2 2 3 5 3 3 2" xfId="41331"/>
    <cellStyle name="Note 2 2 3 5 3 4" xfId="41332"/>
    <cellStyle name="Note 2 2 3 5 3 5" xfId="41333"/>
    <cellStyle name="Note 2 2 3 5 3 6" xfId="41334"/>
    <cellStyle name="Note 2 2 3 5 4" xfId="41335"/>
    <cellStyle name="Note 2 2 3 5 4 2" xfId="41336"/>
    <cellStyle name="Note 2 2 3 5 5" xfId="41337"/>
    <cellStyle name="Note 2 2 3 5 5 2" xfId="41338"/>
    <cellStyle name="Note 2 2 3 5 6" xfId="41339"/>
    <cellStyle name="Note 2 2 3 5 7" xfId="41340"/>
    <cellStyle name="Note 2 2 3 5 8" xfId="41341"/>
    <cellStyle name="Note 2 2 3 6" xfId="41342"/>
    <cellStyle name="Note 2 2 3 6 2" xfId="41343"/>
    <cellStyle name="Note 2 2 3 6 2 2" xfId="41344"/>
    <cellStyle name="Note 2 2 3 6 2 2 2" xfId="41345"/>
    <cellStyle name="Note 2 2 3 6 2 3" xfId="41346"/>
    <cellStyle name="Note 2 2 3 6 2 3 2" xfId="41347"/>
    <cellStyle name="Note 2 2 3 6 2 4" xfId="41348"/>
    <cellStyle name="Note 2 2 3 6 2 5" xfId="41349"/>
    <cellStyle name="Note 2 2 3 6 2 6" xfId="41350"/>
    <cellStyle name="Note 2 2 3 6 3" xfId="41351"/>
    <cellStyle name="Note 2 2 3 6 3 2" xfId="41352"/>
    <cellStyle name="Note 2 2 3 6 4" xfId="41353"/>
    <cellStyle name="Note 2 2 3 6 4 2" xfId="41354"/>
    <cellStyle name="Note 2 2 3 6 5" xfId="41355"/>
    <cellStyle name="Note 2 2 3 6 6" xfId="41356"/>
    <cellStyle name="Note 2 2 3 6 7" xfId="41357"/>
    <cellStyle name="Note 2 2 3 7" xfId="41358"/>
    <cellStyle name="Note 2 2 3 7 2" xfId="41359"/>
    <cellStyle name="Note 2 2 3 7 2 2" xfId="41360"/>
    <cellStyle name="Note 2 2 3 7 3" xfId="41361"/>
    <cellStyle name="Note 2 2 3 7 3 2" xfId="41362"/>
    <cellStyle name="Note 2 2 3 7 4" xfId="41363"/>
    <cellStyle name="Note 2 2 3 7 5" xfId="41364"/>
    <cellStyle name="Note 2 2 3 7 6" xfId="41365"/>
    <cellStyle name="Note 2 2 3 8" xfId="41366"/>
    <cellStyle name="Note 2 2 3 8 2" xfId="41367"/>
    <cellStyle name="Note 2 2 3 9" xfId="41368"/>
    <cellStyle name="Note 2 2 3 9 2" xfId="41369"/>
    <cellStyle name="Note 2 2 4" xfId="41370"/>
    <cellStyle name="Note 2 2 4 10" xfId="41371"/>
    <cellStyle name="Note 2 2 4 11" xfId="41372"/>
    <cellStyle name="Note 2 2 4 2" xfId="41373"/>
    <cellStyle name="Note 2 2 4 2 10" xfId="41374"/>
    <cellStyle name="Note 2 2 4 2 2" xfId="41375"/>
    <cellStyle name="Note 2 2 4 2 2 2" xfId="41376"/>
    <cellStyle name="Note 2 2 4 2 2 2 2" xfId="41377"/>
    <cellStyle name="Note 2 2 4 2 2 2 2 2" xfId="41378"/>
    <cellStyle name="Note 2 2 4 2 2 2 2 2 2" xfId="41379"/>
    <cellStyle name="Note 2 2 4 2 2 2 2 2 2 2" xfId="41380"/>
    <cellStyle name="Note 2 2 4 2 2 2 2 2 3" xfId="41381"/>
    <cellStyle name="Note 2 2 4 2 2 2 2 2 3 2" xfId="41382"/>
    <cellStyle name="Note 2 2 4 2 2 2 2 2 4" xfId="41383"/>
    <cellStyle name="Note 2 2 4 2 2 2 2 2 5" xfId="41384"/>
    <cellStyle name="Note 2 2 4 2 2 2 2 2 6" xfId="41385"/>
    <cellStyle name="Note 2 2 4 2 2 2 2 3" xfId="41386"/>
    <cellStyle name="Note 2 2 4 2 2 2 2 3 2" xfId="41387"/>
    <cellStyle name="Note 2 2 4 2 2 2 2 4" xfId="41388"/>
    <cellStyle name="Note 2 2 4 2 2 2 2 4 2" xfId="41389"/>
    <cellStyle name="Note 2 2 4 2 2 2 2 5" xfId="41390"/>
    <cellStyle name="Note 2 2 4 2 2 2 2 6" xfId="41391"/>
    <cellStyle name="Note 2 2 4 2 2 2 2 7" xfId="41392"/>
    <cellStyle name="Note 2 2 4 2 2 2 3" xfId="41393"/>
    <cellStyle name="Note 2 2 4 2 2 2 3 2" xfId="41394"/>
    <cellStyle name="Note 2 2 4 2 2 2 3 2 2" xfId="41395"/>
    <cellStyle name="Note 2 2 4 2 2 2 3 3" xfId="41396"/>
    <cellStyle name="Note 2 2 4 2 2 2 3 3 2" xfId="41397"/>
    <cellStyle name="Note 2 2 4 2 2 2 3 4" xfId="41398"/>
    <cellStyle name="Note 2 2 4 2 2 2 3 5" xfId="41399"/>
    <cellStyle name="Note 2 2 4 2 2 2 3 6" xfId="41400"/>
    <cellStyle name="Note 2 2 4 2 2 2 4" xfId="41401"/>
    <cellStyle name="Note 2 2 4 2 2 2 4 2" xfId="41402"/>
    <cellStyle name="Note 2 2 4 2 2 2 5" xfId="41403"/>
    <cellStyle name="Note 2 2 4 2 2 2 5 2" xfId="41404"/>
    <cellStyle name="Note 2 2 4 2 2 2 6" xfId="41405"/>
    <cellStyle name="Note 2 2 4 2 2 2 7" xfId="41406"/>
    <cellStyle name="Note 2 2 4 2 2 2 8" xfId="41407"/>
    <cellStyle name="Note 2 2 4 2 2 3" xfId="41408"/>
    <cellStyle name="Note 2 2 4 2 2 3 2" xfId="41409"/>
    <cellStyle name="Note 2 2 4 2 2 3 2 2" xfId="41410"/>
    <cellStyle name="Note 2 2 4 2 2 3 2 2 2" xfId="41411"/>
    <cellStyle name="Note 2 2 4 2 2 3 2 3" xfId="41412"/>
    <cellStyle name="Note 2 2 4 2 2 3 2 3 2" xfId="41413"/>
    <cellStyle name="Note 2 2 4 2 2 3 2 4" xfId="41414"/>
    <cellStyle name="Note 2 2 4 2 2 3 2 5" xfId="41415"/>
    <cellStyle name="Note 2 2 4 2 2 3 2 6" xfId="41416"/>
    <cellStyle name="Note 2 2 4 2 2 3 3" xfId="41417"/>
    <cellStyle name="Note 2 2 4 2 2 3 3 2" xfId="41418"/>
    <cellStyle name="Note 2 2 4 2 2 3 4" xfId="41419"/>
    <cellStyle name="Note 2 2 4 2 2 3 4 2" xfId="41420"/>
    <cellStyle name="Note 2 2 4 2 2 3 5" xfId="41421"/>
    <cellStyle name="Note 2 2 4 2 2 3 6" xfId="41422"/>
    <cellStyle name="Note 2 2 4 2 2 3 7" xfId="41423"/>
    <cellStyle name="Note 2 2 4 2 2 4" xfId="41424"/>
    <cellStyle name="Note 2 2 4 2 2 4 2" xfId="41425"/>
    <cellStyle name="Note 2 2 4 2 2 4 2 2" xfId="41426"/>
    <cellStyle name="Note 2 2 4 2 2 4 3" xfId="41427"/>
    <cellStyle name="Note 2 2 4 2 2 4 3 2" xfId="41428"/>
    <cellStyle name="Note 2 2 4 2 2 4 4" xfId="41429"/>
    <cellStyle name="Note 2 2 4 2 2 4 5" xfId="41430"/>
    <cellStyle name="Note 2 2 4 2 2 4 6" xfId="41431"/>
    <cellStyle name="Note 2 2 4 2 2 5" xfId="41432"/>
    <cellStyle name="Note 2 2 4 2 2 5 2" xfId="41433"/>
    <cellStyle name="Note 2 2 4 2 2 6" xfId="41434"/>
    <cellStyle name="Note 2 2 4 2 2 6 2" xfId="41435"/>
    <cellStyle name="Note 2 2 4 2 2 7" xfId="41436"/>
    <cellStyle name="Note 2 2 4 2 2 8" xfId="41437"/>
    <cellStyle name="Note 2 2 4 2 2 9" xfId="41438"/>
    <cellStyle name="Note 2 2 4 2 3" xfId="41439"/>
    <cellStyle name="Note 2 2 4 2 3 2" xfId="41440"/>
    <cellStyle name="Note 2 2 4 2 3 2 2" xfId="41441"/>
    <cellStyle name="Note 2 2 4 2 3 2 2 2" xfId="41442"/>
    <cellStyle name="Note 2 2 4 2 3 2 2 2 2" xfId="41443"/>
    <cellStyle name="Note 2 2 4 2 3 2 2 3" xfId="41444"/>
    <cellStyle name="Note 2 2 4 2 3 2 2 3 2" xfId="41445"/>
    <cellStyle name="Note 2 2 4 2 3 2 2 4" xfId="41446"/>
    <cellStyle name="Note 2 2 4 2 3 2 2 5" xfId="41447"/>
    <cellStyle name="Note 2 2 4 2 3 2 2 6" xfId="41448"/>
    <cellStyle name="Note 2 2 4 2 3 2 3" xfId="41449"/>
    <cellStyle name="Note 2 2 4 2 3 2 3 2" xfId="41450"/>
    <cellStyle name="Note 2 2 4 2 3 2 4" xfId="41451"/>
    <cellStyle name="Note 2 2 4 2 3 2 4 2" xfId="41452"/>
    <cellStyle name="Note 2 2 4 2 3 2 5" xfId="41453"/>
    <cellStyle name="Note 2 2 4 2 3 2 6" xfId="41454"/>
    <cellStyle name="Note 2 2 4 2 3 2 7" xfId="41455"/>
    <cellStyle name="Note 2 2 4 2 3 3" xfId="41456"/>
    <cellStyle name="Note 2 2 4 2 3 3 2" xfId="41457"/>
    <cellStyle name="Note 2 2 4 2 3 3 2 2" xfId="41458"/>
    <cellStyle name="Note 2 2 4 2 3 3 3" xfId="41459"/>
    <cellStyle name="Note 2 2 4 2 3 3 3 2" xfId="41460"/>
    <cellStyle name="Note 2 2 4 2 3 3 4" xfId="41461"/>
    <cellStyle name="Note 2 2 4 2 3 3 5" xfId="41462"/>
    <cellStyle name="Note 2 2 4 2 3 3 6" xfId="41463"/>
    <cellStyle name="Note 2 2 4 2 3 4" xfId="41464"/>
    <cellStyle name="Note 2 2 4 2 3 4 2" xfId="41465"/>
    <cellStyle name="Note 2 2 4 2 3 5" xfId="41466"/>
    <cellStyle name="Note 2 2 4 2 3 5 2" xfId="41467"/>
    <cellStyle name="Note 2 2 4 2 3 6" xfId="41468"/>
    <cellStyle name="Note 2 2 4 2 3 7" xfId="41469"/>
    <cellStyle name="Note 2 2 4 2 3 8" xfId="41470"/>
    <cellStyle name="Note 2 2 4 2 4" xfId="41471"/>
    <cellStyle name="Note 2 2 4 2 4 2" xfId="41472"/>
    <cellStyle name="Note 2 2 4 2 4 2 2" xfId="41473"/>
    <cellStyle name="Note 2 2 4 2 4 2 2 2" xfId="41474"/>
    <cellStyle name="Note 2 2 4 2 4 2 3" xfId="41475"/>
    <cellStyle name="Note 2 2 4 2 4 2 3 2" xfId="41476"/>
    <cellStyle name="Note 2 2 4 2 4 2 4" xfId="41477"/>
    <cellStyle name="Note 2 2 4 2 4 2 5" xfId="41478"/>
    <cellStyle name="Note 2 2 4 2 4 2 6" xfId="41479"/>
    <cellStyle name="Note 2 2 4 2 4 3" xfId="41480"/>
    <cellStyle name="Note 2 2 4 2 4 3 2" xfId="41481"/>
    <cellStyle name="Note 2 2 4 2 4 4" xfId="41482"/>
    <cellStyle name="Note 2 2 4 2 4 4 2" xfId="41483"/>
    <cellStyle name="Note 2 2 4 2 4 5" xfId="41484"/>
    <cellStyle name="Note 2 2 4 2 4 6" xfId="41485"/>
    <cellStyle name="Note 2 2 4 2 4 7" xfId="41486"/>
    <cellStyle name="Note 2 2 4 2 5" xfId="41487"/>
    <cellStyle name="Note 2 2 4 2 5 2" xfId="41488"/>
    <cellStyle name="Note 2 2 4 2 5 2 2" xfId="41489"/>
    <cellStyle name="Note 2 2 4 2 5 3" xfId="41490"/>
    <cellStyle name="Note 2 2 4 2 5 3 2" xfId="41491"/>
    <cellStyle name="Note 2 2 4 2 5 4" xfId="41492"/>
    <cellStyle name="Note 2 2 4 2 5 5" xfId="41493"/>
    <cellStyle name="Note 2 2 4 2 5 6" xfId="41494"/>
    <cellStyle name="Note 2 2 4 2 6" xfId="41495"/>
    <cellStyle name="Note 2 2 4 2 6 2" xfId="41496"/>
    <cellStyle name="Note 2 2 4 2 7" xfId="41497"/>
    <cellStyle name="Note 2 2 4 2 7 2" xfId="41498"/>
    <cellStyle name="Note 2 2 4 2 8" xfId="41499"/>
    <cellStyle name="Note 2 2 4 2 9" xfId="41500"/>
    <cellStyle name="Note 2 2 4 3" xfId="41501"/>
    <cellStyle name="Note 2 2 4 3 2" xfId="41502"/>
    <cellStyle name="Note 2 2 4 3 2 2" xfId="41503"/>
    <cellStyle name="Note 2 2 4 3 2 2 2" xfId="41504"/>
    <cellStyle name="Note 2 2 4 3 2 2 2 2" xfId="41505"/>
    <cellStyle name="Note 2 2 4 3 2 2 2 2 2" xfId="41506"/>
    <cellStyle name="Note 2 2 4 3 2 2 2 3" xfId="41507"/>
    <cellStyle name="Note 2 2 4 3 2 2 2 3 2" xfId="41508"/>
    <cellStyle name="Note 2 2 4 3 2 2 2 4" xfId="41509"/>
    <cellStyle name="Note 2 2 4 3 2 2 2 5" xfId="41510"/>
    <cellStyle name="Note 2 2 4 3 2 2 2 6" xfId="41511"/>
    <cellStyle name="Note 2 2 4 3 2 2 3" xfId="41512"/>
    <cellStyle name="Note 2 2 4 3 2 2 3 2" xfId="41513"/>
    <cellStyle name="Note 2 2 4 3 2 2 4" xfId="41514"/>
    <cellStyle name="Note 2 2 4 3 2 2 4 2" xfId="41515"/>
    <cellStyle name="Note 2 2 4 3 2 2 5" xfId="41516"/>
    <cellStyle name="Note 2 2 4 3 2 2 6" xfId="41517"/>
    <cellStyle name="Note 2 2 4 3 2 2 7" xfId="41518"/>
    <cellStyle name="Note 2 2 4 3 2 3" xfId="41519"/>
    <cellStyle name="Note 2 2 4 3 2 3 2" xfId="41520"/>
    <cellStyle name="Note 2 2 4 3 2 3 2 2" xfId="41521"/>
    <cellStyle name="Note 2 2 4 3 2 3 3" xfId="41522"/>
    <cellStyle name="Note 2 2 4 3 2 3 3 2" xfId="41523"/>
    <cellStyle name="Note 2 2 4 3 2 3 4" xfId="41524"/>
    <cellStyle name="Note 2 2 4 3 2 3 5" xfId="41525"/>
    <cellStyle name="Note 2 2 4 3 2 3 6" xfId="41526"/>
    <cellStyle name="Note 2 2 4 3 2 4" xfId="41527"/>
    <cellStyle name="Note 2 2 4 3 2 4 2" xfId="41528"/>
    <cellStyle name="Note 2 2 4 3 2 5" xfId="41529"/>
    <cellStyle name="Note 2 2 4 3 2 5 2" xfId="41530"/>
    <cellStyle name="Note 2 2 4 3 2 6" xfId="41531"/>
    <cellStyle name="Note 2 2 4 3 2 7" xfId="41532"/>
    <cellStyle name="Note 2 2 4 3 2 8" xfId="41533"/>
    <cellStyle name="Note 2 2 4 3 3" xfId="41534"/>
    <cellStyle name="Note 2 2 4 3 3 2" xfId="41535"/>
    <cellStyle name="Note 2 2 4 3 3 2 2" xfId="41536"/>
    <cellStyle name="Note 2 2 4 3 3 2 2 2" xfId="41537"/>
    <cellStyle name="Note 2 2 4 3 3 2 3" xfId="41538"/>
    <cellStyle name="Note 2 2 4 3 3 2 3 2" xfId="41539"/>
    <cellStyle name="Note 2 2 4 3 3 2 4" xfId="41540"/>
    <cellStyle name="Note 2 2 4 3 3 2 5" xfId="41541"/>
    <cellStyle name="Note 2 2 4 3 3 2 6" xfId="41542"/>
    <cellStyle name="Note 2 2 4 3 3 3" xfId="41543"/>
    <cellStyle name="Note 2 2 4 3 3 3 2" xfId="41544"/>
    <cellStyle name="Note 2 2 4 3 3 4" xfId="41545"/>
    <cellStyle name="Note 2 2 4 3 3 4 2" xfId="41546"/>
    <cellStyle name="Note 2 2 4 3 3 5" xfId="41547"/>
    <cellStyle name="Note 2 2 4 3 3 6" xfId="41548"/>
    <cellStyle name="Note 2 2 4 3 3 7" xfId="41549"/>
    <cellStyle name="Note 2 2 4 3 4" xfId="41550"/>
    <cellStyle name="Note 2 2 4 3 4 2" xfId="41551"/>
    <cellStyle name="Note 2 2 4 3 4 2 2" xfId="41552"/>
    <cellStyle name="Note 2 2 4 3 4 3" xfId="41553"/>
    <cellStyle name="Note 2 2 4 3 4 3 2" xfId="41554"/>
    <cellStyle name="Note 2 2 4 3 4 4" xfId="41555"/>
    <cellStyle name="Note 2 2 4 3 4 5" xfId="41556"/>
    <cellStyle name="Note 2 2 4 3 4 6" xfId="41557"/>
    <cellStyle name="Note 2 2 4 3 5" xfId="41558"/>
    <cellStyle name="Note 2 2 4 3 5 2" xfId="41559"/>
    <cellStyle name="Note 2 2 4 3 6" xfId="41560"/>
    <cellStyle name="Note 2 2 4 3 6 2" xfId="41561"/>
    <cellStyle name="Note 2 2 4 3 7" xfId="41562"/>
    <cellStyle name="Note 2 2 4 3 8" xfId="41563"/>
    <cellStyle name="Note 2 2 4 3 9" xfId="41564"/>
    <cellStyle name="Note 2 2 4 4" xfId="41565"/>
    <cellStyle name="Note 2 2 4 4 2" xfId="41566"/>
    <cellStyle name="Note 2 2 4 4 2 2" xfId="41567"/>
    <cellStyle name="Note 2 2 4 4 2 2 2" xfId="41568"/>
    <cellStyle name="Note 2 2 4 4 2 2 2 2" xfId="41569"/>
    <cellStyle name="Note 2 2 4 4 2 2 3" xfId="41570"/>
    <cellStyle name="Note 2 2 4 4 2 2 3 2" xfId="41571"/>
    <cellStyle name="Note 2 2 4 4 2 2 4" xfId="41572"/>
    <cellStyle name="Note 2 2 4 4 2 2 5" xfId="41573"/>
    <cellStyle name="Note 2 2 4 4 2 2 6" xfId="41574"/>
    <cellStyle name="Note 2 2 4 4 2 3" xfId="41575"/>
    <cellStyle name="Note 2 2 4 4 2 3 2" xfId="41576"/>
    <cellStyle name="Note 2 2 4 4 2 4" xfId="41577"/>
    <cellStyle name="Note 2 2 4 4 2 4 2" xfId="41578"/>
    <cellStyle name="Note 2 2 4 4 2 5" xfId="41579"/>
    <cellStyle name="Note 2 2 4 4 2 6" xfId="41580"/>
    <cellStyle name="Note 2 2 4 4 2 7" xfId="41581"/>
    <cellStyle name="Note 2 2 4 4 3" xfId="41582"/>
    <cellStyle name="Note 2 2 4 4 3 2" xfId="41583"/>
    <cellStyle name="Note 2 2 4 4 3 2 2" xfId="41584"/>
    <cellStyle name="Note 2 2 4 4 3 3" xfId="41585"/>
    <cellStyle name="Note 2 2 4 4 3 3 2" xfId="41586"/>
    <cellStyle name="Note 2 2 4 4 3 4" xfId="41587"/>
    <cellStyle name="Note 2 2 4 4 3 5" xfId="41588"/>
    <cellStyle name="Note 2 2 4 4 3 6" xfId="41589"/>
    <cellStyle name="Note 2 2 4 4 4" xfId="41590"/>
    <cellStyle name="Note 2 2 4 4 4 2" xfId="41591"/>
    <cellStyle name="Note 2 2 4 4 5" xfId="41592"/>
    <cellStyle name="Note 2 2 4 4 5 2" xfId="41593"/>
    <cellStyle name="Note 2 2 4 4 6" xfId="41594"/>
    <cellStyle name="Note 2 2 4 4 7" xfId="41595"/>
    <cellStyle name="Note 2 2 4 4 8" xfId="41596"/>
    <cellStyle name="Note 2 2 4 5" xfId="41597"/>
    <cellStyle name="Note 2 2 4 5 2" xfId="41598"/>
    <cellStyle name="Note 2 2 4 5 2 2" xfId="41599"/>
    <cellStyle name="Note 2 2 4 5 2 2 2" xfId="41600"/>
    <cellStyle name="Note 2 2 4 5 2 3" xfId="41601"/>
    <cellStyle name="Note 2 2 4 5 2 3 2" xfId="41602"/>
    <cellStyle name="Note 2 2 4 5 2 4" xfId="41603"/>
    <cellStyle name="Note 2 2 4 5 2 5" xfId="41604"/>
    <cellStyle name="Note 2 2 4 5 2 6" xfId="41605"/>
    <cellStyle name="Note 2 2 4 5 3" xfId="41606"/>
    <cellStyle name="Note 2 2 4 5 3 2" xfId="41607"/>
    <cellStyle name="Note 2 2 4 5 4" xfId="41608"/>
    <cellStyle name="Note 2 2 4 5 4 2" xfId="41609"/>
    <cellStyle name="Note 2 2 4 5 5" xfId="41610"/>
    <cellStyle name="Note 2 2 4 5 6" xfId="41611"/>
    <cellStyle name="Note 2 2 4 5 7" xfId="41612"/>
    <cellStyle name="Note 2 2 4 6" xfId="41613"/>
    <cellStyle name="Note 2 2 4 6 2" xfId="41614"/>
    <cellStyle name="Note 2 2 4 6 2 2" xfId="41615"/>
    <cellStyle name="Note 2 2 4 6 3" xfId="41616"/>
    <cellStyle name="Note 2 2 4 6 3 2" xfId="41617"/>
    <cellStyle name="Note 2 2 4 6 4" xfId="41618"/>
    <cellStyle name="Note 2 2 4 6 5" xfId="41619"/>
    <cellStyle name="Note 2 2 4 6 6" xfId="41620"/>
    <cellStyle name="Note 2 2 4 7" xfId="41621"/>
    <cellStyle name="Note 2 2 4 7 2" xfId="41622"/>
    <cellStyle name="Note 2 2 4 8" xfId="41623"/>
    <cellStyle name="Note 2 2 4 8 2" xfId="41624"/>
    <cellStyle name="Note 2 2 4 9" xfId="41625"/>
    <cellStyle name="Note 2 2 5" xfId="41626"/>
    <cellStyle name="Note 2 2 5 2" xfId="41627"/>
    <cellStyle name="Note 2 2 5 2 2" xfId="41628"/>
    <cellStyle name="Note 2 2 5 2 2 2" xfId="41629"/>
    <cellStyle name="Note 2 2 5 2 2 2 2" xfId="41630"/>
    <cellStyle name="Note 2 2 5 2 2 2 2 2" xfId="41631"/>
    <cellStyle name="Note 2 2 5 2 2 2 3" xfId="41632"/>
    <cellStyle name="Note 2 2 5 2 2 2 3 2" xfId="41633"/>
    <cellStyle name="Note 2 2 5 2 2 2 4" xfId="41634"/>
    <cellStyle name="Note 2 2 5 2 2 2 5" xfId="41635"/>
    <cellStyle name="Note 2 2 5 2 2 2 6" xfId="41636"/>
    <cellStyle name="Note 2 2 5 2 2 3" xfId="41637"/>
    <cellStyle name="Note 2 2 5 2 2 3 2" xfId="41638"/>
    <cellStyle name="Note 2 2 5 2 2 4" xfId="41639"/>
    <cellStyle name="Note 2 2 5 2 2 4 2" xfId="41640"/>
    <cellStyle name="Note 2 2 5 2 2 5" xfId="41641"/>
    <cellStyle name="Note 2 2 5 2 2 6" xfId="41642"/>
    <cellStyle name="Note 2 2 5 2 2 7" xfId="41643"/>
    <cellStyle name="Note 2 2 5 2 3" xfId="41644"/>
    <cellStyle name="Note 2 2 5 2 3 2" xfId="41645"/>
    <cellStyle name="Note 2 2 5 2 3 2 2" xfId="41646"/>
    <cellStyle name="Note 2 2 5 2 3 3" xfId="41647"/>
    <cellStyle name="Note 2 2 5 2 3 3 2" xfId="41648"/>
    <cellStyle name="Note 2 2 5 2 3 4" xfId="41649"/>
    <cellStyle name="Note 2 2 5 2 3 5" xfId="41650"/>
    <cellStyle name="Note 2 2 5 2 3 6" xfId="41651"/>
    <cellStyle name="Note 2 2 5 2 4" xfId="41652"/>
    <cellStyle name="Note 2 2 5 2 4 2" xfId="41653"/>
    <cellStyle name="Note 2 2 5 2 5" xfId="41654"/>
    <cellStyle name="Note 2 2 5 2 5 2" xfId="41655"/>
    <cellStyle name="Note 2 2 5 2 6" xfId="41656"/>
    <cellStyle name="Note 2 2 5 2 7" xfId="41657"/>
    <cellStyle name="Note 2 2 5 2 8" xfId="41658"/>
    <cellStyle name="Note 2 2 5 3" xfId="41659"/>
    <cellStyle name="Note 2 2 5 3 2" xfId="41660"/>
    <cellStyle name="Note 2 2 5 3 2 2" xfId="41661"/>
    <cellStyle name="Note 2 2 5 3 2 2 2" xfId="41662"/>
    <cellStyle name="Note 2 2 5 3 2 3" xfId="41663"/>
    <cellStyle name="Note 2 2 5 3 2 3 2" xfId="41664"/>
    <cellStyle name="Note 2 2 5 3 2 4" xfId="41665"/>
    <cellStyle name="Note 2 2 5 3 2 5" xfId="41666"/>
    <cellStyle name="Note 2 2 5 3 2 6" xfId="41667"/>
    <cellStyle name="Note 2 2 5 3 3" xfId="41668"/>
    <cellStyle name="Note 2 2 5 3 3 2" xfId="41669"/>
    <cellStyle name="Note 2 2 5 3 4" xfId="41670"/>
    <cellStyle name="Note 2 2 5 3 4 2" xfId="41671"/>
    <cellStyle name="Note 2 2 5 3 5" xfId="41672"/>
    <cellStyle name="Note 2 2 5 3 6" xfId="41673"/>
    <cellStyle name="Note 2 2 5 3 7" xfId="41674"/>
    <cellStyle name="Note 2 2 5 4" xfId="41675"/>
    <cellStyle name="Note 2 2 5 4 2" xfId="41676"/>
    <cellStyle name="Note 2 2 5 4 2 2" xfId="41677"/>
    <cellStyle name="Note 2 2 5 4 3" xfId="41678"/>
    <cellStyle name="Note 2 2 5 4 3 2" xfId="41679"/>
    <cellStyle name="Note 2 2 5 4 4" xfId="41680"/>
    <cellStyle name="Note 2 2 5 4 5" xfId="41681"/>
    <cellStyle name="Note 2 2 5 4 6" xfId="41682"/>
    <cellStyle name="Note 2 2 5 5" xfId="41683"/>
    <cellStyle name="Note 2 2 5 5 2" xfId="41684"/>
    <cellStyle name="Note 2 2 5 6" xfId="41685"/>
    <cellStyle name="Note 2 2 5 6 2" xfId="41686"/>
    <cellStyle name="Note 2 2 5 7" xfId="41687"/>
    <cellStyle name="Note 2 2 5 8" xfId="41688"/>
    <cellStyle name="Note 2 2 5 9" xfId="41689"/>
    <cellStyle name="Note 2 2 6" xfId="41690"/>
    <cellStyle name="Note 2 2 6 2" xfId="41691"/>
    <cellStyle name="Note 2 2 6 2 2" xfId="41692"/>
    <cellStyle name="Note 2 2 6 2 2 2" xfId="41693"/>
    <cellStyle name="Note 2 2 6 2 2 2 2" xfId="41694"/>
    <cellStyle name="Note 2 2 6 2 2 3" xfId="41695"/>
    <cellStyle name="Note 2 2 6 2 2 3 2" xfId="41696"/>
    <cellStyle name="Note 2 2 6 2 2 4" xfId="41697"/>
    <cellStyle name="Note 2 2 6 2 2 5" xfId="41698"/>
    <cellStyle name="Note 2 2 6 2 2 6" xfId="41699"/>
    <cellStyle name="Note 2 2 6 2 3" xfId="41700"/>
    <cellStyle name="Note 2 2 6 2 3 2" xfId="41701"/>
    <cellStyle name="Note 2 2 6 2 4" xfId="41702"/>
    <cellStyle name="Note 2 2 6 2 4 2" xfId="41703"/>
    <cellStyle name="Note 2 2 6 2 5" xfId="41704"/>
    <cellStyle name="Note 2 2 6 2 6" xfId="41705"/>
    <cellStyle name="Note 2 2 6 2 7" xfId="41706"/>
    <cellStyle name="Note 2 2 6 3" xfId="41707"/>
    <cellStyle name="Note 2 2 6 3 2" xfId="41708"/>
    <cellStyle name="Note 2 2 6 3 2 2" xfId="41709"/>
    <cellStyle name="Note 2 2 6 3 3" xfId="41710"/>
    <cellStyle name="Note 2 2 6 3 3 2" xfId="41711"/>
    <cellStyle name="Note 2 2 6 3 4" xfId="41712"/>
    <cellStyle name="Note 2 2 6 3 5" xfId="41713"/>
    <cellStyle name="Note 2 2 6 3 6" xfId="41714"/>
    <cellStyle name="Note 2 2 6 4" xfId="41715"/>
    <cellStyle name="Note 2 2 6 4 2" xfId="41716"/>
    <cellStyle name="Note 2 2 6 5" xfId="41717"/>
    <cellStyle name="Note 2 2 6 5 2" xfId="41718"/>
    <cellStyle name="Note 2 2 6 6" xfId="41719"/>
    <cellStyle name="Note 2 2 6 7" xfId="41720"/>
    <cellStyle name="Note 2 2 6 8" xfId="41721"/>
    <cellStyle name="Note 2 2 7" xfId="41722"/>
    <cellStyle name="Note 2 2 7 2" xfId="41723"/>
    <cellStyle name="Note 2 2 7 2 2" xfId="41724"/>
    <cellStyle name="Note 2 2 7 2 2 2" xfId="41725"/>
    <cellStyle name="Note 2 2 7 2 3" xfId="41726"/>
    <cellStyle name="Note 2 2 7 2 3 2" xfId="41727"/>
    <cellStyle name="Note 2 2 7 2 4" xfId="41728"/>
    <cellStyle name="Note 2 2 7 2 5" xfId="41729"/>
    <cellStyle name="Note 2 2 7 2 6" xfId="41730"/>
    <cellStyle name="Note 2 2 7 3" xfId="41731"/>
    <cellStyle name="Note 2 2 7 3 2" xfId="41732"/>
    <cellStyle name="Note 2 2 7 4" xfId="41733"/>
    <cellStyle name="Note 2 2 7 4 2" xfId="41734"/>
    <cellStyle name="Note 2 2 7 5" xfId="41735"/>
    <cellStyle name="Note 2 2 7 6" xfId="41736"/>
    <cellStyle name="Note 2 2 7 7" xfId="41737"/>
    <cellStyle name="Note 2 2 8" xfId="41738"/>
    <cellStyle name="Note 2 2 8 2" xfId="41739"/>
    <cellStyle name="Note 2 2 9" xfId="41740"/>
    <cellStyle name="Note 2 2 9 2" xfId="41741"/>
    <cellStyle name="Note 2 3" xfId="41742"/>
    <cellStyle name="Note 2 3 10" xfId="41743"/>
    <cellStyle name="Note 2 3 11" xfId="41744"/>
    <cellStyle name="Note 2 3 12" xfId="41745"/>
    <cellStyle name="Note 2 3 2" xfId="41746"/>
    <cellStyle name="Note 2 3 2 10" xfId="41747"/>
    <cellStyle name="Note 2 3 2 2" xfId="41748"/>
    <cellStyle name="Note 2 3 2 2 2" xfId="41749"/>
    <cellStyle name="Note 2 3 2 2 2 2" xfId="41750"/>
    <cellStyle name="Note 2 3 2 2 2 2 2" xfId="41751"/>
    <cellStyle name="Note 2 3 2 2 2 2 2 2" xfId="41752"/>
    <cellStyle name="Note 2 3 2 2 2 2 2 2 2" xfId="41753"/>
    <cellStyle name="Note 2 3 2 2 2 2 2 3" xfId="41754"/>
    <cellStyle name="Note 2 3 2 2 2 2 2 3 2" xfId="41755"/>
    <cellStyle name="Note 2 3 2 2 2 2 2 4" xfId="41756"/>
    <cellStyle name="Note 2 3 2 2 2 2 2 5" xfId="41757"/>
    <cellStyle name="Note 2 3 2 2 2 2 2 6" xfId="41758"/>
    <cellStyle name="Note 2 3 2 2 2 2 3" xfId="41759"/>
    <cellStyle name="Note 2 3 2 2 2 2 3 2" xfId="41760"/>
    <cellStyle name="Note 2 3 2 2 2 2 4" xfId="41761"/>
    <cellStyle name="Note 2 3 2 2 2 2 4 2" xfId="41762"/>
    <cellStyle name="Note 2 3 2 2 2 2 5" xfId="41763"/>
    <cellStyle name="Note 2 3 2 2 2 2 6" xfId="41764"/>
    <cellStyle name="Note 2 3 2 2 2 2 7" xfId="41765"/>
    <cellStyle name="Note 2 3 2 2 2 3" xfId="41766"/>
    <cellStyle name="Note 2 3 2 2 2 3 2" xfId="41767"/>
    <cellStyle name="Note 2 3 2 2 2 3 2 2" xfId="41768"/>
    <cellStyle name="Note 2 3 2 2 2 3 3" xfId="41769"/>
    <cellStyle name="Note 2 3 2 2 2 3 3 2" xfId="41770"/>
    <cellStyle name="Note 2 3 2 2 2 3 4" xfId="41771"/>
    <cellStyle name="Note 2 3 2 2 2 3 5" xfId="41772"/>
    <cellStyle name="Note 2 3 2 2 2 3 6" xfId="41773"/>
    <cellStyle name="Note 2 3 2 2 2 4" xfId="41774"/>
    <cellStyle name="Note 2 3 2 2 2 4 2" xfId="41775"/>
    <cellStyle name="Note 2 3 2 2 2 5" xfId="41776"/>
    <cellStyle name="Note 2 3 2 2 2 5 2" xfId="41777"/>
    <cellStyle name="Note 2 3 2 2 2 6" xfId="41778"/>
    <cellStyle name="Note 2 3 2 2 2 7" xfId="41779"/>
    <cellStyle name="Note 2 3 2 2 2 8" xfId="41780"/>
    <cellStyle name="Note 2 3 2 2 3" xfId="41781"/>
    <cellStyle name="Note 2 3 2 2 3 2" xfId="41782"/>
    <cellStyle name="Note 2 3 2 2 3 2 2" xfId="41783"/>
    <cellStyle name="Note 2 3 2 2 3 2 2 2" xfId="41784"/>
    <cellStyle name="Note 2 3 2 2 3 2 3" xfId="41785"/>
    <cellStyle name="Note 2 3 2 2 3 2 3 2" xfId="41786"/>
    <cellStyle name="Note 2 3 2 2 3 2 4" xfId="41787"/>
    <cellStyle name="Note 2 3 2 2 3 2 5" xfId="41788"/>
    <cellStyle name="Note 2 3 2 2 3 2 6" xfId="41789"/>
    <cellStyle name="Note 2 3 2 2 3 3" xfId="41790"/>
    <cellStyle name="Note 2 3 2 2 3 3 2" xfId="41791"/>
    <cellStyle name="Note 2 3 2 2 3 4" xfId="41792"/>
    <cellStyle name="Note 2 3 2 2 3 4 2" xfId="41793"/>
    <cellStyle name="Note 2 3 2 2 3 5" xfId="41794"/>
    <cellStyle name="Note 2 3 2 2 3 6" xfId="41795"/>
    <cellStyle name="Note 2 3 2 2 3 7" xfId="41796"/>
    <cellStyle name="Note 2 3 2 2 4" xfId="41797"/>
    <cellStyle name="Note 2 3 2 2 4 2" xfId="41798"/>
    <cellStyle name="Note 2 3 2 2 4 2 2" xfId="41799"/>
    <cellStyle name="Note 2 3 2 2 4 3" xfId="41800"/>
    <cellStyle name="Note 2 3 2 2 4 3 2" xfId="41801"/>
    <cellStyle name="Note 2 3 2 2 4 4" xfId="41802"/>
    <cellStyle name="Note 2 3 2 2 4 5" xfId="41803"/>
    <cellStyle name="Note 2 3 2 2 4 6" xfId="41804"/>
    <cellStyle name="Note 2 3 2 2 5" xfId="41805"/>
    <cellStyle name="Note 2 3 2 2 5 2" xfId="41806"/>
    <cellStyle name="Note 2 3 2 2 6" xfId="41807"/>
    <cellStyle name="Note 2 3 2 2 6 2" xfId="41808"/>
    <cellStyle name="Note 2 3 2 2 7" xfId="41809"/>
    <cellStyle name="Note 2 3 2 2 8" xfId="41810"/>
    <cellStyle name="Note 2 3 2 2 9" xfId="41811"/>
    <cellStyle name="Note 2 3 2 3" xfId="41812"/>
    <cellStyle name="Note 2 3 2 3 2" xfId="41813"/>
    <cellStyle name="Note 2 3 2 3 2 2" xfId="41814"/>
    <cellStyle name="Note 2 3 2 3 2 2 2" xfId="41815"/>
    <cellStyle name="Note 2 3 2 3 2 2 2 2" xfId="41816"/>
    <cellStyle name="Note 2 3 2 3 2 2 3" xfId="41817"/>
    <cellStyle name="Note 2 3 2 3 2 2 3 2" xfId="41818"/>
    <cellStyle name="Note 2 3 2 3 2 2 4" xfId="41819"/>
    <cellStyle name="Note 2 3 2 3 2 2 5" xfId="41820"/>
    <cellStyle name="Note 2 3 2 3 2 2 6" xfId="41821"/>
    <cellStyle name="Note 2 3 2 3 2 3" xfId="41822"/>
    <cellStyle name="Note 2 3 2 3 2 3 2" xfId="41823"/>
    <cellStyle name="Note 2 3 2 3 2 4" xfId="41824"/>
    <cellStyle name="Note 2 3 2 3 2 4 2" xfId="41825"/>
    <cellStyle name="Note 2 3 2 3 2 5" xfId="41826"/>
    <cellStyle name="Note 2 3 2 3 2 6" xfId="41827"/>
    <cellStyle name="Note 2 3 2 3 2 7" xfId="41828"/>
    <cellStyle name="Note 2 3 2 3 3" xfId="41829"/>
    <cellStyle name="Note 2 3 2 3 3 2" xfId="41830"/>
    <cellStyle name="Note 2 3 2 3 3 2 2" xfId="41831"/>
    <cellStyle name="Note 2 3 2 3 3 3" xfId="41832"/>
    <cellStyle name="Note 2 3 2 3 3 3 2" xfId="41833"/>
    <cellStyle name="Note 2 3 2 3 3 4" xfId="41834"/>
    <cellStyle name="Note 2 3 2 3 3 5" xfId="41835"/>
    <cellStyle name="Note 2 3 2 3 3 6" xfId="41836"/>
    <cellStyle name="Note 2 3 2 3 4" xfId="41837"/>
    <cellStyle name="Note 2 3 2 3 4 2" xfId="41838"/>
    <cellStyle name="Note 2 3 2 3 5" xfId="41839"/>
    <cellStyle name="Note 2 3 2 3 5 2" xfId="41840"/>
    <cellStyle name="Note 2 3 2 3 6" xfId="41841"/>
    <cellStyle name="Note 2 3 2 3 7" xfId="41842"/>
    <cellStyle name="Note 2 3 2 3 8" xfId="41843"/>
    <cellStyle name="Note 2 3 2 4" xfId="41844"/>
    <cellStyle name="Note 2 3 2 4 2" xfId="41845"/>
    <cellStyle name="Note 2 3 2 4 2 2" xfId="41846"/>
    <cellStyle name="Note 2 3 2 4 2 2 2" xfId="41847"/>
    <cellStyle name="Note 2 3 2 4 2 3" xfId="41848"/>
    <cellStyle name="Note 2 3 2 4 2 3 2" xfId="41849"/>
    <cellStyle name="Note 2 3 2 4 2 4" xfId="41850"/>
    <cellStyle name="Note 2 3 2 4 2 5" xfId="41851"/>
    <cellStyle name="Note 2 3 2 4 2 6" xfId="41852"/>
    <cellStyle name="Note 2 3 2 4 3" xfId="41853"/>
    <cellStyle name="Note 2 3 2 4 3 2" xfId="41854"/>
    <cellStyle name="Note 2 3 2 4 4" xfId="41855"/>
    <cellStyle name="Note 2 3 2 4 4 2" xfId="41856"/>
    <cellStyle name="Note 2 3 2 4 5" xfId="41857"/>
    <cellStyle name="Note 2 3 2 4 6" xfId="41858"/>
    <cellStyle name="Note 2 3 2 4 7" xfId="41859"/>
    <cellStyle name="Note 2 3 2 5" xfId="41860"/>
    <cellStyle name="Note 2 3 2 5 2" xfId="41861"/>
    <cellStyle name="Note 2 3 2 5 2 2" xfId="41862"/>
    <cellStyle name="Note 2 3 2 5 3" xfId="41863"/>
    <cellStyle name="Note 2 3 2 5 3 2" xfId="41864"/>
    <cellStyle name="Note 2 3 2 5 4" xfId="41865"/>
    <cellStyle name="Note 2 3 2 5 5" xfId="41866"/>
    <cellStyle name="Note 2 3 2 5 6" xfId="41867"/>
    <cellStyle name="Note 2 3 2 6" xfId="41868"/>
    <cellStyle name="Note 2 3 2 6 2" xfId="41869"/>
    <cellStyle name="Note 2 3 2 7" xfId="41870"/>
    <cellStyle name="Note 2 3 2 7 2" xfId="41871"/>
    <cellStyle name="Note 2 3 2 8" xfId="41872"/>
    <cellStyle name="Note 2 3 2 9" xfId="41873"/>
    <cellStyle name="Note 2 3 3" xfId="41874"/>
    <cellStyle name="Note 2 3 3 10" xfId="41875"/>
    <cellStyle name="Note 2 3 3 2" xfId="41876"/>
    <cellStyle name="Note 2 3 3 2 2" xfId="41877"/>
    <cellStyle name="Note 2 3 3 2 2 2" xfId="41878"/>
    <cellStyle name="Note 2 3 3 2 2 2 2" xfId="41879"/>
    <cellStyle name="Note 2 3 3 2 2 2 2 2" xfId="41880"/>
    <cellStyle name="Note 2 3 3 2 2 2 2 2 2" xfId="41881"/>
    <cellStyle name="Note 2 3 3 2 2 2 2 3" xfId="41882"/>
    <cellStyle name="Note 2 3 3 2 2 2 2 3 2" xfId="41883"/>
    <cellStyle name="Note 2 3 3 2 2 2 2 4" xfId="41884"/>
    <cellStyle name="Note 2 3 3 2 2 2 2 5" xfId="41885"/>
    <cellStyle name="Note 2 3 3 2 2 2 2 6" xfId="41886"/>
    <cellStyle name="Note 2 3 3 2 2 2 3" xfId="41887"/>
    <cellStyle name="Note 2 3 3 2 2 2 3 2" xfId="41888"/>
    <cellStyle name="Note 2 3 3 2 2 2 4" xfId="41889"/>
    <cellStyle name="Note 2 3 3 2 2 2 4 2" xfId="41890"/>
    <cellStyle name="Note 2 3 3 2 2 2 5" xfId="41891"/>
    <cellStyle name="Note 2 3 3 2 2 2 6" xfId="41892"/>
    <cellStyle name="Note 2 3 3 2 2 2 7" xfId="41893"/>
    <cellStyle name="Note 2 3 3 2 2 3" xfId="41894"/>
    <cellStyle name="Note 2 3 3 2 2 3 2" xfId="41895"/>
    <cellStyle name="Note 2 3 3 2 2 3 2 2" xfId="41896"/>
    <cellStyle name="Note 2 3 3 2 2 3 3" xfId="41897"/>
    <cellStyle name="Note 2 3 3 2 2 3 3 2" xfId="41898"/>
    <cellStyle name="Note 2 3 3 2 2 3 4" xfId="41899"/>
    <cellStyle name="Note 2 3 3 2 2 3 5" xfId="41900"/>
    <cellStyle name="Note 2 3 3 2 2 3 6" xfId="41901"/>
    <cellStyle name="Note 2 3 3 2 2 4" xfId="41902"/>
    <cellStyle name="Note 2 3 3 2 2 4 2" xfId="41903"/>
    <cellStyle name="Note 2 3 3 2 2 5" xfId="41904"/>
    <cellStyle name="Note 2 3 3 2 2 5 2" xfId="41905"/>
    <cellStyle name="Note 2 3 3 2 2 6" xfId="41906"/>
    <cellStyle name="Note 2 3 3 2 2 7" xfId="41907"/>
    <cellStyle name="Note 2 3 3 2 2 8" xfId="41908"/>
    <cellStyle name="Note 2 3 3 2 3" xfId="41909"/>
    <cellStyle name="Note 2 3 3 2 3 2" xfId="41910"/>
    <cellStyle name="Note 2 3 3 2 3 2 2" xfId="41911"/>
    <cellStyle name="Note 2 3 3 2 3 2 2 2" xfId="41912"/>
    <cellStyle name="Note 2 3 3 2 3 2 3" xfId="41913"/>
    <cellStyle name="Note 2 3 3 2 3 2 3 2" xfId="41914"/>
    <cellStyle name="Note 2 3 3 2 3 2 4" xfId="41915"/>
    <cellStyle name="Note 2 3 3 2 3 2 5" xfId="41916"/>
    <cellStyle name="Note 2 3 3 2 3 2 6" xfId="41917"/>
    <cellStyle name="Note 2 3 3 2 3 3" xfId="41918"/>
    <cellStyle name="Note 2 3 3 2 3 3 2" xfId="41919"/>
    <cellStyle name="Note 2 3 3 2 3 4" xfId="41920"/>
    <cellStyle name="Note 2 3 3 2 3 4 2" xfId="41921"/>
    <cellStyle name="Note 2 3 3 2 3 5" xfId="41922"/>
    <cellStyle name="Note 2 3 3 2 3 6" xfId="41923"/>
    <cellStyle name="Note 2 3 3 2 3 7" xfId="41924"/>
    <cellStyle name="Note 2 3 3 2 4" xfId="41925"/>
    <cellStyle name="Note 2 3 3 2 4 2" xfId="41926"/>
    <cellStyle name="Note 2 3 3 2 4 2 2" xfId="41927"/>
    <cellStyle name="Note 2 3 3 2 4 3" xfId="41928"/>
    <cellStyle name="Note 2 3 3 2 4 3 2" xfId="41929"/>
    <cellStyle name="Note 2 3 3 2 4 4" xfId="41930"/>
    <cellStyle name="Note 2 3 3 2 4 5" xfId="41931"/>
    <cellStyle name="Note 2 3 3 2 4 6" xfId="41932"/>
    <cellStyle name="Note 2 3 3 2 5" xfId="41933"/>
    <cellStyle name="Note 2 3 3 2 5 2" xfId="41934"/>
    <cellStyle name="Note 2 3 3 2 6" xfId="41935"/>
    <cellStyle name="Note 2 3 3 2 6 2" xfId="41936"/>
    <cellStyle name="Note 2 3 3 2 7" xfId="41937"/>
    <cellStyle name="Note 2 3 3 2 8" xfId="41938"/>
    <cellStyle name="Note 2 3 3 2 9" xfId="41939"/>
    <cellStyle name="Note 2 3 3 3" xfId="41940"/>
    <cellStyle name="Note 2 3 3 3 2" xfId="41941"/>
    <cellStyle name="Note 2 3 3 3 2 2" xfId="41942"/>
    <cellStyle name="Note 2 3 3 3 2 2 2" xfId="41943"/>
    <cellStyle name="Note 2 3 3 3 2 2 2 2" xfId="41944"/>
    <cellStyle name="Note 2 3 3 3 2 2 3" xfId="41945"/>
    <cellStyle name="Note 2 3 3 3 2 2 3 2" xfId="41946"/>
    <cellStyle name="Note 2 3 3 3 2 2 4" xfId="41947"/>
    <cellStyle name="Note 2 3 3 3 2 2 5" xfId="41948"/>
    <cellStyle name="Note 2 3 3 3 2 2 6" xfId="41949"/>
    <cellStyle name="Note 2 3 3 3 2 3" xfId="41950"/>
    <cellStyle name="Note 2 3 3 3 2 3 2" xfId="41951"/>
    <cellStyle name="Note 2 3 3 3 2 4" xfId="41952"/>
    <cellStyle name="Note 2 3 3 3 2 4 2" xfId="41953"/>
    <cellStyle name="Note 2 3 3 3 2 5" xfId="41954"/>
    <cellStyle name="Note 2 3 3 3 2 6" xfId="41955"/>
    <cellStyle name="Note 2 3 3 3 2 7" xfId="41956"/>
    <cellStyle name="Note 2 3 3 3 3" xfId="41957"/>
    <cellStyle name="Note 2 3 3 3 3 2" xfId="41958"/>
    <cellStyle name="Note 2 3 3 3 3 2 2" xfId="41959"/>
    <cellStyle name="Note 2 3 3 3 3 3" xfId="41960"/>
    <cellStyle name="Note 2 3 3 3 3 3 2" xfId="41961"/>
    <cellStyle name="Note 2 3 3 3 3 4" xfId="41962"/>
    <cellStyle name="Note 2 3 3 3 3 5" xfId="41963"/>
    <cellStyle name="Note 2 3 3 3 3 6" xfId="41964"/>
    <cellStyle name="Note 2 3 3 3 4" xfId="41965"/>
    <cellStyle name="Note 2 3 3 3 4 2" xfId="41966"/>
    <cellStyle name="Note 2 3 3 3 5" xfId="41967"/>
    <cellStyle name="Note 2 3 3 3 5 2" xfId="41968"/>
    <cellStyle name="Note 2 3 3 3 6" xfId="41969"/>
    <cellStyle name="Note 2 3 3 3 7" xfId="41970"/>
    <cellStyle name="Note 2 3 3 3 8" xfId="41971"/>
    <cellStyle name="Note 2 3 3 4" xfId="41972"/>
    <cellStyle name="Note 2 3 3 4 2" xfId="41973"/>
    <cellStyle name="Note 2 3 3 4 2 2" xfId="41974"/>
    <cellStyle name="Note 2 3 3 4 2 2 2" xfId="41975"/>
    <cellStyle name="Note 2 3 3 4 2 3" xfId="41976"/>
    <cellStyle name="Note 2 3 3 4 2 3 2" xfId="41977"/>
    <cellStyle name="Note 2 3 3 4 2 4" xfId="41978"/>
    <cellStyle name="Note 2 3 3 4 2 5" xfId="41979"/>
    <cellStyle name="Note 2 3 3 4 2 6" xfId="41980"/>
    <cellStyle name="Note 2 3 3 4 3" xfId="41981"/>
    <cellStyle name="Note 2 3 3 4 3 2" xfId="41982"/>
    <cellStyle name="Note 2 3 3 4 4" xfId="41983"/>
    <cellStyle name="Note 2 3 3 4 4 2" xfId="41984"/>
    <cellStyle name="Note 2 3 3 4 5" xfId="41985"/>
    <cellStyle name="Note 2 3 3 4 6" xfId="41986"/>
    <cellStyle name="Note 2 3 3 4 7" xfId="41987"/>
    <cellStyle name="Note 2 3 3 5" xfId="41988"/>
    <cellStyle name="Note 2 3 3 5 2" xfId="41989"/>
    <cellStyle name="Note 2 3 3 5 2 2" xfId="41990"/>
    <cellStyle name="Note 2 3 3 5 3" xfId="41991"/>
    <cellStyle name="Note 2 3 3 5 3 2" xfId="41992"/>
    <cellStyle name="Note 2 3 3 5 4" xfId="41993"/>
    <cellStyle name="Note 2 3 3 5 5" xfId="41994"/>
    <cellStyle name="Note 2 3 3 5 6" xfId="41995"/>
    <cellStyle name="Note 2 3 3 6" xfId="41996"/>
    <cellStyle name="Note 2 3 3 6 2" xfId="41997"/>
    <cellStyle name="Note 2 3 3 7" xfId="41998"/>
    <cellStyle name="Note 2 3 3 7 2" xfId="41999"/>
    <cellStyle name="Note 2 3 3 8" xfId="42000"/>
    <cellStyle name="Note 2 3 3 9" xfId="42001"/>
    <cellStyle name="Note 2 3 4" xfId="42002"/>
    <cellStyle name="Note 2 3 4 2" xfId="42003"/>
    <cellStyle name="Note 2 3 4 2 2" xfId="42004"/>
    <cellStyle name="Note 2 3 4 2 2 2" xfId="42005"/>
    <cellStyle name="Note 2 3 4 2 2 2 2" xfId="42006"/>
    <cellStyle name="Note 2 3 4 2 2 2 2 2" xfId="42007"/>
    <cellStyle name="Note 2 3 4 2 2 2 3" xfId="42008"/>
    <cellStyle name="Note 2 3 4 2 2 2 3 2" xfId="42009"/>
    <cellStyle name="Note 2 3 4 2 2 2 4" xfId="42010"/>
    <cellStyle name="Note 2 3 4 2 2 2 5" xfId="42011"/>
    <cellStyle name="Note 2 3 4 2 2 2 6" xfId="42012"/>
    <cellStyle name="Note 2 3 4 2 2 3" xfId="42013"/>
    <cellStyle name="Note 2 3 4 2 2 3 2" xfId="42014"/>
    <cellStyle name="Note 2 3 4 2 2 4" xfId="42015"/>
    <cellStyle name="Note 2 3 4 2 2 4 2" xfId="42016"/>
    <cellStyle name="Note 2 3 4 2 2 5" xfId="42017"/>
    <cellStyle name="Note 2 3 4 2 2 6" xfId="42018"/>
    <cellStyle name="Note 2 3 4 2 2 7" xfId="42019"/>
    <cellStyle name="Note 2 3 4 2 3" xfId="42020"/>
    <cellStyle name="Note 2 3 4 2 3 2" xfId="42021"/>
    <cellStyle name="Note 2 3 4 2 3 2 2" xfId="42022"/>
    <cellStyle name="Note 2 3 4 2 3 3" xfId="42023"/>
    <cellStyle name="Note 2 3 4 2 3 3 2" xfId="42024"/>
    <cellStyle name="Note 2 3 4 2 3 4" xfId="42025"/>
    <cellStyle name="Note 2 3 4 2 3 5" xfId="42026"/>
    <cellStyle name="Note 2 3 4 2 3 6" xfId="42027"/>
    <cellStyle name="Note 2 3 4 2 4" xfId="42028"/>
    <cellStyle name="Note 2 3 4 2 4 2" xfId="42029"/>
    <cellStyle name="Note 2 3 4 2 5" xfId="42030"/>
    <cellStyle name="Note 2 3 4 2 5 2" xfId="42031"/>
    <cellStyle name="Note 2 3 4 2 6" xfId="42032"/>
    <cellStyle name="Note 2 3 4 2 7" xfId="42033"/>
    <cellStyle name="Note 2 3 4 2 8" xfId="42034"/>
    <cellStyle name="Note 2 3 4 3" xfId="42035"/>
    <cellStyle name="Note 2 3 4 3 2" xfId="42036"/>
    <cellStyle name="Note 2 3 4 3 2 2" xfId="42037"/>
    <cellStyle name="Note 2 3 4 3 2 2 2" xfId="42038"/>
    <cellStyle name="Note 2 3 4 3 2 3" xfId="42039"/>
    <cellStyle name="Note 2 3 4 3 2 3 2" xfId="42040"/>
    <cellStyle name="Note 2 3 4 3 2 4" xfId="42041"/>
    <cellStyle name="Note 2 3 4 3 2 5" xfId="42042"/>
    <cellStyle name="Note 2 3 4 3 2 6" xfId="42043"/>
    <cellStyle name="Note 2 3 4 3 3" xfId="42044"/>
    <cellStyle name="Note 2 3 4 3 3 2" xfId="42045"/>
    <cellStyle name="Note 2 3 4 3 4" xfId="42046"/>
    <cellStyle name="Note 2 3 4 3 4 2" xfId="42047"/>
    <cellStyle name="Note 2 3 4 3 5" xfId="42048"/>
    <cellStyle name="Note 2 3 4 3 6" xfId="42049"/>
    <cellStyle name="Note 2 3 4 3 7" xfId="42050"/>
    <cellStyle name="Note 2 3 4 4" xfId="42051"/>
    <cellStyle name="Note 2 3 4 4 2" xfId="42052"/>
    <cellStyle name="Note 2 3 4 4 2 2" xfId="42053"/>
    <cellStyle name="Note 2 3 4 4 3" xfId="42054"/>
    <cellStyle name="Note 2 3 4 4 3 2" xfId="42055"/>
    <cellStyle name="Note 2 3 4 4 4" xfId="42056"/>
    <cellStyle name="Note 2 3 4 4 5" xfId="42057"/>
    <cellStyle name="Note 2 3 4 4 6" xfId="42058"/>
    <cellStyle name="Note 2 3 4 5" xfId="42059"/>
    <cellStyle name="Note 2 3 4 5 2" xfId="42060"/>
    <cellStyle name="Note 2 3 4 6" xfId="42061"/>
    <cellStyle name="Note 2 3 4 6 2" xfId="42062"/>
    <cellStyle name="Note 2 3 4 7" xfId="42063"/>
    <cellStyle name="Note 2 3 4 8" xfId="42064"/>
    <cellStyle name="Note 2 3 4 9" xfId="42065"/>
    <cellStyle name="Note 2 3 5" xfId="42066"/>
    <cellStyle name="Note 2 3 5 2" xfId="42067"/>
    <cellStyle name="Note 2 3 5 2 2" xfId="42068"/>
    <cellStyle name="Note 2 3 5 2 2 2" xfId="42069"/>
    <cellStyle name="Note 2 3 5 2 2 2 2" xfId="42070"/>
    <cellStyle name="Note 2 3 5 2 2 3" xfId="42071"/>
    <cellStyle name="Note 2 3 5 2 2 3 2" xfId="42072"/>
    <cellStyle name="Note 2 3 5 2 2 4" xfId="42073"/>
    <cellStyle name="Note 2 3 5 2 2 5" xfId="42074"/>
    <cellStyle name="Note 2 3 5 2 2 6" xfId="42075"/>
    <cellStyle name="Note 2 3 5 2 3" xfId="42076"/>
    <cellStyle name="Note 2 3 5 2 3 2" xfId="42077"/>
    <cellStyle name="Note 2 3 5 2 4" xfId="42078"/>
    <cellStyle name="Note 2 3 5 2 4 2" xfId="42079"/>
    <cellStyle name="Note 2 3 5 2 5" xfId="42080"/>
    <cellStyle name="Note 2 3 5 2 6" xfId="42081"/>
    <cellStyle name="Note 2 3 5 2 7" xfId="42082"/>
    <cellStyle name="Note 2 3 5 3" xfId="42083"/>
    <cellStyle name="Note 2 3 5 3 2" xfId="42084"/>
    <cellStyle name="Note 2 3 5 3 2 2" xfId="42085"/>
    <cellStyle name="Note 2 3 5 3 3" xfId="42086"/>
    <cellStyle name="Note 2 3 5 3 3 2" xfId="42087"/>
    <cellStyle name="Note 2 3 5 3 4" xfId="42088"/>
    <cellStyle name="Note 2 3 5 3 5" xfId="42089"/>
    <cellStyle name="Note 2 3 5 3 6" xfId="42090"/>
    <cellStyle name="Note 2 3 5 4" xfId="42091"/>
    <cellStyle name="Note 2 3 5 4 2" xfId="42092"/>
    <cellStyle name="Note 2 3 5 5" xfId="42093"/>
    <cellStyle name="Note 2 3 5 5 2" xfId="42094"/>
    <cellStyle name="Note 2 3 5 6" xfId="42095"/>
    <cellStyle name="Note 2 3 5 7" xfId="42096"/>
    <cellStyle name="Note 2 3 5 8" xfId="42097"/>
    <cellStyle name="Note 2 3 6" xfId="42098"/>
    <cellStyle name="Note 2 3 6 2" xfId="42099"/>
    <cellStyle name="Note 2 3 6 2 2" xfId="42100"/>
    <cellStyle name="Note 2 3 6 2 2 2" xfId="42101"/>
    <cellStyle name="Note 2 3 6 2 3" xfId="42102"/>
    <cellStyle name="Note 2 3 6 2 3 2" xfId="42103"/>
    <cellStyle name="Note 2 3 6 2 4" xfId="42104"/>
    <cellStyle name="Note 2 3 6 2 5" xfId="42105"/>
    <cellStyle name="Note 2 3 6 2 6" xfId="42106"/>
    <cellStyle name="Note 2 3 6 3" xfId="42107"/>
    <cellStyle name="Note 2 3 6 3 2" xfId="42108"/>
    <cellStyle name="Note 2 3 6 4" xfId="42109"/>
    <cellStyle name="Note 2 3 6 4 2" xfId="42110"/>
    <cellStyle name="Note 2 3 6 5" xfId="42111"/>
    <cellStyle name="Note 2 3 6 6" xfId="42112"/>
    <cellStyle name="Note 2 3 6 7" xfId="42113"/>
    <cellStyle name="Note 2 3 7" xfId="42114"/>
    <cellStyle name="Note 2 3 7 2" xfId="42115"/>
    <cellStyle name="Note 2 3 7 2 2" xfId="42116"/>
    <cellStyle name="Note 2 3 7 3" xfId="42117"/>
    <cellStyle name="Note 2 3 7 3 2" xfId="42118"/>
    <cellStyle name="Note 2 3 7 4" xfId="42119"/>
    <cellStyle name="Note 2 3 7 5" xfId="42120"/>
    <cellStyle name="Note 2 3 7 6" xfId="42121"/>
    <cellStyle name="Note 2 3 8" xfId="42122"/>
    <cellStyle name="Note 2 3 8 2" xfId="42123"/>
    <cellStyle name="Note 2 3 9" xfId="42124"/>
    <cellStyle name="Note 2 3 9 2" xfId="42125"/>
    <cellStyle name="Note 2 4" xfId="42126"/>
    <cellStyle name="Note 2 4 10" xfId="42127"/>
    <cellStyle name="Note 2 4 11" xfId="42128"/>
    <cellStyle name="Note 2 4 2" xfId="42129"/>
    <cellStyle name="Note 2 4 2 10" xfId="42130"/>
    <cellStyle name="Note 2 4 2 2" xfId="42131"/>
    <cellStyle name="Note 2 4 2 2 2" xfId="42132"/>
    <cellStyle name="Note 2 4 2 2 2 2" xfId="42133"/>
    <cellStyle name="Note 2 4 2 2 2 2 2" xfId="42134"/>
    <cellStyle name="Note 2 4 2 2 2 2 2 2" xfId="42135"/>
    <cellStyle name="Note 2 4 2 2 2 2 2 2 2" xfId="42136"/>
    <cellStyle name="Note 2 4 2 2 2 2 2 3" xfId="42137"/>
    <cellStyle name="Note 2 4 2 2 2 2 2 3 2" xfId="42138"/>
    <cellStyle name="Note 2 4 2 2 2 2 2 4" xfId="42139"/>
    <cellStyle name="Note 2 4 2 2 2 2 2 5" xfId="42140"/>
    <cellStyle name="Note 2 4 2 2 2 2 2 6" xfId="42141"/>
    <cellStyle name="Note 2 4 2 2 2 2 3" xfId="42142"/>
    <cellStyle name="Note 2 4 2 2 2 2 3 2" xfId="42143"/>
    <cellStyle name="Note 2 4 2 2 2 2 4" xfId="42144"/>
    <cellStyle name="Note 2 4 2 2 2 2 4 2" xfId="42145"/>
    <cellStyle name="Note 2 4 2 2 2 2 5" xfId="42146"/>
    <cellStyle name="Note 2 4 2 2 2 2 6" xfId="42147"/>
    <cellStyle name="Note 2 4 2 2 2 2 7" xfId="42148"/>
    <cellStyle name="Note 2 4 2 2 2 3" xfId="42149"/>
    <cellStyle name="Note 2 4 2 2 2 3 2" xfId="42150"/>
    <cellStyle name="Note 2 4 2 2 2 3 2 2" xfId="42151"/>
    <cellStyle name="Note 2 4 2 2 2 3 3" xfId="42152"/>
    <cellStyle name="Note 2 4 2 2 2 3 3 2" xfId="42153"/>
    <cellStyle name="Note 2 4 2 2 2 3 4" xfId="42154"/>
    <cellStyle name="Note 2 4 2 2 2 3 5" xfId="42155"/>
    <cellStyle name="Note 2 4 2 2 2 3 6" xfId="42156"/>
    <cellStyle name="Note 2 4 2 2 2 4" xfId="42157"/>
    <cellStyle name="Note 2 4 2 2 2 4 2" xfId="42158"/>
    <cellStyle name="Note 2 4 2 2 2 5" xfId="42159"/>
    <cellStyle name="Note 2 4 2 2 2 5 2" xfId="42160"/>
    <cellStyle name="Note 2 4 2 2 2 6" xfId="42161"/>
    <cellStyle name="Note 2 4 2 2 2 7" xfId="42162"/>
    <cellStyle name="Note 2 4 2 2 2 8" xfId="42163"/>
    <cellStyle name="Note 2 4 2 2 3" xfId="42164"/>
    <cellStyle name="Note 2 4 2 2 3 2" xfId="42165"/>
    <cellStyle name="Note 2 4 2 2 3 2 2" xfId="42166"/>
    <cellStyle name="Note 2 4 2 2 3 2 2 2" xfId="42167"/>
    <cellStyle name="Note 2 4 2 2 3 2 3" xfId="42168"/>
    <cellStyle name="Note 2 4 2 2 3 2 3 2" xfId="42169"/>
    <cellStyle name="Note 2 4 2 2 3 2 4" xfId="42170"/>
    <cellStyle name="Note 2 4 2 2 3 2 5" xfId="42171"/>
    <cellStyle name="Note 2 4 2 2 3 2 6" xfId="42172"/>
    <cellStyle name="Note 2 4 2 2 3 3" xfId="42173"/>
    <cellStyle name="Note 2 4 2 2 3 3 2" xfId="42174"/>
    <cellStyle name="Note 2 4 2 2 3 4" xfId="42175"/>
    <cellStyle name="Note 2 4 2 2 3 4 2" xfId="42176"/>
    <cellStyle name="Note 2 4 2 2 3 5" xfId="42177"/>
    <cellStyle name="Note 2 4 2 2 3 6" xfId="42178"/>
    <cellStyle name="Note 2 4 2 2 3 7" xfId="42179"/>
    <cellStyle name="Note 2 4 2 2 4" xfId="42180"/>
    <cellStyle name="Note 2 4 2 2 4 2" xfId="42181"/>
    <cellStyle name="Note 2 4 2 2 4 2 2" xfId="42182"/>
    <cellStyle name="Note 2 4 2 2 4 3" xfId="42183"/>
    <cellStyle name="Note 2 4 2 2 4 3 2" xfId="42184"/>
    <cellStyle name="Note 2 4 2 2 4 4" xfId="42185"/>
    <cellStyle name="Note 2 4 2 2 4 5" xfId="42186"/>
    <cellStyle name="Note 2 4 2 2 4 6" xfId="42187"/>
    <cellStyle name="Note 2 4 2 2 5" xfId="42188"/>
    <cellStyle name="Note 2 4 2 2 5 2" xfId="42189"/>
    <cellStyle name="Note 2 4 2 2 6" xfId="42190"/>
    <cellStyle name="Note 2 4 2 2 6 2" xfId="42191"/>
    <cellStyle name="Note 2 4 2 2 7" xfId="42192"/>
    <cellStyle name="Note 2 4 2 2 8" xfId="42193"/>
    <cellStyle name="Note 2 4 2 2 9" xfId="42194"/>
    <cellStyle name="Note 2 4 2 3" xfId="42195"/>
    <cellStyle name="Note 2 4 2 3 2" xfId="42196"/>
    <cellStyle name="Note 2 4 2 3 2 2" xfId="42197"/>
    <cellStyle name="Note 2 4 2 3 2 2 2" xfId="42198"/>
    <cellStyle name="Note 2 4 2 3 2 2 2 2" xfId="42199"/>
    <cellStyle name="Note 2 4 2 3 2 2 3" xfId="42200"/>
    <cellStyle name="Note 2 4 2 3 2 2 3 2" xfId="42201"/>
    <cellStyle name="Note 2 4 2 3 2 2 4" xfId="42202"/>
    <cellStyle name="Note 2 4 2 3 2 2 5" xfId="42203"/>
    <cellStyle name="Note 2 4 2 3 2 2 6" xfId="42204"/>
    <cellStyle name="Note 2 4 2 3 2 3" xfId="42205"/>
    <cellStyle name="Note 2 4 2 3 2 3 2" xfId="42206"/>
    <cellStyle name="Note 2 4 2 3 2 4" xfId="42207"/>
    <cellStyle name="Note 2 4 2 3 2 4 2" xfId="42208"/>
    <cellStyle name="Note 2 4 2 3 2 5" xfId="42209"/>
    <cellStyle name="Note 2 4 2 3 2 6" xfId="42210"/>
    <cellStyle name="Note 2 4 2 3 2 7" xfId="42211"/>
    <cellStyle name="Note 2 4 2 3 3" xfId="42212"/>
    <cellStyle name="Note 2 4 2 3 3 2" xfId="42213"/>
    <cellStyle name="Note 2 4 2 3 3 2 2" xfId="42214"/>
    <cellStyle name="Note 2 4 2 3 3 3" xfId="42215"/>
    <cellStyle name="Note 2 4 2 3 3 3 2" xfId="42216"/>
    <cellStyle name="Note 2 4 2 3 3 4" xfId="42217"/>
    <cellStyle name="Note 2 4 2 3 3 5" xfId="42218"/>
    <cellStyle name="Note 2 4 2 3 3 6" xfId="42219"/>
    <cellStyle name="Note 2 4 2 3 4" xfId="42220"/>
    <cellStyle name="Note 2 4 2 3 4 2" xfId="42221"/>
    <cellStyle name="Note 2 4 2 3 5" xfId="42222"/>
    <cellStyle name="Note 2 4 2 3 5 2" xfId="42223"/>
    <cellStyle name="Note 2 4 2 3 6" xfId="42224"/>
    <cellStyle name="Note 2 4 2 3 7" xfId="42225"/>
    <cellStyle name="Note 2 4 2 3 8" xfId="42226"/>
    <cellStyle name="Note 2 4 2 4" xfId="42227"/>
    <cellStyle name="Note 2 4 2 4 2" xfId="42228"/>
    <cellStyle name="Note 2 4 2 4 2 2" xfId="42229"/>
    <cellStyle name="Note 2 4 2 4 2 2 2" xfId="42230"/>
    <cellStyle name="Note 2 4 2 4 2 3" xfId="42231"/>
    <cellStyle name="Note 2 4 2 4 2 3 2" xfId="42232"/>
    <cellStyle name="Note 2 4 2 4 2 4" xfId="42233"/>
    <cellStyle name="Note 2 4 2 4 2 5" xfId="42234"/>
    <cellStyle name="Note 2 4 2 4 2 6" xfId="42235"/>
    <cellStyle name="Note 2 4 2 4 3" xfId="42236"/>
    <cellStyle name="Note 2 4 2 4 3 2" xfId="42237"/>
    <cellStyle name="Note 2 4 2 4 4" xfId="42238"/>
    <cellStyle name="Note 2 4 2 4 4 2" xfId="42239"/>
    <cellStyle name="Note 2 4 2 4 5" xfId="42240"/>
    <cellStyle name="Note 2 4 2 4 6" xfId="42241"/>
    <cellStyle name="Note 2 4 2 4 7" xfId="42242"/>
    <cellStyle name="Note 2 4 2 5" xfId="42243"/>
    <cellStyle name="Note 2 4 2 5 2" xfId="42244"/>
    <cellStyle name="Note 2 4 2 5 2 2" xfId="42245"/>
    <cellStyle name="Note 2 4 2 5 3" xfId="42246"/>
    <cellStyle name="Note 2 4 2 5 3 2" xfId="42247"/>
    <cellStyle name="Note 2 4 2 5 4" xfId="42248"/>
    <cellStyle name="Note 2 4 2 5 5" xfId="42249"/>
    <cellStyle name="Note 2 4 2 5 6" xfId="42250"/>
    <cellStyle name="Note 2 4 2 6" xfId="42251"/>
    <cellStyle name="Note 2 4 2 6 2" xfId="42252"/>
    <cellStyle name="Note 2 4 2 7" xfId="42253"/>
    <cellStyle name="Note 2 4 2 7 2" xfId="42254"/>
    <cellStyle name="Note 2 4 2 8" xfId="42255"/>
    <cellStyle name="Note 2 4 2 9" xfId="42256"/>
    <cellStyle name="Note 2 4 3" xfId="42257"/>
    <cellStyle name="Note 2 4 3 2" xfId="42258"/>
    <cellStyle name="Note 2 4 3 2 2" xfId="42259"/>
    <cellStyle name="Note 2 4 3 2 2 2" xfId="42260"/>
    <cellStyle name="Note 2 4 3 2 2 2 2" xfId="42261"/>
    <cellStyle name="Note 2 4 3 2 2 2 2 2" xfId="42262"/>
    <cellStyle name="Note 2 4 3 2 2 2 3" xfId="42263"/>
    <cellStyle name="Note 2 4 3 2 2 2 3 2" xfId="42264"/>
    <cellStyle name="Note 2 4 3 2 2 2 4" xfId="42265"/>
    <cellStyle name="Note 2 4 3 2 2 2 5" xfId="42266"/>
    <cellStyle name="Note 2 4 3 2 2 2 6" xfId="42267"/>
    <cellStyle name="Note 2 4 3 2 2 3" xfId="42268"/>
    <cellStyle name="Note 2 4 3 2 2 3 2" xfId="42269"/>
    <cellStyle name="Note 2 4 3 2 2 4" xfId="42270"/>
    <cellStyle name="Note 2 4 3 2 2 4 2" xfId="42271"/>
    <cellStyle name="Note 2 4 3 2 2 5" xfId="42272"/>
    <cellStyle name="Note 2 4 3 2 2 6" xfId="42273"/>
    <cellStyle name="Note 2 4 3 2 2 7" xfId="42274"/>
    <cellStyle name="Note 2 4 3 2 3" xfId="42275"/>
    <cellStyle name="Note 2 4 3 2 3 2" xfId="42276"/>
    <cellStyle name="Note 2 4 3 2 3 2 2" xfId="42277"/>
    <cellStyle name="Note 2 4 3 2 3 3" xfId="42278"/>
    <cellStyle name="Note 2 4 3 2 3 3 2" xfId="42279"/>
    <cellStyle name="Note 2 4 3 2 3 4" xfId="42280"/>
    <cellStyle name="Note 2 4 3 2 3 5" xfId="42281"/>
    <cellStyle name="Note 2 4 3 2 3 6" xfId="42282"/>
    <cellStyle name="Note 2 4 3 2 4" xfId="42283"/>
    <cellStyle name="Note 2 4 3 2 4 2" xfId="42284"/>
    <cellStyle name="Note 2 4 3 2 5" xfId="42285"/>
    <cellStyle name="Note 2 4 3 2 5 2" xfId="42286"/>
    <cellStyle name="Note 2 4 3 2 6" xfId="42287"/>
    <cellStyle name="Note 2 4 3 2 7" xfId="42288"/>
    <cellStyle name="Note 2 4 3 2 8" xfId="42289"/>
    <cellStyle name="Note 2 4 3 3" xfId="42290"/>
    <cellStyle name="Note 2 4 3 3 2" xfId="42291"/>
    <cellStyle name="Note 2 4 3 3 2 2" xfId="42292"/>
    <cellStyle name="Note 2 4 3 3 2 2 2" xfId="42293"/>
    <cellStyle name="Note 2 4 3 3 2 3" xfId="42294"/>
    <cellStyle name="Note 2 4 3 3 2 3 2" xfId="42295"/>
    <cellStyle name="Note 2 4 3 3 2 4" xfId="42296"/>
    <cellStyle name="Note 2 4 3 3 2 5" xfId="42297"/>
    <cellStyle name="Note 2 4 3 3 2 6" xfId="42298"/>
    <cellStyle name="Note 2 4 3 3 3" xfId="42299"/>
    <cellStyle name="Note 2 4 3 3 3 2" xfId="42300"/>
    <cellStyle name="Note 2 4 3 3 4" xfId="42301"/>
    <cellStyle name="Note 2 4 3 3 4 2" xfId="42302"/>
    <cellStyle name="Note 2 4 3 3 5" xfId="42303"/>
    <cellStyle name="Note 2 4 3 3 6" xfId="42304"/>
    <cellStyle name="Note 2 4 3 3 7" xfId="42305"/>
    <cellStyle name="Note 2 4 3 4" xfId="42306"/>
    <cellStyle name="Note 2 4 3 4 2" xfId="42307"/>
    <cellStyle name="Note 2 4 3 4 2 2" xfId="42308"/>
    <cellStyle name="Note 2 4 3 4 3" xfId="42309"/>
    <cellStyle name="Note 2 4 3 4 3 2" xfId="42310"/>
    <cellStyle name="Note 2 4 3 4 4" xfId="42311"/>
    <cellStyle name="Note 2 4 3 4 5" xfId="42312"/>
    <cellStyle name="Note 2 4 3 4 6" xfId="42313"/>
    <cellStyle name="Note 2 4 3 5" xfId="42314"/>
    <cellStyle name="Note 2 4 3 5 2" xfId="42315"/>
    <cellStyle name="Note 2 4 3 6" xfId="42316"/>
    <cellStyle name="Note 2 4 3 6 2" xfId="42317"/>
    <cellStyle name="Note 2 4 3 7" xfId="42318"/>
    <cellStyle name="Note 2 4 3 8" xfId="42319"/>
    <cellStyle name="Note 2 4 3 9" xfId="42320"/>
    <cellStyle name="Note 2 4 4" xfId="42321"/>
    <cellStyle name="Note 2 4 4 2" xfId="42322"/>
    <cellStyle name="Note 2 4 4 2 2" xfId="42323"/>
    <cellStyle name="Note 2 4 4 2 2 2" xfId="42324"/>
    <cellStyle name="Note 2 4 4 2 2 2 2" xfId="42325"/>
    <cellStyle name="Note 2 4 4 2 2 3" xfId="42326"/>
    <cellStyle name="Note 2 4 4 2 2 3 2" xfId="42327"/>
    <cellStyle name="Note 2 4 4 2 2 4" xfId="42328"/>
    <cellStyle name="Note 2 4 4 2 2 5" xfId="42329"/>
    <cellStyle name="Note 2 4 4 2 2 6" xfId="42330"/>
    <cellStyle name="Note 2 4 4 2 3" xfId="42331"/>
    <cellStyle name="Note 2 4 4 2 3 2" xfId="42332"/>
    <cellStyle name="Note 2 4 4 2 4" xfId="42333"/>
    <cellStyle name="Note 2 4 4 2 4 2" xfId="42334"/>
    <cellStyle name="Note 2 4 4 2 5" xfId="42335"/>
    <cellStyle name="Note 2 4 4 2 6" xfId="42336"/>
    <cellStyle name="Note 2 4 4 2 7" xfId="42337"/>
    <cellStyle name="Note 2 4 4 3" xfId="42338"/>
    <cellStyle name="Note 2 4 4 3 2" xfId="42339"/>
    <cellStyle name="Note 2 4 4 3 2 2" xfId="42340"/>
    <cellStyle name="Note 2 4 4 3 3" xfId="42341"/>
    <cellStyle name="Note 2 4 4 3 3 2" xfId="42342"/>
    <cellStyle name="Note 2 4 4 3 4" xfId="42343"/>
    <cellStyle name="Note 2 4 4 3 5" xfId="42344"/>
    <cellStyle name="Note 2 4 4 3 6" xfId="42345"/>
    <cellStyle name="Note 2 4 4 4" xfId="42346"/>
    <cellStyle name="Note 2 4 4 4 2" xfId="42347"/>
    <cellStyle name="Note 2 4 4 5" xfId="42348"/>
    <cellStyle name="Note 2 4 4 5 2" xfId="42349"/>
    <cellStyle name="Note 2 4 4 6" xfId="42350"/>
    <cellStyle name="Note 2 4 4 7" xfId="42351"/>
    <cellStyle name="Note 2 4 4 8" xfId="42352"/>
    <cellStyle name="Note 2 4 5" xfId="42353"/>
    <cellStyle name="Note 2 4 5 2" xfId="42354"/>
    <cellStyle name="Note 2 4 5 2 2" xfId="42355"/>
    <cellStyle name="Note 2 4 5 2 2 2" xfId="42356"/>
    <cellStyle name="Note 2 4 5 2 3" xfId="42357"/>
    <cellStyle name="Note 2 4 5 2 3 2" xfId="42358"/>
    <cellStyle name="Note 2 4 5 2 4" xfId="42359"/>
    <cellStyle name="Note 2 4 5 2 5" xfId="42360"/>
    <cellStyle name="Note 2 4 5 2 6" xfId="42361"/>
    <cellStyle name="Note 2 4 5 3" xfId="42362"/>
    <cellStyle name="Note 2 4 5 3 2" xfId="42363"/>
    <cellStyle name="Note 2 4 5 4" xfId="42364"/>
    <cellStyle name="Note 2 4 5 4 2" xfId="42365"/>
    <cellStyle name="Note 2 4 5 5" xfId="42366"/>
    <cellStyle name="Note 2 4 5 6" xfId="42367"/>
    <cellStyle name="Note 2 4 5 7" xfId="42368"/>
    <cellStyle name="Note 2 4 6" xfId="42369"/>
    <cellStyle name="Note 2 4 6 2" xfId="42370"/>
    <cellStyle name="Note 2 4 6 2 2" xfId="42371"/>
    <cellStyle name="Note 2 4 6 3" xfId="42372"/>
    <cellStyle name="Note 2 4 6 3 2" xfId="42373"/>
    <cellStyle name="Note 2 4 6 4" xfId="42374"/>
    <cellStyle name="Note 2 4 6 5" xfId="42375"/>
    <cellStyle name="Note 2 4 6 6" xfId="42376"/>
    <cellStyle name="Note 2 4 7" xfId="42377"/>
    <cellStyle name="Note 2 4 7 2" xfId="42378"/>
    <cellStyle name="Note 2 4 8" xfId="42379"/>
    <cellStyle name="Note 2 4 8 2" xfId="42380"/>
    <cellStyle name="Note 2 4 9" xfId="42381"/>
    <cellStyle name="Note 2 5" xfId="42382"/>
    <cellStyle name="Note 2 5 10" xfId="42383"/>
    <cellStyle name="Note 2 5 2" xfId="42384"/>
    <cellStyle name="Note 2 5 2 2" xfId="42385"/>
    <cellStyle name="Note 2 5 2 2 2" xfId="42386"/>
    <cellStyle name="Note 2 5 2 2 2 2" xfId="42387"/>
    <cellStyle name="Note 2 5 2 2 2 2 2" xfId="42388"/>
    <cellStyle name="Note 2 5 2 2 2 2 2 2" xfId="42389"/>
    <cellStyle name="Note 2 5 2 2 2 2 3" xfId="42390"/>
    <cellStyle name="Note 2 5 2 2 2 2 3 2" xfId="42391"/>
    <cellStyle name="Note 2 5 2 2 2 2 4" xfId="42392"/>
    <cellStyle name="Note 2 5 2 2 2 2 5" xfId="42393"/>
    <cellStyle name="Note 2 5 2 2 2 2 6" xfId="42394"/>
    <cellStyle name="Note 2 5 2 2 2 3" xfId="42395"/>
    <cellStyle name="Note 2 5 2 2 2 3 2" xfId="42396"/>
    <cellStyle name="Note 2 5 2 2 2 4" xfId="42397"/>
    <cellStyle name="Note 2 5 2 2 2 4 2" xfId="42398"/>
    <cellStyle name="Note 2 5 2 2 2 5" xfId="42399"/>
    <cellStyle name="Note 2 5 2 2 2 6" xfId="42400"/>
    <cellStyle name="Note 2 5 2 2 2 7" xfId="42401"/>
    <cellStyle name="Note 2 5 2 2 3" xfId="42402"/>
    <cellStyle name="Note 2 5 2 2 3 2" xfId="42403"/>
    <cellStyle name="Note 2 5 2 2 3 2 2" xfId="42404"/>
    <cellStyle name="Note 2 5 2 2 3 3" xfId="42405"/>
    <cellStyle name="Note 2 5 2 2 3 3 2" xfId="42406"/>
    <cellStyle name="Note 2 5 2 2 3 4" xfId="42407"/>
    <cellStyle name="Note 2 5 2 2 3 5" xfId="42408"/>
    <cellStyle name="Note 2 5 2 2 3 6" xfId="42409"/>
    <cellStyle name="Note 2 5 2 2 4" xfId="42410"/>
    <cellStyle name="Note 2 5 2 2 4 2" xfId="42411"/>
    <cellStyle name="Note 2 5 2 2 5" xfId="42412"/>
    <cellStyle name="Note 2 5 2 2 5 2" xfId="42413"/>
    <cellStyle name="Note 2 5 2 2 6" xfId="42414"/>
    <cellStyle name="Note 2 5 2 2 7" xfId="42415"/>
    <cellStyle name="Note 2 5 2 2 8" xfId="42416"/>
    <cellStyle name="Note 2 5 2 3" xfId="42417"/>
    <cellStyle name="Note 2 5 2 3 2" xfId="42418"/>
    <cellStyle name="Note 2 5 2 3 2 2" xfId="42419"/>
    <cellStyle name="Note 2 5 2 3 2 2 2" xfId="42420"/>
    <cellStyle name="Note 2 5 2 3 2 3" xfId="42421"/>
    <cellStyle name="Note 2 5 2 3 2 3 2" xfId="42422"/>
    <cellStyle name="Note 2 5 2 3 2 4" xfId="42423"/>
    <cellStyle name="Note 2 5 2 3 2 5" xfId="42424"/>
    <cellStyle name="Note 2 5 2 3 2 6" xfId="42425"/>
    <cellStyle name="Note 2 5 2 3 3" xfId="42426"/>
    <cellStyle name="Note 2 5 2 3 3 2" xfId="42427"/>
    <cellStyle name="Note 2 5 2 3 4" xfId="42428"/>
    <cellStyle name="Note 2 5 2 3 4 2" xfId="42429"/>
    <cellStyle name="Note 2 5 2 3 5" xfId="42430"/>
    <cellStyle name="Note 2 5 2 3 6" xfId="42431"/>
    <cellStyle name="Note 2 5 2 3 7" xfId="42432"/>
    <cellStyle name="Note 2 5 2 4" xfId="42433"/>
    <cellStyle name="Note 2 5 2 4 2" xfId="42434"/>
    <cellStyle name="Note 2 5 2 4 2 2" xfId="42435"/>
    <cellStyle name="Note 2 5 2 4 3" xfId="42436"/>
    <cellStyle name="Note 2 5 2 4 3 2" xfId="42437"/>
    <cellStyle name="Note 2 5 2 4 4" xfId="42438"/>
    <cellStyle name="Note 2 5 2 4 5" xfId="42439"/>
    <cellStyle name="Note 2 5 2 4 6" xfId="42440"/>
    <cellStyle name="Note 2 5 2 5" xfId="42441"/>
    <cellStyle name="Note 2 5 2 5 2" xfId="42442"/>
    <cellStyle name="Note 2 5 2 6" xfId="42443"/>
    <cellStyle name="Note 2 5 2 6 2" xfId="42444"/>
    <cellStyle name="Note 2 5 2 7" xfId="42445"/>
    <cellStyle name="Note 2 5 2 8" xfId="42446"/>
    <cellStyle name="Note 2 5 2 9" xfId="42447"/>
    <cellStyle name="Note 2 5 3" xfId="42448"/>
    <cellStyle name="Note 2 5 3 2" xfId="42449"/>
    <cellStyle name="Note 2 5 3 2 2" xfId="42450"/>
    <cellStyle name="Note 2 5 3 2 2 2" xfId="42451"/>
    <cellStyle name="Note 2 5 3 2 2 2 2" xfId="42452"/>
    <cellStyle name="Note 2 5 3 2 2 3" xfId="42453"/>
    <cellStyle name="Note 2 5 3 2 2 3 2" xfId="42454"/>
    <cellStyle name="Note 2 5 3 2 2 4" xfId="42455"/>
    <cellStyle name="Note 2 5 3 2 2 5" xfId="42456"/>
    <cellStyle name="Note 2 5 3 2 2 6" xfId="42457"/>
    <cellStyle name="Note 2 5 3 2 3" xfId="42458"/>
    <cellStyle name="Note 2 5 3 2 3 2" xfId="42459"/>
    <cellStyle name="Note 2 5 3 2 4" xfId="42460"/>
    <cellStyle name="Note 2 5 3 2 4 2" xfId="42461"/>
    <cellStyle name="Note 2 5 3 2 5" xfId="42462"/>
    <cellStyle name="Note 2 5 3 2 6" xfId="42463"/>
    <cellStyle name="Note 2 5 3 2 7" xfId="42464"/>
    <cellStyle name="Note 2 5 3 3" xfId="42465"/>
    <cellStyle name="Note 2 5 3 3 2" xfId="42466"/>
    <cellStyle name="Note 2 5 3 3 2 2" xfId="42467"/>
    <cellStyle name="Note 2 5 3 3 3" xfId="42468"/>
    <cellStyle name="Note 2 5 3 3 3 2" xfId="42469"/>
    <cellStyle name="Note 2 5 3 3 4" xfId="42470"/>
    <cellStyle name="Note 2 5 3 3 5" xfId="42471"/>
    <cellStyle name="Note 2 5 3 3 6" xfId="42472"/>
    <cellStyle name="Note 2 5 3 4" xfId="42473"/>
    <cellStyle name="Note 2 5 3 4 2" xfId="42474"/>
    <cellStyle name="Note 2 5 3 5" xfId="42475"/>
    <cellStyle name="Note 2 5 3 5 2" xfId="42476"/>
    <cellStyle name="Note 2 5 3 6" xfId="42477"/>
    <cellStyle name="Note 2 5 3 7" xfId="42478"/>
    <cellStyle name="Note 2 5 3 8" xfId="42479"/>
    <cellStyle name="Note 2 5 4" xfId="42480"/>
    <cellStyle name="Note 2 5 4 2" xfId="42481"/>
    <cellStyle name="Note 2 5 4 2 2" xfId="42482"/>
    <cellStyle name="Note 2 5 4 2 2 2" xfId="42483"/>
    <cellStyle name="Note 2 5 4 2 3" xfId="42484"/>
    <cellStyle name="Note 2 5 4 2 3 2" xfId="42485"/>
    <cellStyle name="Note 2 5 4 2 4" xfId="42486"/>
    <cellStyle name="Note 2 5 4 2 5" xfId="42487"/>
    <cellStyle name="Note 2 5 4 2 6" xfId="42488"/>
    <cellStyle name="Note 2 5 4 3" xfId="42489"/>
    <cellStyle name="Note 2 5 4 3 2" xfId="42490"/>
    <cellStyle name="Note 2 5 4 4" xfId="42491"/>
    <cellStyle name="Note 2 5 4 4 2" xfId="42492"/>
    <cellStyle name="Note 2 5 4 5" xfId="42493"/>
    <cellStyle name="Note 2 5 4 6" xfId="42494"/>
    <cellStyle name="Note 2 5 4 7" xfId="42495"/>
    <cellStyle name="Note 2 5 5" xfId="42496"/>
    <cellStyle name="Note 2 5 5 2" xfId="42497"/>
    <cellStyle name="Note 2 5 5 2 2" xfId="42498"/>
    <cellStyle name="Note 2 5 5 3" xfId="42499"/>
    <cellStyle name="Note 2 5 5 3 2" xfId="42500"/>
    <cellStyle name="Note 2 5 5 4" xfId="42501"/>
    <cellStyle name="Note 2 5 5 5" xfId="42502"/>
    <cellStyle name="Note 2 5 5 6" xfId="42503"/>
    <cellStyle name="Note 2 5 6" xfId="42504"/>
    <cellStyle name="Note 2 5 6 2" xfId="42505"/>
    <cellStyle name="Note 2 5 7" xfId="42506"/>
    <cellStyle name="Note 2 5 7 2" xfId="42507"/>
    <cellStyle name="Note 2 5 8" xfId="42508"/>
    <cellStyle name="Note 2 5 9" xfId="42509"/>
    <cellStyle name="Note 2 6" xfId="42510"/>
    <cellStyle name="Note 2 6 2" xfId="42511"/>
    <cellStyle name="Note 2 6 2 2" xfId="42512"/>
    <cellStyle name="Note 2 6 2 2 2" xfId="42513"/>
    <cellStyle name="Note 2 6 2 3" xfId="42514"/>
    <cellStyle name="Note 2 6 2 3 2" xfId="42515"/>
    <cellStyle name="Note 2 6 2 4" xfId="42516"/>
    <cellStyle name="Note 2 6 2 5" xfId="42517"/>
    <cellStyle name="Note 2 6 2 6" xfId="42518"/>
    <cellStyle name="Note 2 6 3" xfId="42519"/>
    <cellStyle name="Note 2 6 3 2" xfId="42520"/>
    <cellStyle name="Note 2 6 4" xfId="42521"/>
    <cellStyle name="Note 2 6 4 2" xfId="42522"/>
    <cellStyle name="Note 2 6 5" xfId="42523"/>
    <cellStyle name="Note 2 6 6" xfId="42524"/>
    <cellStyle name="Note 2 6 7" xfId="42525"/>
    <cellStyle name="Note 2 7" xfId="42526"/>
    <cellStyle name="Note 2 7 2" xfId="42527"/>
    <cellStyle name="Note 2 8" xfId="42528"/>
    <cellStyle name="Note 2 8 2" xfId="42529"/>
    <cellStyle name="Note 2 9" xfId="42530"/>
    <cellStyle name="Note 3" xfId="42531"/>
    <cellStyle name="Note 3 10" xfId="42532"/>
    <cellStyle name="Note 3 11" xfId="42533"/>
    <cellStyle name="Note 3 12" xfId="42534"/>
    <cellStyle name="Note 3 2" xfId="42535"/>
    <cellStyle name="Note 3 2 10" xfId="42536"/>
    <cellStyle name="Note 3 2 2" xfId="42537"/>
    <cellStyle name="Note 3 2 2 2" xfId="42538"/>
    <cellStyle name="Note 3 2 2 2 2" xfId="42539"/>
    <cellStyle name="Note 3 2 2 2 2 2" xfId="42540"/>
    <cellStyle name="Note 3 2 2 2 2 2 2" xfId="42541"/>
    <cellStyle name="Note 3 2 2 2 2 2 2 2" xfId="42542"/>
    <cellStyle name="Note 3 2 2 2 2 2 3" xfId="42543"/>
    <cellStyle name="Note 3 2 2 2 2 2 3 2" xfId="42544"/>
    <cellStyle name="Note 3 2 2 2 2 2 4" xfId="42545"/>
    <cellStyle name="Note 3 2 2 2 2 2 5" xfId="42546"/>
    <cellStyle name="Note 3 2 2 2 2 2 6" xfId="42547"/>
    <cellStyle name="Note 3 2 2 2 2 3" xfId="42548"/>
    <cellStyle name="Note 3 2 2 2 2 3 2" xfId="42549"/>
    <cellStyle name="Note 3 2 2 2 2 4" xfId="42550"/>
    <cellStyle name="Note 3 2 2 2 2 4 2" xfId="42551"/>
    <cellStyle name="Note 3 2 2 2 2 5" xfId="42552"/>
    <cellStyle name="Note 3 2 2 2 2 6" xfId="42553"/>
    <cellStyle name="Note 3 2 2 2 2 7" xfId="42554"/>
    <cellStyle name="Note 3 2 2 2 3" xfId="42555"/>
    <cellStyle name="Note 3 2 2 2 3 2" xfId="42556"/>
    <cellStyle name="Note 3 2 2 2 3 2 2" xfId="42557"/>
    <cellStyle name="Note 3 2 2 2 3 3" xfId="42558"/>
    <cellStyle name="Note 3 2 2 2 3 3 2" xfId="42559"/>
    <cellStyle name="Note 3 2 2 2 3 4" xfId="42560"/>
    <cellStyle name="Note 3 2 2 2 3 5" xfId="42561"/>
    <cellStyle name="Note 3 2 2 2 3 6" xfId="42562"/>
    <cellStyle name="Note 3 2 2 2 4" xfId="42563"/>
    <cellStyle name="Note 3 2 2 2 4 2" xfId="42564"/>
    <cellStyle name="Note 3 2 2 2 5" xfId="42565"/>
    <cellStyle name="Note 3 2 2 2 5 2" xfId="42566"/>
    <cellStyle name="Note 3 2 2 2 6" xfId="42567"/>
    <cellStyle name="Note 3 2 2 2 7" xfId="42568"/>
    <cellStyle name="Note 3 2 2 2 8" xfId="42569"/>
    <cellStyle name="Note 3 2 2 3" xfId="42570"/>
    <cellStyle name="Note 3 2 2 3 2" xfId="42571"/>
    <cellStyle name="Note 3 2 2 3 2 2" xfId="42572"/>
    <cellStyle name="Note 3 2 2 3 2 2 2" xfId="42573"/>
    <cellStyle name="Note 3 2 2 3 2 3" xfId="42574"/>
    <cellStyle name="Note 3 2 2 3 2 3 2" xfId="42575"/>
    <cellStyle name="Note 3 2 2 3 2 4" xfId="42576"/>
    <cellStyle name="Note 3 2 2 3 2 5" xfId="42577"/>
    <cellStyle name="Note 3 2 2 3 2 6" xfId="42578"/>
    <cellStyle name="Note 3 2 2 3 3" xfId="42579"/>
    <cellStyle name="Note 3 2 2 3 3 2" xfId="42580"/>
    <cellStyle name="Note 3 2 2 3 4" xfId="42581"/>
    <cellStyle name="Note 3 2 2 3 4 2" xfId="42582"/>
    <cellStyle name="Note 3 2 2 3 5" xfId="42583"/>
    <cellStyle name="Note 3 2 2 3 6" xfId="42584"/>
    <cellStyle name="Note 3 2 2 3 7" xfId="42585"/>
    <cellStyle name="Note 3 2 2 4" xfId="42586"/>
    <cellStyle name="Note 3 2 2 4 2" xfId="42587"/>
    <cellStyle name="Note 3 2 2 4 2 2" xfId="42588"/>
    <cellStyle name="Note 3 2 2 4 3" xfId="42589"/>
    <cellStyle name="Note 3 2 2 4 3 2" xfId="42590"/>
    <cellStyle name="Note 3 2 2 4 4" xfId="42591"/>
    <cellStyle name="Note 3 2 2 4 5" xfId="42592"/>
    <cellStyle name="Note 3 2 2 4 6" xfId="42593"/>
    <cellStyle name="Note 3 2 2 5" xfId="42594"/>
    <cellStyle name="Note 3 2 2 5 2" xfId="42595"/>
    <cellStyle name="Note 3 2 2 6" xfId="42596"/>
    <cellStyle name="Note 3 2 2 6 2" xfId="42597"/>
    <cellStyle name="Note 3 2 2 7" xfId="42598"/>
    <cellStyle name="Note 3 2 2 8" xfId="42599"/>
    <cellStyle name="Note 3 2 2 9" xfId="42600"/>
    <cellStyle name="Note 3 2 3" xfId="42601"/>
    <cellStyle name="Note 3 2 3 2" xfId="42602"/>
    <cellStyle name="Note 3 2 3 2 2" xfId="42603"/>
    <cellStyle name="Note 3 2 3 2 2 2" xfId="42604"/>
    <cellStyle name="Note 3 2 3 2 2 2 2" xfId="42605"/>
    <cellStyle name="Note 3 2 3 2 2 3" xfId="42606"/>
    <cellStyle name="Note 3 2 3 2 2 3 2" xfId="42607"/>
    <cellStyle name="Note 3 2 3 2 2 4" xfId="42608"/>
    <cellStyle name="Note 3 2 3 2 2 5" xfId="42609"/>
    <cellStyle name="Note 3 2 3 2 2 6" xfId="42610"/>
    <cellStyle name="Note 3 2 3 2 3" xfId="42611"/>
    <cellStyle name="Note 3 2 3 2 3 2" xfId="42612"/>
    <cellStyle name="Note 3 2 3 2 4" xfId="42613"/>
    <cellStyle name="Note 3 2 3 2 4 2" xfId="42614"/>
    <cellStyle name="Note 3 2 3 2 5" xfId="42615"/>
    <cellStyle name="Note 3 2 3 2 6" xfId="42616"/>
    <cellStyle name="Note 3 2 3 2 7" xfId="42617"/>
    <cellStyle name="Note 3 2 3 3" xfId="42618"/>
    <cellStyle name="Note 3 2 3 3 2" xfId="42619"/>
    <cellStyle name="Note 3 2 3 3 2 2" xfId="42620"/>
    <cellStyle name="Note 3 2 3 3 3" xfId="42621"/>
    <cellStyle name="Note 3 2 3 3 3 2" xfId="42622"/>
    <cellStyle name="Note 3 2 3 3 4" xfId="42623"/>
    <cellStyle name="Note 3 2 3 3 5" xfId="42624"/>
    <cellStyle name="Note 3 2 3 3 6" xfId="42625"/>
    <cellStyle name="Note 3 2 3 4" xfId="42626"/>
    <cellStyle name="Note 3 2 3 4 2" xfId="42627"/>
    <cellStyle name="Note 3 2 3 5" xfId="42628"/>
    <cellStyle name="Note 3 2 3 5 2" xfId="42629"/>
    <cellStyle name="Note 3 2 3 6" xfId="42630"/>
    <cellStyle name="Note 3 2 3 7" xfId="42631"/>
    <cellStyle name="Note 3 2 3 8" xfId="42632"/>
    <cellStyle name="Note 3 2 4" xfId="42633"/>
    <cellStyle name="Note 3 2 4 2" xfId="42634"/>
    <cellStyle name="Note 3 2 4 2 2" xfId="42635"/>
    <cellStyle name="Note 3 2 4 2 2 2" xfId="42636"/>
    <cellStyle name="Note 3 2 4 2 3" xfId="42637"/>
    <cellStyle name="Note 3 2 4 2 3 2" xfId="42638"/>
    <cellStyle name="Note 3 2 4 2 4" xfId="42639"/>
    <cellStyle name="Note 3 2 4 2 5" xfId="42640"/>
    <cellStyle name="Note 3 2 4 2 6" xfId="42641"/>
    <cellStyle name="Note 3 2 4 3" xfId="42642"/>
    <cellStyle name="Note 3 2 4 3 2" xfId="42643"/>
    <cellStyle name="Note 3 2 4 4" xfId="42644"/>
    <cellStyle name="Note 3 2 4 4 2" xfId="42645"/>
    <cellStyle name="Note 3 2 4 5" xfId="42646"/>
    <cellStyle name="Note 3 2 4 6" xfId="42647"/>
    <cellStyle name="Note 3 2 4 7" xfId="42648"/>
    <cellStyle name="Note 3 2 5" xfId="42649"/>
    <cellStyle name="Note 3 2 5 2" xfId="42650"/>
    <cellStyle name="Note 3 2 5 2 2" xfId="42651"/>
    <cellStyle name="Note 3 2 5 3" xfId="42652"/>
    <cellStyle name="Note 3 2 5 3 2" xfId="42653"/>
    <cellStyle name="Note 3 2 5 4" xfId="42654"/>
    <cellStyle name="Note 3 2 5 5" xfId="42655"/>
    <cellStyle name="Note 3 2 5 6" xfId="42656"/>
    <cellStyle name="Note 3 2 6" xfId="42657"/>
    <cellStyle name="Note 3 2 6 2" xfId="42658"/>
    <cellStyle name="Note 3 2 7" xfId="42659"/>
    <cellStyle name="Note 3 2 7 2" xfId="42660"/>
    <cellStyle name="Note 3 2 8" xfId="42661"/>
    <cellStyle name="Note 3 2 9" xfId="42662"/>
    <cellStyle name="Note 3 3" xfId="42663"/>
    <cellStyle name="Note 3 3 10" xfId="42664"/>
    <cellStyle name="Note 3 3 2" xfId="42665"/>
    <cellStyle name="Note 3 3 2 2" xfId="42666"/>
    <cellStyle name="Note 3 3 2 2 2" xfId="42667"/>
    <cellStyle name="Note 3 3 2 2 2 2" xfId="42668"/>
    <cellStyle name="Note 3 3 2 2 2 2 2" xfId="42669"/>
    <cellStyle name="Note 3 3 2 2 2 2 2 2" xfId="42670"/>
    <cellStyle name="Note 3 3 2 2 2 2 3" xfId="42671"/>
    <cellStyle name="Note 3 3 2 2 2 2 3 2" xfId="42672"/>
    <cellStyle name="Note 3 3 2 2 2 2 4" xfId="42673"/>
    <cellStyle name="Note 3 3 2 2 2 2 5" xfId="42674"/>
    <cellStyle name="Note 3 3 2 2 2 2 6" xfId="42675"/>
    <cellStyle name="Note 3 3 2 2 2 3" xfId="42676"/>
    <cellStyle name="Note 3 3 2 2 2 3 2" xfId="42677"/>
    <cellStyle name="Note 3 3 2 2 2 4" xfId="42678"/>
    <cellStyle name="Note 3 3 2 2 2 4 2" xfId="42679"/>
    <cellStyle name="Note 3 3 2 2 2 5" xfId="42680"/>
    <cellStyle name="Note 3 3 2 2 2 6" xfId="42681"/>
    <cellStyle name="Note 3 3 2 2 2 7" xfId="42682"/>
    <cellStyle name="Note 3 3 2 2 3" xfId="42683"/>
    <cellStyle name="Note 3 3 2 2 3 2" xfId="42684"/>
    <cellStyle name="Note 3 3 2 2 3 2 2" xfId="42685"/>
    <cellStyle name="Note 3 3 2 2 3 3" xfId="42686"/>
    <cellStyle name="Note 3 3 2 2 3 3 2" xfId="42687"/>
    <cellStyle name="Note 3 3 2 2 3 4" xfId="42688"/>
    <cellStyle name="Note 3 3 2 2 3 5" xfId="42689"/>
    <cellStyle name="Note 3 3 2 2 3 6" xfId="42690"/>
    <cellStyle name="Note 3 3 2 2 4" xfId="42691"/>
    <cellStyle name="Note 3 3 2 2 4 2" xfId="42692"/>
    <cellStyle name="Note 3 3 2 2 5" xfId="42693"/>
    <cellStyle name="Note 3 3 2 2 5 2" xfId="42694"/>
    <cellStyle name="Note 3 3 2 2 6" xfId="42695"/>
    <cellStyle name="Note 3 3 2 2 7" xfId="42696"/>
    <cellStyle name="Note 3 3 2 2 8" xfId="42697"/>
    <cellStyle name="Note 3 3 2 3" xfId="42698"/>
    <cellStyle name="Note 3 3 2 3 2" xfId="42699"/>
    <cellStyle name="Note 3 3 2 3 2 2" xfId="42700"/>
    <cellStyle name="Note 3 3 2 3 2 2 2" xfId="42701"/>
    <cellStyle name="Note 3 3 2 3 2 3" xfId="42702"/>
    <cellStyle name="Note 3 3 2 3 2 3 2" xfId="42703"/>
    <cellStyle name="Note 3 3 2 3 2 4" xfId="42704"/>
    <cellStyle name="Note 3 3 2 3 2 5" xfId="42705"/>
    <cellStyle name="Note 3 3 2 3 2 6" xfId="42706"/>
    <cellStyle name="Note 3 3 2 3 3" xfId="42707"/>
    <cellStyle name="Note 3 3 2 3 3 2" xfId="42708"/>
    <cellStyle name="Note 3 3 2 3 4" xfId="42709"/>
    <cellStyle name="Note 3 3 2 3 4 2" xfId="42710"/>
    <cellStyle name="Note 3 3 2 3 5" xfId="42711"/>
    <cellStyle name="Note 3 3 2 3 6" xfId="42712"/>
    <cellStyle name="Note 3 3 2 3 7" xfId="42713"/>
    <cellStyle name="Note 3 3 2 4" xfId="42714"/>
    <cellStyle name="Note 3 3 2 4 2" xfId="42715"/>
    <cellStyle name="Note 3 3 2 4 2 2" xfId="42716"/>
    <cellStyle name="Note 3 3 2 4 3" xfId="42717"/>
    <cellStyle name="Note 3 3 2 4 3 2" xfId="42718"/>
    <cellStyle name="Note 3 3 2 4 4" xfId="42719"/>
    <cellStyle name="Note 3 3 2 4 5" xfId="42720"/>
    <cellStyle name="Note 3 3 2 4 6" xfId="42721"/>
    <cellStyle name="Note 3 3 2 5" xfId="42722"/>
    <cellStyle name="Note 3 3 2 5 2" xfId="42723"/>
    <cellStyle name="Note 3 3 2 6" xfId="42724"/>
    <cellStyle name="Note 3 3 2 6 2" xfId="42725"/>
    <cellStyle name="Note 3 3 2 7" xfId="42726"/>
    <cellStyle name="Note 3 3 2 8" xfId="42727"/>
    <cellStyle name="Note 3 3 2 9" xfId="42728"/>
    <cellStyle name="Note 3 3 3" xfId="42729"/>
    <cellStyle name="Note 3 3 3 2" xfId="42730"/>
    <cellStyle name="Note 3 3 3 2 2" xfId="42731"/>
    <cellStyle name="Note 3 3 3 2 2 2" xfId="42732"/>
    <cellStyle name="Note 3 3 3 2 2 2 2" xfId="42733"/>
    <cellStyle name="Note 3 3 3 2 2 3" xfId="42734"/>
    <cellStyle name="Note 3 3 3 2 2 3 2" xfId="42735"/>
    <cellStyle name="Note 3 3 3 2 2 4" xfId="42736"/>
    <cellStyle name="Note 3 3 3 2 2 5" xfId="42737"/>
    <cellStyle name="Note 3 3 3 2 2 6" xfId="42738"/>
    <cellStyle name="Note 3 3 3 2 3" xfId="42739"/>
    <cellStyle name="Note 3 3 3 2 3 2" xfId="42740"/>
    <cellStyle name="Note 3 3 3 2 4" xfId="42741"/>
    <cellStyle name="Note 3 3 3 2 4 2" xfId="42742"/>
    <cellStyle name="Note 3 3 3 2 5" xfId="42743"/>
    <cellStyle name="Note 3 3 3 2 6" xfId="42744"/>
    <cellStyle name="Note 3 3 3 2 7" xfId="42745"/>
    <cellStyle name="Note 3 3 3 3" xfId="42746"/>
    <cellStyle name="Note 3 3 3 3 2" xfId="42747"/>
    <cellStyle name="Note 3 3 3 3 2 2" xfId="42748"/>
    <cellStyle name="Note 3 3 3 3 3" xfId="42749"/>
    <cellStyle name="Note 3 3 3 3 3 2" xfId="42750"/>
    <cellStyle name="Note 3 3 3 3 4" xfId="42751"/>
    <cellStyle name="Note 3 3 3 3 5" xfId="42752"/>
    <cellStyle name="Note 3 3 3 3 6" xfId="42753"/>
    <cellStyle name="Note 3 3 3 4" xfId="42754"/>
    <cellStyle name="Note 3 3 3 4 2" xfId="42755"/>
    <cellStyle name="Note 3 3 3 5" xfId="42756"/>
    <cellStyle name="Note 3 3 3 5 2" xfId="42757"/>
    <cellStyle name="Note 3 3 3 6" xfId="42758"/>
    <cellStyle name="Note 3 3 3 7" xfId="42759"/>
    <cellStyle name="Note 3 3 3 8" xfId="42760"/>
    <cellStyle name="Note 3 3 4" xfId="42761"/>
    <cellStyle name="Note 3 3 4 2" xfId="42762"/>
    <cellStyle name="Note 3 3 4 2 2" xfId="42763"/>
    <cellStyle name="Note 3 3 4 2 2 2" xfId="42764"/>
    <cellStyle name="Note 3 3 4 2 3" xfId="42765"/>
    <cellStyle name="Note 3 3 4 2 3 2" xfId="42766"/>
    <cellStyle name="Note 3 3 4 2 4" xfId="42767"/>
    <cellStyle name="Note 3 3 4 2 5" xfId="42768"/>
    <cellStyle name="Note 3 3 4 2 6" xfId="42769"/>
    <cellStyle name="Note 3 3 4 3" xfId="42770"/>
    <cellStyle name="Note 3 3 4 3 2" xfId="42771"/>
    <cellStyle name="Note 3 3 4 4" xfId="42772"/>
    <cellStyle name="Note 3 3 4 4 2" xfId="42773"/>
    <cellStyle name="Note 3 3 4 5" xfId="42774"/>
    <cellStyle name="Note 3 3 4 6" xfId="42775"/>
    <cellStyle name="Note 3 3 4 7" xfId="42776"/>
    <cellStyle name="Note 3 3 5" xfId="42777"/>
    <cellStyle name="Note 3 3 5 2" xfId="42778"/>
    <cellStyle name="Note 3 3 5 2 2" xfId="42779"/>
    <cellStyle name="Note 3 3 5 3" xfId="42780"/>
    <cellStyle name="Note 3 3 5 3 2" xfId="42781"/>
    <cellStyle name="Note 3 3 5 4" xfId="42782"/>
    <cellStyle name="Note 3 3 5 5" xfId="42783"/>
    <cellStyle name="Note 3 3 5 6" xfId="42784"/>
    <cellStyle name="Note 3 3 6" xfId="42785"/>
    <cellStyle name="Note 3 3 6 2" xfId="42786"/>
    <cellStyle name="Note 3 3 7" xfId="42787"/>
    <cellStyle name="Note 3 3 7 2" xfId="42788"/>
    <cellStyle name="Note 3 3 8" xfId="42789"/>
    <cellStyle name="Note 3 3 9" xfId="42790"/>
    <cellStyle name="Note 3 4" xfId="42791"/>
    <cellStyle name="Note 3 4 2" xfId="42792"/>
    <cellStyle name="Note 3 4 2 2" xfId="42793"/>
    <cellStyle name="Note 3 4 2 2 2" xfId="42794"/>
    <cellStyle name="Note 3 4 2 2 2 2" xfId="42795"/>
    <cellStyle name="Note 3 4 2 2 2 2 2" xfId="42796"/>
    <cellStyle name="Note 3 4 2 2 2 3" xfId="42797"/>
    <cellStyle name="Note 3 4 2 2 2 3 2" xfId="42798"/>
    <cellStyle name="Note 3 4 2 2 2 4" xfId="42799"/>
    <cellStyle name="Note 3 4 2 2 2 5" xfId="42800"/>
    <cellStyle name="Note 3 4 2 2 2 6" xfId="42801"/>
    <cellStyle name="Note 3 4 2 2 3" xfId="42802"/>
    <cellStyle name="Note 3 4 2 2 3 2" xfId="42803"/>
    <cellStyle name="Note 3 4 2 2 4" xfId="42804"/>
    <cellStyle name="Note 3 4 2 2 4 2" xfId="42805"/>
    <cellStyle name="Note 3 4 2 2 5" xfId="42806"/>
    <cellStyle name="Note 3 4 2 2 6" xfId="42807"/>
    <cellStyle name="Note 3 4 2 2 7" xfId="42808"/>
    <cellStyle name="Note 3 4 2 3" xfId="42809"/>
    <cellStyle name="Note 3 4 2 3 2" xfId="42810"/>
    <cellStyle name="Note 3 4 2 3 2 2" xfId="42811"/>
    <cellStyle name="Note 3 4 2 3 3" xfId="42812"/>
    <cellStyle name="Note 3 4 2 3 3 2" xfId="42813"/>
    <cellStyle name="Note 3 4 2 3 4" xfId="42814"/>
    <cellStyle name="Note 3 4 2 3 5" xfId="42815"/>
    <cellStyle name="Note 3 4 2 3 6" xfId="42816"/>
    <cellStyle name="Note 3 4 2 4" xfId="42817"/>
    <cellStyle name="Note 3 4 2 4 2" xfId="42818"/>
    <cellStyle name="Note 3 4 2 5" xfId="42819"/>
    <cellStyle name="Note 3 4 2 5 2" xfId="42820"/>
    <cellStyle name="Note 3 4 2 6" xfId="42821"/>
    <cellStyle name="Note 3 4 2 7" xfId="42822"/>
    <cellStyle name="Note 3 4 2 8" xfId="42823"/>
    <cellStyle name="Note 3 4 3" xfId="42824"/>
    <cellStyle name="Note 3 4 3 2" xfId="42825"/>
    <cellStyle name="Note 3 4 3 2 2" xfId="42826"/>
    <cellStyle name="Note 3 4 3 2 2 2" xfId="42827"/>
    <cellStyle name="Note 3 4 3 2 3" xfId="42828"/>
    <cellStyle name="Note 3 4 3 2 3 2" xfId="42829"/>
    <cellStyle name="Note 3 4 3 2 4" xfId="42830"/>
    <cellStyle name="Note 3 4 3 2 5" xfId="42831"/>
    <cellStyle name="Note 3 4 3 2 6" xfId="42832"/>
    <cellStyle name="Note 3 4 3 3" xfId="42833"/>
    <cellStyle name="Note 3 4 3 3 2" xfId="42834"/>
    <cellStyle name="Note 3 4 3 4" xfId="42835"/>
    <cellStyle name="Note 3 4 3 4 2" xfId="42836"/>
    <cellStyle name="Note 3 4 3 5" xfId="42837"/>
    <cellStyle name="Note 3 4 3 6" xfId="42838"/>
    <cellStyle name="Note 3 4 3 7" xfId="42839"/>
    <cellStyle name="Note 3 4 4" xfId="42840"/>
    <cellStyle name="Note 3 4 4 2" xfId="42841"/>
    <cellStyle name="Note 3 4 4 2 2" xfId="42842"/>
    <cellStyle name="Note 3 4 4 3" xfId="42843"/>
    <cellStyle name="Note 3 4 4 3 2" xfId="42844"/>
    <cellStyle name="Note 3 4 4 4" xfId="42845"/>
    <cellStyle name="Note 3 4 4 5" xfId="42846"/>
    <cellStyle name="Note 3 4 4 6" xfId="42847"/>
    <cellStyle name="Note 3 4 5" xfId="42848"/>
    <cellStyle name="Note 3 4 5 2" xfId="42849"/>
    <cellStyle name="Note 3 4 6" xfId="42850"/>
    <cellStyle name="Note 3 4 6 2" xfId="42851"/>
    <cellStyle name="Note 3 4 7" xfId="42852"/>
    <cellStyle name="Note 3 4 8" xfId="42853"/>
    <cellStyle name="Note 3 4 9" xfId="42854"/>
    <cellStyle name="Note 3 5" xfId="42855"/>
    <cellStyle name="Note 3 5 2" xfId="42856"/>
    <cellStyle name="Note 3 5 2 2" xfId="42857"/>
    <cellStyle name="Note 3 5 2 2 2" xfId="42858"/>
    <cellStyle name="Note 3 5 2 2 2 2" xfId="42859"/>
    <cellStyle name="Note 3 5 2 2 3" xfId="42860"/>
    <cellStyle name="Note 3 5 2 2 3 2" xfId="42861"/>
    <cellStyle name="Note 3 5 2 2 4" xfId="42862"/>
    <cellStyle name="Note 3 5 2 2 5" xfId="42863"/>
    <cellStyle name="Note 3 5 2 2 6" xfId="42864"/>
    <cellStyle name="Note 3 5 2 3" xfId="42865"/>
    <cellStyle name="Note 3 5 2 3 2" xfId="42866"/>
    <cellStyle name="Note 3 5 2 4" xfId="42867"/>
    <cellStyle name="Note 3 5 2 4 2" xfId="42868"/>
    <cellStyle name="Note 3 5 2 5" xfId="42869"/>
    <cellStyle name="Note 3 5 2 6" xfId="42870"/>
    <cellStyle name="Note 3 5 2 7" xfId="42871"/>
    <cellStyle name="Note 3 5 3" xfId="42872"/>
    <cellStyle name="Note 3 5 3 2" xfId="42873"/>
    <cellStyle name="Note 3 5 3 2 2" xfId="42874"/>
    <cellStyle name="Note 3 5 3 3" xfId="42875"/>
    <cellStyle name="Note 3 5 3 3 2" xfId="42876"/>
    <cellStyle name="Note 3 5 3 4" xfId="42877"/>
    <cellStyle name="Note 3 5 3 5" xfId="42878"/>
    <cellStyle name="Note 3 5 3 6" xfId="42879"/>
    <cellStyle name="Note 3 5 4" xfId="42880"/>
    <cellStyle name="Note 3 5 4 2" xfId="42881"/>
    <cellStyle name="Note 3 5 5" xfId="42882"/>
    <cellStyle name="Note 3 5 5 2" xfId="42883"/>
    <cellStyle name="Note 3 5 6" xfId="42884"/>
    <cellStyle name="Note 3 5 7" xfId="42885"/>
    <cellStyle name="Note 3 5 8" xfId="42886"/>
    <cellStyle name="Note 3 6" xfId="42887"/>
    <cellStyle name="Note 3 6 2" xfId="42888"/>
    <cellStyle name="Note 3 6 2 2" xfId="42889"/>
    <cellStyle name="Note 3 6 2 2 2" xfId="42890"/>
    <cellStyle name="Note 3 6 2 3" xfId="42891"/>
    <cellStyle name="Note 3 6 2 3 2" xfId="42892"/>
    <cellStyle name="Note 3 6 2 4" xfId="42893"/>
    <cellStyle name="Note 3 6 2 5" xfId="42894"/>
    <cellStyle name="Note 3 6 2 6" xfId="42895"/>
    <cellStyle name="Note 3 6 3" xfId="42896"/>
    <cellStyle name="Note 3 6 3 2" xfId="42897"/>
    <cellStyle name="Note 3 6 4" xfId="42898"/>
    <cellStyle name="Note 3 6 4 2" xfId="42899"/>
    <cellStyle name="Note 3 6 5" xfId="42900"/>
    <cellStyle name="Note 3 6 6" xfId="42901"/>
    <cellStyle name="Note 3 6 7" xfId="42902"/>
    <cellStyle name="Note 3 7" xfId="42903"/>
    <cellStyle name="Note 3 7 2" xfId="42904"/>
    <cellStyle name="Note 3 7 2 2" xfId="42905"/>
    <cellStyle name="Note 3 7 3" xfId="42906"/>
    <cellStyle name="Note 3 7 3 2" xfId="42907"/>
    <cellStyle name="Note 3 7 4" xfId="42908"/>
    <cellStyle name="Note 3 7 5" xfId="42909"/>
    <cellStyle name="Note 3 7 6" xfId="42910"/>
    <cellStyle name="Note 3 8" xfId="42911"/>
    <cellStyle name="Note 3 8 2" xfId="42912"/>
    <cellStyle name="Note 3 9" xfId="42913"/>
    <cellStyle name="Note 3 9 2" xfId="42914"/>
    <cellStyle name="Note 4" xfId="42915"/>
    <cellStyle name="Note 4 10" xfId="42916"/>
    <cellStyle name="Note 4 11" xfId="42917"/>
    <cellStyle name="Note 4 2" xfId="42918"/>
    <cellStyle name="Note 4 2 10" xfId="42919"/>
    <cellStyle name="Note 4 2 2" xfId="42920"/>
    <cellStyle name="Note 4 2 2 2" xfId="42921"/>
    <cellStyle name="Note 4 2 2 2 2" xfId="42922"/>
    <cellStyle name="Note 4 2 2 2 2 2" xfId="42923"/>
    <cellStyle name="Note 4 2 2 2 2 2 2" xfId="42924"/>
    <cellStyle name="Note 4 2 2 2 2 2 2 2" xfId="42925"/>
    <cellStyle name="Note 4 2 2 2 2 2 3" xfId="42926"/>
    <cellStyle name="Note 4 2 2 2 2 2 3 2" xfId="42927"/>
    <cellStyle name="Note 4 2 2 2 2 2 4" xfId="42928"/>
    <cellStyle name="Note 4 2 2 2 2 2 5" xfId="42929"/>
    <cellStyle name="Note 4 2 2 2 2 2 6" xfId="42930"/>
    <cellStyle name="Note 4 2 2 2 2 3" xfId="42931"/>
    <cellStyle name="Note 4 2 2 2 2 3 2" xfId="42932"/>
    <cellStyle name="Note 4 2 2 2 2 4" xfId="42933"/>
    <cellStyle name="Note 4 2 2 2 2 4 2" xfId="42934"/>
    <cellStyle name="Note 4 2 2 2 2 5" xfId="42935"/>
    <cellStyle name="Note 4 2 2 2 2 6" xfId="42936"/>
    <cellStyle name="Note 4 2 2 2 2 7" xfId="42937"/>
    <cellStyle name="Note 4 2 2 2 3" xfId="42938"/>
    <cellStyle name="Note 4 2 2 2 3 2" xfId="42939"/>
    <cellStyle name="Note 4 2 2 2 3 2 2" xfId="42940"/>
    <cellStyle name="Note 4 2 2 2 3 3" xfId="42941"/>
    <cellStyle name="Note 4 2 2 2 3 3 2" xfId="42942"/>
    <cellStyle name="Note 4 2 2 2 3 4" xfId="42943"/>
    <cellStyle name="Note 4 2 2 2 3 5" xfId="42944"/>
    <cellStyle name="Note 4 2 2 2 3 6" xfId="42945"/>
    <cellStyle name="Note 4 2 2 2 4" xfId="42946"/>
    <cellStyle name="Note 4 2 2 2 4 2" xfId="42947"/>
    <cellStyle name="Note 4 2 2 2 5" xfId="42948"/>
    <cellStyle name="Note 4 2 2 2 5 2" xfId="42949"/>
    <cellStyle name="Note 4 2 2 2 6" xfId="42950"/>
    <cellStyle name="Note 4 2 2 2 7" xfId="42951"/>
    <cellStyle name="Note 4 2 2 2 8" xfId="42952"/>
    <cellStyle name="Note 4 2 2 3" xfId="42953"/>
    <cellStyle name="Note 4 2 2 3 2" xfId="42954"/>
    <cellStyle name="Note 4 2 2 3 2 2" xfId="42955"/>
    <cellStyle name="Note 4 2 2 3 2 2 2" xfId="42956"/>
    <cellStyle name="Note 4 2 2 3 2 3" xfId="42957"/>
    <cellStyle name="Note 4 2 2 3 2 3 2" xfId="42958"/>
    <cellStyle name="Note 4 2 2 3 2 4" xfId="42959"/>
    <cellStyle name="Note 4 2 2 3 2 5" xfId="42960"/>
    <cellStyle name="Note 4 2 2 3 2 6" xfId="42961"/>
    <cellStyle name="Note 4 2 2 3 3" xfId="42962"/>
    <cellStyle name="Note 4 2 2 3 3 2" xfId="42963"/>
    <cellStyle name="Note 4 2 2 3 4" xfId="42964"/>
    <cellStyle name="Note 4 2 2 3 4 2" xfId="42965"/>
    <cellStyle name="Note 4 2 2 3 5" xfId="42966"/>
    <cellStyle name="Note 4 2 2 3 6" xfId="42967"/>
    <cellStyle name="Note 4 2 2 3 7" xfId="42968"/>
    <cellStyle name="Note 4 2 2 4" xfId="42969"/>
    <cellStyle name="Note 4 2 2 4 2" xfId="42970"/>
    <cellStyle name="Note 4 2 2 4 2 2" xfId="42971"/>
    <cellStyle name="Note 4 2 2 4 3" xfId="42972"/>
    <cellStyle name="Note 4 2 2 4 3 2" xfId="42973"/>
    <cellStyle name="Note 4 2 2 4 4" xfId="42974"/>
    <cellStyle name="Note 4 2 2 4 5" xfId="42975"/>
    <cellStyle name="Note 4 2 2 4 6" xfId="42976"/>
    <cellStyle name="Note 4 2 2 5" xfId="42977"/>
    <cellStyle name="Note 4 2 2 5 2" xfId="42978"/>
    <cellStyle name="Note 4 2 2 6" xfId="42979"/>
    <cellStyle name="Note 4 2 2 6 2" xfId="42980"/>
    <cellStyle name="Note 4 2 2 7" xfId="42981"/>
    <cellStyle name="Note 4 2 2 8" xfId="42982"/>
    <cellStyle name="Note 4 2 2 9" xfId="42983"/>
    <cellStyle name="Note 4 2 3" xfId="42984"/>
    <cellStyle name="Note 4 2 3 2" xfId="42985"/>
    <cellStyle name="Note 4 2 3 2 2" xfId="42986"/>
    <cellStyle name="Note 4 2 3 2 2 2" xfId="42987"/>
    <cellStyle name="Note 4 2 3 2 2 2 2" xfId="42988"/>
    <cellStyle name="Note 4 2 3 2 2 3" xfId="42989"/>
    <cellStyle name="Note 4 2 3 2 2 3 2" xfId="42990"/>
    <cellStyle name="Note 4 2 3 2 2 4" xfId="42991"/>
    <cellStyle name="Note 4 2 3 2 2 5" xfId="42992"/>
    <cellStyle name="Note 4 2 3 2 2 6" xfId="42993"/>
    <cellStyle name="Note 4 2 3 2 3" xfId="42994"/>
    <cellStyle name="Note 4 2 3 2 3 2" xfId="42995"/>
    <cellStyle name="Note 4 2 3 2 4" xfId="42996"/>
    <cellStyle name="Note 4 2 3 2 4 2" xfId="42997"/>
    <cellStyle name="Note 4 2 3 2 5" xfId="42998"/>
    <cellStyle name="Note 4 2 3 2 6" xfId="42999"/>
    <cellStyle name="Note 4 2 3 2 7" xfId="43000"/>
    <cellStyle name="Note 4 2 3 3" xfId="43001"/>
    <cellStyle name="Note 4 2 3 3 2" xfId="43002"/>
    <cellStyle name="Note 4 2 3 3 2 2" xfId="43003"/>
    <cellStyle name="Note 4 2 3 3 3" xfId="43004"/>
    <cellStyle name="Note 4 2 3 3 3 2" xfId="43005"/>
    <cellStyle name="Note 4 2 3 3 4" xfId="43006"/>
    <cellStyle name="Note 4 2 3 3 5" xfId="43007"/>
    <cellStyle name="Note 4 2 3 3 6" xfId="43008"/>
    <cellStyle name="Note 4 2 3 4" xfId="43009"/>
    <cellStyle name="Note 4 2 3 4 2" xfId="43010"/>
    <cellStyle name="Note 4 2 3 5" xfId="43011"/>
    <cellStyle name="Note 4 2 3 5 2" xfId="43012"/>
    <cellStyle name="Note 4 2 3 6" xfId="43013"/>
    <cellStyle name="Note 4 2 3 7" xfId="43014"/>
    <cellStyle name="Note 4 2 3 8" xfId="43015"/>
    <cellStyle name="Note 4 2 4" xfId="43016"/>
    <cellStyle name="Note 4 2 4 2" xfId="43017"/>
    <cellStyle name="Note 4 2 4 2 2" xfId="43018"/>
    <cellStyle name="Note 4 2 4 2 2 2" xfId="43019"/>
    <cellStyle name="Note 4 2 4 2 3" xfId="43020"/>
    <cellStyle name="Note 4 2 4 2 3 2" xfId="43021"/>
    <cellStyle name="Note 4 2 4 2 4" xfId="43022"/>
    <cellStyle name="Note 4 2 4 2 5" xfId="43023"/>
    <cellStyle name="Note 4 2 4 2 6" xfId="43024"/>
    <cellStyle name="Note 4 2 4 3" xfId="43025"/>
    <cellStyle name="Note 4 2 4 3 2" xfId="43026"/>
    <cellStyle name="Note 4 2 4 4" xfId="43027"/>
    <cellStyle name="Note 4 2 4 4 2" xfId="43028"/>
    <cellStyle name="Note 4 2 4 5" xfId="43029"/>
    <cellStyle name="Note 4 2 4 6" xfId="43030"/>
    <cellStyle name="Note 4 2 4 7" xfId="43031"/>
    <cellStyle name="Note 4 2 5" xfId="43032"/>
    <cellStyle name="Note 4 2 5 2" xfId="43033"/>
    <cellStyle name="Note 4 2 5 2 2" xfId="43034"/>
    <cellStyle name="Note 4 2 5 3" xfId="43035"/>
    <cellStyle name="Note 4 2 5 3 2" xfId="43036"/>
    <cellStyle name="Note 4 2 5 4" xfId="43037"/>
    <cellStyle name="Note 4 2 5 5" xfId="43038"/>
    <cellStyle name="Note 4 2 5 6" xfId="43039"/>
    <cellStyle name="Note 4 2 6" xfId="43040"/>
    <cellStyle name="Note 4 2 6 2" xfId="43041"/>
    <cellStyle name="Note 4 2 7" xfId="43042"/>
    <cellStyle name="Note 4 2 7 2" xfId="43043"/>
    <cellStyle name="Note 4 2 8" xfId="43044"/>
    <cellStyle name="Note 4 2 9" xfId="43045"/>
    <cellStyle name="Note 4 3" xfId="43046"/>
    <cellStyle name="Note 4 3 2" xfId="43047"/>
    <cellStyle name="Note 4 3 2 2" xfId="43048"/>
    <cellStyle name="Note 4 3 2 2 2" xfId="43049"/>
    <cellStyle name="Note 4 3 2 2 2 2" xfId="43050"/>
    <cellStyle name="Note 4 3 2 2 2 2 2" xfId="43051"/>
    <cellStyle name="Note 4 3 2 2 2 3" xfId="43052"/>
    <cellStyle name="Note 4 3 2 2 2 3 2" xfId="43053"/>
    <cellStyle name="Note 4 3 2 2 2 4" xfId="43054"/>
    <cellStyle name="Note 4 3 2 2 2 5" xfId="43055"/>
    <cellStyle name="Note 4 3 2 2 2 6" xfId="43056"/>
    <cellStyle name="Note 4 3 2 2 3" xfId="43057"/>
    <cellStyle name="Note 4 3 2 2 3 2" xfId="43058"/>
    <cellStyle name="Note 4 3 2 2 4" xfId="43059"/>
    <cellStyle name="Note 4 3 2 2 4 2" xfId="43060"/>
    <cellStyle name="Note 4 3 2 2 5" xfId="43061"/>
    <cellStyle name="Note 4 3 2 2 6" xfId="43062"/>
    <cellStyle name="Note 4 3 2 2 7" xfId="43063"/>
    <cellStyle name="Note 4 3 2 3" xfId="43064"/>
    <cellStyle name="Note 4 3 2 3 2" xfId="43065"/>
    <cellStyle name="Note 4 3 2 3 2 2" xfId="43066"/>
    <cellStyle name="Note 4 3 2 3 3" xfId="43067"/>
    <cellStyle name="Note 4 3 2 3 3 2" xfId="43068"/>
    <cellStyle name="Note 4 3 2 3 4" xfId="43069"/>
    <cellStyle name="Note 4 3 2 3 5" xfId="43070"/>
    <cellStyle name="Note 4 3 2 3 6" xfId="43071"/>
    <cellStyle name="Note 4 3 2 4" xfId="43072"/>
    <cellStyle name="Note 4 3 2 4 2" xfId="43073"/>
    <cellStyle name="Note 4 3 2 5" xfId="43074"/>
    <cellStyle name="Note 4 3 2 5 2" xfId="43075"/>
    <cellStyle name="Note 4 3 2 6" xfId="43076"/>
    <cellStyle name="Note 4 3 2 7" xfId="43077"/>
    <cellStyle name="Note 4 3 2 8" xfId="43078"/>
    <cellStyle name="Note 4 3 3" xfId="43079"/>
    <cellStyle name="Note 4 3 3 2" xfId="43080"/>
    <cellStyle name="Note 4 3 3 2 2" xfId="43081"/>
    <cellStyle name="Note 4 3 3 2 2 2" xfId="43082"/>
    <cellStyle name="Note 4 3 3 2 3" xfId="43083"/>
    <cellStyle name="Note 4 3 3 2 3 2" xfId="43084"/>
    <cellStyle name="Note 4 3 3 2 4" xfId="43085"/>
    <cellStyle name="Note 4 3 3 2 5" xfId="43086"/>
    <cellStyle name="Note 4 3 3 2 6" xfId="43087"/>
    <cellStyle name="Note 4 3 3 3" xfId="43088"/>
    <cellStyle name="Note 4 3 3 3 2" xfId="43089"/>
    <cellStyle name="Note 4 3 3 4" xfId="43090"/>
    <cellStyle name="Note 4 3 3 4 2" xfId="43091"/>
    <cellStyle name="Note 4 3 3 5" xfId="43092"/>
    <cellStyle name="Note 4 3 3 6" xfId="43093"/>
    <cellStyle name="Note 4 3 3 7" xfId="43094"/>
    <cellStyle name="Note 4 3 4" xfId="43095"/>
    <cellStyle name="Note 4 3 4 2" xfId="43096"/>
    <cellStyle name="Note 4 3 4 2 2" xfId="43097"/>
    <cellStyle name="Note 4 3 4 3" xfId="43098"/>
    <cellStyle name="Note 4 3 4 3 2" xfId="43099"/>
    <cellStyle name="Note 4 3 4 4" xfId="43100"/>
    <cellStyle name="Note 4 3 4 5" xfId="43101"/>
    <cellStyle name="Note 4 3 4 6" xfId="43102"/>
    <cellStyle name="Note 4 3 5" xfId="43103"/>
    <cellStyle name="Note 4 3 5 2" xfId="43104"/>
    <cellStyle name="Note 4 3 6" xfId="43105"/>
    <cellStyle name="Note 4 3 6 2" xfId="43106"/>
    <cellStyle name="Note 4 3 7" xfId="43107"/>
    <cellStyle name="Note 4 3 8" xfId="43108"/>
    <cellStyle name="Note 4 3 9" xfId="43109"/>
    <cellStyle name="Note 4 4" xfId="43110"/>
    <cellStyle name="Note 4 4 2" xfId="43111"/>
    <cellStyle name="Note 4 4 2 2" xfId="43112"/>
    <cellStyle name="Note 4 4 2 2 2" xfId="43113"/>
    <cellStyle name="Note 4 4 2 2 2 2" xfId="43114"/>
    <cellStyle name="Note 4 4 2 2 3" xfId="43115"/>
    <cellStyle name="Note 4 4 2 2 3 2" xfId="43116"/>
    <cellStyle name="Note 4 4 2 2 4" xfId="43117"/>
    <cellStyle name="Note 4 4 2 2 5" xfId="43118"/>
    <cellStyle name="Note 4 4 2 2 6" xfId="43119"/>
    <cellStyle name="Note 4 4 2 3" xfId="43120"/>
    <cellStyle name="Note 4 4 2 3 2" xfId="43121"/>
    <cellStyle name="Note 4 4 2 4" xfId="43122"/>
    <cellStyle name="Note 4 4 2 4 2" xfId="43123"/>
    <cellStyle name="Note 4 4 2 5" xfId="43124"/>
    <cellStyle name="Note 4 4 2 6" xfId="43125"/>
    <cellStyle name="Note 4 4 2 7" xfId="43126"/>
    <cellStyle name="Note 4 4 3" xfId="43127"/>
    <cellStyle name="Note 4 4 3 2" xfId="43128"/>
    <cellStyle name="Note 4 4 3 2 2" xfId="43129"/>
    <cellStyle name="Note 4 4 3 3" xfId="43130"/>
    <cellStyle name="Note 4 4 3 3 2" xfId="43131"/>
    <cellStyle name="Note 4 4 3 4" xfId="43132"/>
    <cellStyle name="Note 4 4 3 5" xfId="43133"/>
    <cellStyle name="Note 4 4 3 6" xfId="43134"/>
    <cellStyle name="Note 4 4 4" xfId="43135"/>
    <cellStyle name="Note 4 4 4 2" xfId="43136"/>
    <cellStyle name="Note 4 4 5" xfId="43137"/>
    <cellStyle name="Note 4 4 5 2" xfId="43138"/>
    <cellStyle name="Note 4 4 6" xfId="43139"/>
    <cellStyle name="Note 4 4 7" xfId="43140"/>
    <cellStyle name="Note 4 4 8" xfId="43141"/>
    <cellStyle name="Note 4 5" xfId="43142"/>
    <cellStyle name="Note 4 5 2" xfId="43143"/>
    <cellStyle name="Note 4 5 2 2" xfId="43144"/>
    <cellStyle name="Note 4 5 2 2 2" xfId="43145"/>
    <cellStyle name="Note 4 5 2 3" xfId="43146"/>
    <cellStyle name="Note 4 5 2 3 2" xfId="43147"/>
    <cellStyle name="Note 4 5 2 4" xfId="43148"/>
    <cellStyle name="Note 4 5 2 5" xfId="43149"/>
    <cellStyle name="Note 4 5 2 6" xfId="43150"/>
    <cellStyle name="Note 4 5 3" xfId="43151"/>
    <cellStyle name="Note 4 5 3 2" xfId="43152"/>
    <cellStyle name="Note 4 5 4" xfId="43153"/>
    <cellStyle name="Note 4 5 4 2" xfId="43154"/>
    <cellStyle name="Note 4 5 5" xfId="43155"/>
    <cellStyle name="Note 4 5 6" xfId="43156"/>
    <cellStyle name="Note 4 5 7" xfId="43157"/>
    <cellStyle name="Note 4 6" xfId="43158"/>
    <cellStyle name="Note 4 6 2" xfId="43159"/>
    <cellStyle name="Note 4 6 2 2" xfId="43160"/>
    <cellStyle name="Note 4 6 3" xfId="43161"/>
    <cellStyle name="Note 4 6 3 2" xfId="43162"/>
    <cellStyle name="Note 4 6 4" xfId="43163"/>
    <cellStyle name="Note 4 6 5" xfId="43164"/>
    <cellStyle name="Note 4 6 6" xfId="43165"/>
    <cellStyle name="Note 4 7" xfId="43166"/>
    <cellStyle name="Note 4 7 2" xfId="43167"/>
    <cellStyle name="Note 4 8" xfId="43168"/>
    <cellStyle name="Note 4 8 2" xfId="43169"/>
    <cellStyle name="Note 4 9" xfId="43170"/>
    <cellStyle name="Note 5" xfId="43171"/>
    <cellStyle name="Note 5 2" xfId="43172"/>
    <cellStyle name="Note 5 2 2" xfId="43173"/>
    <cellStyle name="Note 5 2 2 2" xfId="43174"/>
    <cellStyle name="Note 5 2 2 2 2" xfId="43175"/>
    <cellStyle name="Note 5 2 2 2 2 2" xfId="43176"/>
    <cellStyle name="Note 5 2 2 2 3" xfId="43177"/>
    <cellStyle name="Note 5 2 2 2 3 2" xfId="43178"/>
    <cellStyle name="Note 5 2 2 2 4" xfId="43179"/>
    <cellStyle name="Note 5 2 2 2 5" xfId="43180"/>
    <cellStyle name="Note 5 2 2 2 6" xfId="43181"/>
    <cellStyle name="Note 5 2 2 3" xfId="43182"/>
    <cellStyle name="Note 5 2 2 3 2" xfId="43183"/>
    <cellStyle name="Note 5 2 2 4" xfId="43184"/>
    <cellStyle name="Note 5 2 2 4 2" xfId="43185"/>
    <cellStyle name="Note 5 2 2 5" xfId="43186"/>
    <cellStyle name="Note 5 2 2 6" xfId="43187"/>
    <cellStyle name="Note 5 2 2 7" xfId="43188"/>
    <cellStyle name="Note 5 2 3" xfId="43189"/>
    <cellStyle name="Note 5 2 3 2" xfId="43190"/>
    <cellStyle name="Note 5 2 3 2 2" xfId="43191"/>
    <cellStyle name="Note 5 2 3 3" xfId="43192"/>
    <cellStyle name="Note 5 2 3 3 2" xfId="43193"/>
    <cellStyle name="Note 5 2 3 4" xfId="43194"/>
    <cellStyle name="Note 5 2 3 5" xfId="43195"/>
    <cellStyle name="Note 5 2 3 6" xfId="43196"/>
    <cellStyle name="Note 5 2 4" xfId="43197"/>
    <cellStyle name="Note 5 2 4 2" xfId="43198"/>
    <cellStyle name="Note 5 2 5" xfId="43199"/>
    <cellStyle name="Note 5 2 5 2" xfId="43200"/>
    <cellStyle name="Note 5 2 6" xfId="43201"/>
    <cellStyle name="Note 5 2 7" xfId="43202"/>
    <cellStyle name="Note 5 2 8" xfId="43203"/>
    <cellStyle name="Note 5 3" xfId="43204"/>
    <cellStyle name="Note 5 3 2" xfId="43205"/>
    <cellStyle name="Note 5 3 2 2" xfId="43206"/>
    <cellStyle name="Note 5 3 2 2 2" xfId="43207"/>
    <cellStyle name="Note 5 3 2 3" xfId="43208"/>
    <cellStyle name="Note 5 3 2 3 2" xfId="43209"/>
    <cellStyle name="Note 5 3 2 4" xfId="43210"/>
    <cellStyle name="Note 5 3 2 5" xfId="43211"/>
    <cellStyle name="Note 5 3 2 6" xfId="43212"/>
    <cellStyle name="Note 5 3 3" xfId="43213"/>
    <cellStyle name="Note 5 3 3 2" xfId="43214"/>
    <cellStyle name="Note 5 3 4" xfId="43215"/>
    <cellStyle name="Note 5 3 4 2" xfId="43216"/>
    <cellStyle name="Note 5 3 5" xfId="43217"/>
    <cellStyle name="Note 5 3 6" xfId="43218"/>
    <cellStyle name="Note 5 3 7" xfId="43219"/>
    <cellStyle name="Note 5 4" xfId="43220"/>
    <cellStyle name="Note 5 4 2" xfId="43221"/>
    <cellStyle name="Note 5 4 2 2" xfId="43222"/>
    <cellStyle name="Note 5 4 3" xfId="43223"/>
    <cellStyle name="Note 5 4 3 2" xfId="43224"/>
    <cellStyle name="Note 5 4 4" xfId="43225"/>
    <cellStyle name="Note 5 4 5" xfId="43226"/>
    <cellStyle name="Note 5 4 6" xfId="43227"/>
    <cellStyle name="Note 5 5" xfId="43228"/>
    <cellStyle name="Note 5 5 2" xfId="43229"/>
    <cellStyle name="Note 5 6" xfId="43230"/>
    <cellStyle name="Note 5 6 2" xfId="43231"/>
    <cellStyle name="Note 5 7" xfId="43232"/>
    <cellStyle name="Note 5 8" xfId="43233"/>
    <cellStyle name="Note 5 9" xfId="43234"/>
    <cellStyle name="Note 6" xfId="43235"/>
    <cellStyle name="Note 6 2" xfId="43236"/>
    <cellStyle name="Note 6 2 2" xfId="43237"/>
    <cellStyle name="Note 6 2 2 2" xfId="43238"/>
    <cellStyle name="Note 6 2 2 2 2" xfId="43239"/>
    <cellStyle name="Note 6 2 2 3" xfId="43240"/>
    <cellStyle name="Note 6 2 2 3 2" xfId="43241"/>
    <cellStyle name="Note 6 2 2 4" xfId="43242"/>
    <cellStyle name="Note 6 2 2 5" xfId="43243"/>
    <cellStyle name="Note 6 2 2 6" xfId="43244"/>
    <cellStyle name="Note 6 2 3" xfId="43245"/>
    <cellStyle name="Note 6 2 3 2" xfId="43246"/>
    <cellStyle name="Note 6 2 4" xfId="43247"/>
    <cellStyle name="Note 6 2 4 2" xfId="43248"/>
    <cellStyle name="Note 6 2 5" xfId="43249"/>
    <cellStyle name="Note 6 2 6" xfId="43250"/>
    <cellStyle name="Note 6 2 7" xfId="43251"/>
    <cellStyle name="Note 6 3" xfId="43252"/>
    <cellStyle name="Note 6 3 2" xfId="43253"/>
    <cellStyle name="Note 6 3 2 2" xfId="43254"/>
    <cellStyle name="Note 6 3 3" xfId="43255"/>
    <cellStyle name="Note 6 3 3 2" xfId="43256"/>
    <cellStyle name="Note 6 3 4" xfId="43257"/>
    <cellStyle name="Note 6 3 5" xfId="43258"/>
    <cellStyle name="Note 6 3 6" xfId="43259"/>
    <cellStyle name="Note 6 4" xfId="43260"/>
    <cellStyle name="Note 6 4 2" xfId="43261"/>
    <cellStyle name="Note 6 5" xfId="43262"/>
    <cellStyle name="Note 6 5 2" xfId="43263"/>
    <cellStyle name="Note 6 6" xfId="43264"/>
    <cellStyle name="Note 6 7" xfId="43265"/>
    <cellStyle name="Note 6 8" xfId="43266"/>
    <cellStyle name="Note 7" xfId="43267"/>
    <cellStyle name="Note 7 2" xfId="43268"/>
    <cellStyle name="Note 7 2 2" xfId="43269"/>
    <cellStyle name="Note 7 2 2 2" xfId="43270"/>
    <cellStyle name="Note 7 2 3" xfId="43271"/>
    <cellStyle name="Note 7 2 3 2" xfId="43272"/>
    <cellStyle name="Note 7 2 4" xfId="43273"/>
    <cellStyle name="Note 7 2 5" xfId="43274"/>
    <cellStyle name="Note 7 2 6" xfId="43275"/>
    <cellStyle name="Note 7 3" xfId="43276"/>
    <cellStyle name="Note 7 3 2" xfId="43277"/>
    <cellStyle name="Note 7 4" xfId="43278"/>
    <cellStyle name="Note 7 4 2" xfId="43279"/>
    <cellStyle name="Note 7 5" xfId="43280"/>
    <cellStyle name="Note 7 6" xfId="43281"/>
    <cellStyle name="Note 7 7" xfId="43282"/>
    <cellStyle name="Note 8" xfId="43283"/>
    <cellStyle name="Note 8 2" xfId="43284"/>
    <cellStyle name="Note 9" xfId="43285"/>
    <cellStyle name="Note 9 2" xfId="43286"/>
    <cellStyle name="NOTEWRAP" xfId="43287"/>
    <cellStyle name="NOTEWRAP 2" xfId="43288"/>
    <cellStyle name="NOTEWRAP 3" xfId="43289"/>
    <cellStyle name="NOTEWRAP 4" xfId="43290"/>
    <cellStyle name="Output" xfId="43291"/>
    <cellStyle name="Output 10" xfId="43292"/>
    <cellStyle name="Output 11" xfId="43293"/>
    <cellStyle name="Output 12" xfId="43294"/>
    <cellStyle name="Output 2" xfId="43295"/>
    <cellStyle name="Output 2 10" xfId="43296"/>
    <cellStyle name="Output 2 11" xfId="43297"/>
    <cellStyle name="Output 2 2" xfId="43298"/>
    <cellStyle name="Output 2 2 10" xfId="43299"/>
    <cellStyle name="Output 2 2 11" xfId="43300"/>
    <cellStyle name="Output 2 2 12" xfId="43301"/>
    <cellStyle name="Output 2 2 2" xfId="43302"/>
    <cellStyle name="Output 2 2 2 10" xfId="43303"/>
    <cellStyle name="Output 2 2 2 11" xfId="43304"/>
    <cellStyle name="Output 2 2 2 12" xfId="43305"/>
    <cellStyle name="Output 2 2 2 2" xfId="43306"/>
    <cellStyle name="Output 2 2 2 2 10" xfId="43307"/>
    <cellStyle name="Output 2 2 2 2 2" xfId="43308"/>
    <cellStyle name="Output 2 2 2 2 2 2" xfId="43309"/>
    <cellStyle name="Output 2 2 2 2 2 2 2" xfId="43310"/>
    <cellStyle name="Output 2 2 2 2 2 2 2 2" xfId="43311"/>
    <cellStyle name="Output 2 2 2 2 2 2 2 2 2" xfId="43312"/>
    <cellStyle name="Output 2 2 2 2 2 2 2 2 2 2" xfId="43313"/>
    <cellStyle name="Output 2 2 2 2 2 2 2 2 3" xfId="43314"/>
    <cellStyle name="Output 2 2 2 2 2 2 2 2 3 2" xfId="43315"/>
    <cellStyle name="Output 2 2 2 2 2 2 2 2 4" xfId="43316"/>
    <cellStyle name="Output 2 2 2 2 2 2 2 2 5" xfId="43317"/>
    <cellStyle name="Output 2 2 2 2 2 2 2 2 6" xfId="43318"/>
    <cellStyle name="Output 2 2 2 2 2 2 2 3" xfId="43319"/>
    <cellStyle name="Output 2 2 2 2 2 2 2 3 2" xfId="43320"/>
    <cellStyle name="Output 2 2 2 2 2 2 2 4" xfId="43321"/>
    <cellStyle name="Output 2 2 2 2 2 2 2 4 2" xfId="43322"/>
    <cellStyle name="Output 2 2 2 2 2 2 2 5" xfId="43323"/>
    <cellStyle name="Output 2 2 2 2 2 2 2 6" xfId="43324"/>
    <cellStyle name="Output 2 2 2 2 2 2 2 7" xfId="43325"/>
    <cellStyle name="Output 2 2 2 2 2 2 3" xfId="43326"/>
    <cellStyle name="Output 2 2 2 2 2 2 3 2" xfId="43327"/>
    <cellStyle name="Output 2 2 2 2 2 2 3 2 2" xfId="43328"/>
    <cellStyle name="Output 2 2 2 2 2 2 3 3" xfId="43329"/>
    <cellStyle name="Output 2 2 2 2 2 2 3 3 2" xfId="43330"/>
    <cellStyle name="Output 2 2 2 2 2 2 3 4" xfId="43331"/>
    <cellStyle name="Output 2 2 2 2 2 2 3 5" xfId="43332"/>
    <cellStyle name="Output 2 2 2 2 2 2 3 6" xfId="43333"/>
    <cellStyle name="Output 2 2 2 2 2 2 4" xfId="43334"/>
    <cellStyle name="Output 2 2 2 2 2 2 4 2" xfId="43335"/>
    <cellStyle name="Output 2 2 2 2 2 2 5" xfId="43336"/>
    <cellStyle name="Output 2 2 2 2 2 2 5 2" xfId="43337"/>
    <cellStyle name="Output 2 2 2 2 2 2 6" xfId="43338"/>
    <cellStyle name="Output 2 2 2 2 2 2 7" xfId="43339"/>
    <cellStyle name="Output 2 2 2 2 2 2 8" xfId="43340"/>
    <cellStyle name="Output 2 2 2 2 2 3" xfId="43341"/>
    <cellStyle name="Output 2 2 2 2 2 3 2" xfId="43342"/>
    <cellStyle name="Output 2 2 2 2 2 3 2 2" xfId="43343"/>
    <cellStyle name="Output 2 2 2 2 2 3 2 2 2" xfId="43344"/>
    <cellStyle name="Output 2 2 2 2 2 3 2 3" xfId="43345"/>
    <cellStyle name="Output 2 2 2 2 2 3 2 3 2" xfId="43346"/>
    <cellStyle name="Output 2 2 2 2 2 3 2 4" xfId="43347"/>
    <cellStyle name="Output 2 2 2 2 2 3 2 5" xfId="43348"/>
    <cellStyle name="Output 2 2 2 2 2 3 2 6" xfId="43349"/>
    <cellStyle name="Output 2 2 2 2 2 3 3" xfId="43350"/>
    <cellStyle name="Output 2 2 2 2 2 3 3 2" xfId="43351"/>
    <cellStyle name="Output 2 2 2 2 2 3 4" xfId="43352"/>
    <cellStyle name="Output 2 2 2 2 2 3 4 2" xfId="43353"/>
    <cellStyle name="Output 2 2 2 2 2 3 5" xfId="43354"/>
    <cellStyle name="Output 2 2 2 2 2 3 6" xfId="43355"/>
    <cellStyle name="Output 2 2 2 2 2 3 7" xfId="43356"/>
    <cellStyle name="Output 2 2 2 2 2 4" xfId="43357"/>
    <cellStyle name="Output 2 2 2 2 2 4 2" xfId="43358"/>
    <cellStyle name="Output 2 2 2 2 2 4 2 2" xfId="43359"/>
    <cellStyle name="Output 2 2 2 2 2 4 3" xfId="43360"/>
    <cellStyle name="Output 2 2 2 2 2 4 3 2" xfId="43361"/>
    <cellStyle name="Output 2 2 2 2 2 4 4" xfId="43362"/>
    <cellStyle name="Output 2 2 2 2 2 4 5" xfId="43363"/>
    <cellStyle name="Output 2 2 2 2 2 4 6" xfId="43364"/>
    <cellStyle name="Output 2 2 2 2 2 5" xfId="43365"/>
    <cellStyle name="Output 2 2 2 2 2 5 2" xfId="43366"/>
    <cellStyle name="Output 2 2 2 2 2 6" xfId="43367"/>
    <cellStyle name="Output 2 2 2 2 2 6 2" xfId="43368"/>
    <cellStyle name="Output 2 2 2 2 2 7" xfId="43369"/>
    <cellStyle name="Output 2 2 2 2 2 8" xfId="43370"/>
    <cellStyle name="Output 2 2 2 2 2 9" xfId="43371"/>
    <cellStyle name="Output 2 2 2 2 3" xfId="43372"/>
    <cellStyle name="Output 2 2 2 2 3 2" xfId="43373"/>
    <cellStyle name="Output 2 2 2 2 3 2 2" xfId="43374"/>
    <cellStyle name="Output 2 2 2 2 3 2 2 2" xfId="43375"/>
    <cellStyle name="Output 2 2 2 2 3 2 2 2 2" xfId="43376"/>
    <cellStyle name="Output 2 2 2 2 3 2 2 3" xfId="43377"/>
    <cellStyle name="Output 2 2 2 2 3 2 2 3 2" xfId="43378"/>
    <cellStyle name="Output 2 2 2 2 3 2 2 4" xfId="43379"/>
    <cellStyle name="Output 2 2 2 2 3 2 2 5" xfId="43380"/>
    <cellStyle name="Output 2 2 2 2 3 2 2 6" xfId="43381"/>
    <cellStyle name="Output 2 2 2 2 3 2 3" xfId="43382"/>
    <cellStyle name="Output 2 2 2 2 3 2 3 2" xfId="43383"/>
    <cellStyle name="Output 2 2 2 2 3 2 4" xfId="43384"/>
    <cellStyle name="Output 2 2 2 2 3 2 4 2" xfId="43385"/>
    <cellStyle name="Output 2 2 2 2 3 2 5" xfId="43386"/>
    <cellStyle name="Output 2 2 2 2 3 2 6" xfId="43387"/>
    <cellStyle name="Output 2 2 2 2 3 2 7" xfId="43388"/>
    <cellStyle name="Output 2 2 2 2 3 3" xfId="43389"/>
    <cellStyle name="Output 2 2 2 2 3 3 2" xfId="43390"/>
    <cellStyle name="Output 2 2 2 2 3 3 2 2" xfId="43391"/>
    <cellStyle name="Output 2 2 2 2 3 3 3" xfId="43392"/>
    <cellStyle name="Output 2 2 2 2 3 3 3 2" xfId="43393"/>
    <cellStyle name="Output 2 2 2 2 3 3 4" xfId="43394"/>
    <cellStyle name="Output 2 2 2 2 3 3 5" xfId="43395"/>
    <cellStyle name="Output 2 2 2 2 3 3 6" xfId="43396"/>
    <cellStyle name="Output 2 2 2 2 3 4" xfId="43397"/>
    <cellStyle name="Output 2 2 2 2 3 4 2" xfId="43398"/>
    <cellStyle name="Output 2 2 2 2 3 5" xfId="43399"/>
    <cellStyle name="Output 2 2 2 2 3 5 2" xfId="43400"/>
    <cellStyle name="Output 2 2 2 2 3 6" xfId="43401"/>
    <cellStyle name="Output 2 2 2 2 3 7" xfId="43402"/>
    <cellStyle name="Output 2 2 2 2 3 8" xfId="43403"/>
    <cellStyle name="Output 2 2 2 2 4" xfId="43404"/>
    <cellStyle name="Output 2 2 2 2 4 2" xfId="43405"/>
    <cellStyle name="Output 2 2 2 2 4 2 2" xfId="43406"/>
    <cellStyle name="Output 2 2 2 2 4 2 2 2" xfId="43407"/>
    <cellStyle name="Output 2 2 2 2 4 2 3" xfId="43408"/>
    <cellStyle name="Output 2 2 2 2 4 2 3 2" xfId="43409"/>
    <cellStyle name="Output 2 2 2 2 4 2 4" xfId="43410"/>
    <cellStyle name="Output 2 2 2 2 4 2 5" xfId="43411"/>
    <cellStyle name="Output 2 2 2 2 4 2 6" xfId="43412"/>
    <cellStyle name="Output 2 2 2 2 4 3" xfId="43413"/>
    <cellStyle name="Output 2 2 2 2 4 3 2" xfId="43414"/>
    <cellStyle name="Output 2 2 2 2 4 4" xfId="43415"/>
    <cellStyle name="Output 2 2 2 2 4 4 2" xfId="43416"/>
    <cellStyle name="Output 2 2 2 2 4 5" xfId="43417"/>
    <cellStyle name="Output 2 2 2 2 4 6" xfId="43418"/>
    <cellStyle name="Output 2 2 2 2 4 7" xfId="43419"/>
    <cellStyle name="Output 2 2 2 2 5" xfId="43420"/>
    <cellStyle name="Output 2 2 2 2 5 2" xfId="43421"/>
    <cellStyle name="Output 2 2 2 2 5 2 2" xfId="43422"/>
    <cellStyle name="Output 2 2 2 2 5 3" xfId="43423"/>
    <cellStyle name="Output 2 2 2 2 5 3 2" xfId="43424"/>
    <cellStyle name="Output 2 2 2 2 5 4" xfId="43425"/>
    <cellStyle name="Output 2 2 2 2 5 5" xfId="43426"/>
    <cellStyle name="Output 2 2 2 2 5 6" xfId="43427"/>
    <cellStyle name="Output 2 2 2 2 6" xfId="43428"/>
    <cellStyle name="Output 2 2 2 2 6 2" xfId="43429"/>
    <cellStyle name="Output 2 2 2 2 7" xfId="43430"/>
    <cellStyle name="Output 2 2 2 2 7 2" xfId="43431"/>
    <cellStyle name="Output 2 2 2 2 8" xfId="43432"/>
    <cellStyle name="Output 2 2 2 2 9" xfId="43433"/>
    <cellStyle name="Output 2 2 2 3" xfId="43434"/>
    <cellStyle name="Output 2 2 2 3 2" xfId="43435"/>
    <cellStyle name="Output 2 2 2 3 2 2" xfId="43436"/>
    <cellStyle name="Output 2 2 2 3 2 2 2" xfId="43437"/>
    <cellStyle name="Output 2 2 2 3 2 2 2 2" xfId="43438"/>
    <cellStyle name="Output 2 2 2 3 2 2 2 2 2" xfId="43439"/>
    <cellStyle name="Output 2 2 2 3 2 2 2 3" xfId="43440"/>
    <cellStyle name="Output 2 2 2 3 2 2 2 3 2" xfId="43441"/>
    <cellStyle name="Output 2 2 2 3 2 2 2 4" xfId="43442"/>
    <cellStyle name="Output 2 2 2 3 2 2 2 5" xfId="43443"/>
    <cellStyle name="Output 2 2 2 3 2 2 2 6" xfId="43444"/>
    <cellStyle name="Output 2 2 2 3 2 2 3" xfId="43445"/>
    <cellStyle name="Output 2 2 2 3 2 2 3 2" xfId="43446"/>
    <cellStyle name="Output 2 2 2 3 2 2 4" xfId="43447"/>
    <cellStyle name="Output 2 2 2 3 2 2 4 2" xfId="43448"/>
    <cellStyle name="Output 2 2 2 3 2 2 5" xfId="43449"/>
    <cellStyle name="Output 2 2 2 3 2 2 6" xfId="43450"/>
    <cellStyle name="Output 2 2 2 3 2 2 7" xfId="43451"/>
    <cellStyle name="Output 2 2 2 3 2 3" xfId="43452"/>
    <cellStyle name="Output 2 2 2 3 2 3 2" xfId="43453"/>
    <cellStyle name="Output 2 2 2 3 2 3 2 2" xfId="43454"/>
    <cellStyle name="Output 2 2 2 3 2 3 3" xfId="43455"/>
    <cellStyle name="Output 2 2 2 3 2 3 3 2" xfId="43456"/>
    <cellStyle name="Output 2 2 2 3 2 3 4" xfId="43457"/>
    <cellStyle name="Output 2 2 2 3 2 3 5" xfId="43458"/>
    <cellStyle name="Output 2 2 2 3 2 3 6" xfId="43459"/>
    <cellStyle name="Output 2 2 2 3 2 4" xfId="43460"/>
    <cellStyle name="Output 2 2 2 3 2 4 2" xfId="43461"/>
    <cellStyle name="Output 2 2 2 3 2 5" xfId="43462"/>
    <cellStyle name="Output 2 2 2 3 2 5 2" xfId="43463"/>
    <cellStyle name="Output 2 2 2 3 2 6" xfId="43464"/>
    <cellStyle name="Output 2 2 2 3 2 7" xfId="43465"/>
    <cellStyle name="Output 2 2 2 3 2 8" xfId="43466"/>
    <cellStyle name="Output 2 2 2 3 3" xfId="43467"/>
    <cellStyle name="Output 2 2 2 3 3 2" xfId="43468"/>
    <cellStyle name="Output 2 2 2 3 3 2 2" xfId="43469"/>
    <cellStyle name="Output 2 2 2 3 3 2 2 2" xfId="43470"/>
    <cellStyle name="Output 2 2 2 3 3 2 3" xfId="43471"/>
    <cellStyle name="Output 2 2 2 3 3 2 3 2" xfId="43472"/>
    <cellStyle name="Output 2 2 2 3 3 2 4" xfId="43473"/>
    <cellStyle name="Output 2 2 2 3 3 2 5" xfId="43474"/>
    <cellStyle name="Output 2 2 2 3 3 2 6" xfId="43475"/>
    <cellStyle name="Output 2 2 2 3 3 3" xfId="43476"/>
    <cellStyle name="Output 2 2 2 3 3 3 2" xfId="43477"/>
    <cellStyle name="Output 2 2 2 3 3 4" xfId="43478"/>
    <cellStyle name="Output 2 2 2 3 3 4 2" xfId="43479"/>
    <cellStyle name="Output 2 2 2 3 3 5" xfId="43480"/>
    <cellStyle name="Output 2 2 2 3 3 6" xfId="43481"/>
    <cellStyle name="Output 2 2 2 3 3 7" xfId="43482"/>
    <cellStyle name="Output 2 2 2 3 4" xfId="43483"/>
    <cellStyle name="Output 2 2 2 3 4 2" xfId="43484"/>
    <cellStyle name="Output 2 2 2 3 4 2 2" xfId="43485"/>
    <cellStyle name="Output 2 2 2 3 4 3" xfId="43486"/>
    <cellStyle name="Output 2 2 2 3 4 3 2" xfId="43487"/>
    <cellStyle name="Output 2 2 2 3 4 4" xfId="43488"/>
    <cellStyle name="Output 2 2 2 3 4 5" xfId="43489"/>
    <cellStyle name="Output 2 2 2 3 4 6" xfId="43490"/>
    <cellStyle name="Output 2 2 2 3 5" xfId="43491"/>
    <cellStyle name="Output 2 2 2 3 5 2" xfId="43492"/>
    <cellStyle name="Output 2 2 2 3 6" xfId="43493"/>
    <cellStyle name="Output 2 2 2 3 6 2" xfId="43494"/>
    <cellStyle name="Output 2 2 2 3 7" xfId="43495"/>
    <cellStyle name="Output 2 2 2 3 8" xfId="43496"/>
    <cellStyle name="Output 2 2 2 3 9" xfId="43497"/>
    <cellStyle name="Output 2 2 2 4" xfId="43498"/>
    <cellStyle name="Output 2 2 2 4 10" xfId="43499"/>
    <cellStyle name="Output 2 2 2 4 2" xfId="43500"/>
    <cellStyle name="Output 2 2 2 4 2 2" xfId="43501"/>
    <cellStyle name="Output 2 2 2 4 2 2 2" xfId="43502"/>
    <cellStyle name="Output 2 2 2 4 2 2 2 2" xfId="43503"/>
    <cellStyle name="Output 2 2 2 4 2 2 2 2 2" xfId="43504"/>
    <cellStyle name="Output 2 2 2 4 2 2 2 2 2 2" xfId="43505"/>
    <cellStyle name="Output 2 2 2 4 2 2 2 2 3" xfId="43506"/>
    <cellStyle name="Output 2 2 2 4 2 2 2 2 3 2" xfId="43507"/>
    <cellStyle name="Output 2 2 2 4 2 2 2 2 4" xfId="43508"/>
    <cellStyle name="Output 2 2 2 4 2 2 2 2 5" xfId="43509"/>
    <cellStyle name="Output 2 2 2 4 2 2 2 2 6" xfId="43510"/>
    <cellStyle name="Output 2 2 2 4 2 2 2 3" xfId="43511"/>
    <cellStyle name="Output 2 2 2 4 2 2 2 3 2" xfId="43512"/>
    <cellStyle name="Output 2 2 2 4 2 2 2 4" xfId="43513"/>
    <cellStyle name="Output 2 2 2 4 2 2 2 4 2" xfId="43514"/>
    <cellStyle name="Output 2 2 2 4 2 2 2 5" xfId="43515"/>
    <cellStyle name="Output 2 2 2 4 2 2 2 6" xfId="43516"/>
    <cellStyle name="Output 2 2 2 4 2 2 2 7" xfId="43517"/>
    <cellStyle name="Output 2 2 2 4 2 2 3" xfId="43518"/>
    <cellStyle name="Output 2 2 2 4 2 2 3 2" xfId="43519"/>
    <cellStyle name="Output 2 2 2 4 2 2 3 2 2" xfId="43520"/>
    <cellStyle name="Output 2 2 2 4 2 2 3 3" xfId="43521"/>
    <cellStyle name="Output 2 2 2 4 2 2 3 3 2" xfId="43522"/>
    <cellStyle name="Output 2 2 2 4 2 2 3 4" xfId="43523"/>
    <cellStyle name="Output 2 2 2 4 2 2 3 5" xfId="43524"/>
    <cellStyle name="Output 2 2 2 4 2 2 3 6" xfId="43525"/>
    <cellStyle name="Output 2 2 2 4 2 2 4" xfId="43526"/>
    <cellStyle name="Output 2 2 2 4 2 2 4 2" xfId="43527"/>
    <cellStyle name="Output 2 2 2 4 2 2 5" xfId="43528"/>
    <cellStyle name="Output 2 2 2 4 2 2 5 2" xfId="43529"/>
    <cellStyle name="Output 2 2 2 4 2 2 6" xfId="43530"/>
    <cellStyle name="Output 2 2 2 4 2 2 7" xfId="43531"/>
    <cellStyle name="Output 2 2 2 4 2 2 8" xfId="43532"/>
    <cellStyle name="Output 2 2 2 4 2 3" xfId="43533"/>
    <cellStyle name="Output 2 2 2 4 2 3 2" xfId="43534"/>
    <cellStyle name="Output 2 2 2 4 2 3 2 2" xfId="43535"/>
    <cellStyle name="Output 2 2 2 4 2 3 2 2 2" xfId="43536"/>
    <cellStyle name="Output 2 2 2 4 2 3 2 3" xfId="43537"/>
    <cellStyle name="Output 2 2 2 4 2 3 2 3 2" xfId="43538"/>
    <cellStyle name="Output 2 2 2 4 2 3 2 4" xfId="43539"/>
    <cellStyle name="Output 2 2 2 4 2 3 2 5" xfId="43540"/>
    <cellStyle name="Output 2 2 2 4 2 3 2 6" xfId="43541"/>
    <cellStyle name="Output 2 2 2 4 2 3 3" xfId="43542"/>
    <cellStyle name="Output 2 2 2 4 2 3 3 2" xfId="43543"/>
    <cellStyle name="Output 2 2 2 4 2 3 4" xfId="43544"/>
    <cellStyle name="Output 2 2 2 4 2 3 4 2" xfId="43545"/>
    <cellStyle name="Output 2 2 2 4 2 3 5" xfId="43546"/>
    <cellStyle name="Output 2 2 2 4 2 3 6" xfId="43547"/>
    <cellStyle name="Output 2 2 2 4 2 3 7" xfId="43548"/>
    <cellStyle name="Output 2 2 2 4 2 4" xfId="43549"/>
    <cellStyle name="Output 2 2 2 4 2 4 2" xfId="43550"/>
    <cellStyle name="Output 2 2 2 4 2 4 2 2" xfId="43551"/>
    <cellStyle name="Output 2 2 2 4 2 4 3" xfId="43552"/>
    <cellStyle name="Output 2 2 2 4 2 4 3 2" xfId="43553"/>
    <cellStyle name="Output 2 2 2 4 2 4 4" xfId="43554"/>
    <cellStyle name="Output 2 2 2 4 2 4 5" xfId="43555"/>
    <cellStyle name="Output 2 2 2 4 2 4 6" xfId="43556"/>
    <cellStyle name="Output 2 2 2 4 2 5" xfId="43557"/>
    <cellStyle name="Output 2 2 2 4 2 5 2" xfId="43558"/>
    <cellStyle name="Output 2 2 2 4 2 6" xfId="43559"/>
    <cellStyle name="Output 2 2 2 4 2 6 2" xfId="43560"/>
    <cellStyle name="Output 2 2 2 4 2 7" xfId="43561"/>
    <cellStyle name="Output 2 2 2 4 2 8" xfId="43562"/>
    <cellStyle name="Output 2 2 2 4 2 9" xfId="43563"/>
    <cellStyle name="Output 2 2 2 4 3" xfId="43564"/>
    <cellStyle name="Output 2 2 2 4 3 2" xfId="43565"/>
    <cellStyle name="Output 2 2 2 4 3 2 2" xfId="43566"/>
    <cellStyle name="Output 2 2 2 4 3 2 2 2" xfId="43567"/>
    <cellStyle name="Output 2 2 2 4 3 2 2 2 2" xfId="43568"/>
    <cellStyle name="Output 2 2 2 4 3 2 2 3" xfId="43569"/>
    <cellStyle name="Output 2 2 2 4 3 2 2 3 2" xfId="43570"/>
    <cellStyle name="Output 2 2 2 4 3 2 2 4" xfId="43571"/>
    <cellStyle name="Output 2 2 2 4 3 2 2 5" xfId="43572"/>
    <cellStyle name="Output 2 2 2 4 3 2 2 6" xfId="43573"/>
    <cellStyle name="Output 2 2 2 4 3 2 3" xfId="43574"/>
    <cellStyle name="Output 2 2 2 4 3 2 3 2" xfId="43575"/>
    <cellStyle name="Output 2 2 2 4 3 2 4" xfId="43576"/>
    <cellStyle name="Output 2 2 2 4 3 2 4 2" xfId="43577"/>
    <cellStyle name="Output 2 2 2 4 3 2 5" xfId="43578"/>
    <cellStyle name="Output 2 2 2 4 3 2 6" xfId="43579"/>
    <cellStyle name="Output 2 2 2 4 3 2 7" xfId="43580"/>
    <cellStyle name="Output 2 2 2 4 3 3" xfId="43581"/>
    <cellStyle name="Output 2 2 2 4 3 3 2" xfId="43582"/>
    <cellStyle name="Output 2 2 2 4 3 3 2 2" xfId="43583"/>
    <cellStyle name="Output 2 2 2 4 3 3 3" xfId="43584"/>
    <cellStyle name="Output 2 2 2 4 3 3 3 2" xfId="43585"/>
    <cellStyle name="Output 2 2 2 4 3 3 4" xfId="43586"/>
    <cellStyle name="Output 2 2 2 4 3 3 5" xfId="43587"/>
    <cellStyle name="Output 2 2 2 4 3 3 6" xfId="43588"/>
    <cellStyle name="Output 2 2 2 4 3 4" xfId="43589"/>
    <cellStyle name="Output 2 2 2 4 3 4 2" xfId="43590"/>
    <cellStyle name="Output 2 2 2 4 3 5" xfId="43591"/>
    <cellStyle name="Output 2 2 2 4 3 5 2" xfId="43592"/>
    <cellStyle name="Output 2 2 2 4 3 6" xfId="43593"/>
    <cellStyle name="Output 2 2 2 4 3 7" xfId="43594"/>
    <cellStyle name="Output 2 2 2 4 3 8" xfId="43595"/>
    <cellStyle name="Output 2 2 2 4 4" xfId="43596"/>
    <cellStyle name="Output 2 2 2 4 4 2" xfId="43597"/>
    <cellStyle name="Output 2 2 2 4 4 2 2" xfId="43598"/>
    <cellStyle name="Output 2 2 2 4 4 2 2 2" xfId="43599"/>
    <cellStyle name="Output 2 2 2 4 4 2 3" xfId="43600"/>
    <cellStyle name="Output 2 2 2 4 4 2 3 2" xfId="43601"/>
    <cellStyle name="Output 2 2 2 4 4 2 4" xfId="43602"/>
    <cellStyle name="Output 2 2 2 4 4 2 5" xfId="43603"/>
    <cellStyle name="Output 2 2 2 4 4 2 6" xfId="43604"/>
    <cellStyle name="Output 2 2 2 4 4 3" xfId="43605"/>
    <cellStyle name="Output 2 2 2 4 4 3 2" xfId="43606"/>
    <cellStyle name="Output 2 2 2 4 4 4" xfId="43607"/>
    <cellStyle name="Output 2 2 2 4 4 4 2" xfId="43608"/>
    <cellStyle name="Output 2 2 2 4 4 5" xfId="43609"/>
    <cellStyle name="Output 2 2 2 4 4 6" xfId="43610"/>
    <cellStyle name="Output 2 2 2 4 4 7" xfId="43611"/>
    <cellStyle name="Output 2 2 2 4 5" xfId="43612"/>
    <cellStyle name="Output 2 2 2 4 5 2" xfId="43613"/>
    <cellStyle name="Output 2 2 2 4 5 2 2" xfId="43614"/>
    <cellStyle name="Output 2 2 2 4 5 3" xfId="43615"/>
    <cellStyle name="Output 2 2 2 4 5 3 2" xfId="43616"/>
    <cellStyle name="Output 2 2 2 4 5 4" xfId="43617"/>
    <cellStyle name="Output 2 2 2 4 5 5" xfId="43618"/>
    <cellStyle name="Output 2 2 2 4 5 6" xfId="43619"/>
    <cellStyle name="Output 2 2 2 4 6" xfId="43620"/>
    <cellStyle name="Output 2 2 2 4 6 2" xfId="43621"/>
    <cellStyle name="Output 2 2 2 4 7" xfId="43622"/>
    <cellStyle name="Output 2 2 2 4 7 2" xfId="43623"/>
    <cellStyle name="Output 2 2 2 4 8" xfId="43624"/>
    <cellStyle name="Output 2 2 2 4 9" xfId="43625"/>
    <cellStyle name="Output 2 2 2 5" xfId="43626"/>
    <cellStyle name="Output 2 2 2 5 2" xfId="43627"/>
    <cellStyle name="Output 2 2 2 5 2 2" xfId="43628"/>
    <cellStyle name="Output 2 2 2 5 2 2 2" xfId="43629"/>
    <cellStyle name="Output 2 2 2 5 2 2 2 2" xfId="43630"/>
    <cellStyle name="Output 2 2 2 5 2 2 3" xfId="43631"/>
    <cellStyle name="Output 2 2 2 5 2 2 3 2" xfId="43632"/>
    <cellStyle name="Output 2 2 2 5 2 2 4" xfId="43633"/>
    <cellStyle name="Output 2 2 2 5 2 2 5" xfId="43634"/>
    <cellStyle name="Output 2 2 2 5 2 2 6" xfId="43635"/>
    <cellStyle name="Output 2 2 2 5 2 3" xfId="43636"/>
    <cellStyle name="Output 2 2 2 5 2 3 2" xfId="43637"/>
    <cellStyle name="Output 2 2 2 5 2 4" xfId="43638"/>
    <cellStyle name="Output 2 2 2 5 2 4 2" xfId="43639"/>
    <cellStyle name="Output 2 2 2 5 2 5" xfId="43640"/>
    <cellStyle name="Output 2 2 2 5 2 6" xfId="43641"/>
    <cellStyle name="Output 2 2 2 5 2 7" xfId="43642"/>
    <cellStyle name="Output 2 2 2 5 3" xfId="43643"/>
    <cellStyle name="Output 2 2 2 5 3 2" xfId="43644"/>
    <cellStyle name="Output 2 2 2 5 3 2 2" xfId="43645"/>
    <cellStyle name="Output 2 2 2 5 3 3" xfId="43646"/>
    <cellStyle name="Output 2 2 2 5 3 3 2" xfId="43647"/>
    <cellStyle name="Output 2 2 2 5 3 4" xfId="43648"/>
    <cellStyle name="Output 2 2 2 5 3 5" xfId="43649"/>
    <cellStyle name="Output 2 2 2 5 3 6" xfId="43650"/>
    <cellStyle name="Output 2 2 2 5 4" xfId="43651"/>
    <cellStyle name="Output 2 2 2 5 4 2" xfId="43652"/>
    <cellStyle name="Output 2 2 2 5 5" xfId="43653"/>
    <cellStyle name="Output 2 2 2 5 5 2" xfId="43654"/>
    <cellStyle name="Output 2 2 2 5 6" xfId="43655"/>
    <cellStyle name="Output 2 2 2 5 7" xfId="43656"/>
    <cellStyle name="Output 2 2 2 5 8" xfId="43657"/>
    <cellStyle name="Output 2 2 2 6" xfId="43658"/>
    <cellStyle name="Output 2 2 2 6 2" xfId="43659"/>
    <cellStyle name="Output 2 2 2 6 2 2" xfId="43660"/>
    <cellStyle name="Output 2 2 2 6 2 2 2" xfId="43661"/>
    <cellStyle name="Output 2 2 2 6 2 3" xfId="43662"/>
    <cellStyle name="Output 2 2 2 6 2 3 2" xfId="43663"/>
    <cellStyle name="Output 2 2 2 6 2 4" xfId="43664"/>
    <cellStyle name="Output 2 2 2 6 2 5" xfId="43665"/>
    <cellStyle name="Output 2 2 2 6 2 6" xfId="43666"/>
    <cellStyle name="Output 2 2 2 6 3" xfId="43667"/>
    <cellStyle name="Output 2 2 2 6 3 2" xfId="43668"/>
    <cellStyle name="Output 2 2 2 6 4" xfId="43669"/>
    <cellStyle name="Output 2 2 2 6 4 2" xfId="43670"/>
    <cellStyle name="Output 2 2 2 6 5" xfId="43671"/>
    <cellStyle name="Output 2 2 2 6 6" xfId="43672"/>
    <cellStyle name="Output 2 2 2 6 7" xfId="43673"/>
    <cellStyle name="Output 2 2 2 7" xfId="43674"/>
    <cellStyle name="Output 2 2 2 7 2" xfId="43675"/>
    <cellStyle name="Output 2 2 2 7 2 2" xfId="43676"/>
    <cellStyle name="Output 2 2 2 7 3" xfId="43677"/>
    <cellStyle name="Output 2 2 2 7 3 2" xfId="43678"/>
    <cellStyle name="Output 2 2 2 7 4" xfId="43679"/>
    <cellStyle name="Output 2 2 2 7 5" xfId="43680"/>
    <cellStyle name="Output 2 2 2 7 6" xfId="43681"/>
    <cellStyle name="Output 2 2 2 8" xfId="43682"/>
    <cellStyle name="Output 2 2 2 8 2" xfId="43683"/>
    <cellStyle name="Output 2 2 2 9" xfId="43684"/>
    <cellStyle name="Output 2 2 2 9 2" xfId="43685"/>
    <cellStyle name="Output 2 2 3" xfId="43686"/>
    <cellStyle name="Output 2 2 3 10" xfId="43687"/>
    <cellStyle name="Output 2 2 3 11" xfId="43688"/>
    <cellStyle name="Output 2 2 3 12" xfId="43689"/>
    <cellStyle name="Output 2 2 3 2" xfId="43690"/>
    <cellStyle name="Output 2 2 3 2 10" xfId="43691"/>
    <cellStyle name="Output 2 2 3 2 2" xfId="43692"/>
    <cellStyle name="Output 2 2 3 2 2 2" xfId="43693"/>
    <cellStyle name="Output 2 2 3 2 2 2 2" xfId="43694"/>
    <cellStyle name="Output 2 2 3 2 2 2 2 2" xfId="43695"/>
    <cellStyle name="Output 2 2 3 2 2 2 2 2 2" xfId="43696"/>
    <cellStyle name="Output 2 2 3 2 2 2 2 2 2 2" xfId="43697"/>
    <cellStyle name="Output 2 2 3 2 2 2 2 2 3" xfId="43698"/>
    <cellStyle name="Output 2 2 3 2 2 2 2 2 3 2" xfId="43699"/>
    <cellStyle name="Output 2 2 3 2 2 2 2 2 4" xfId="43700"/>
    <cellStyle name="Output 2 2 3 2 2 2 2 2 5" xfId="43701"/>
    <cellStyle name="Output 2 2 3 2 2 2 2 2 6" xfId="43702"/>
    <cellStyle name="Output 2 2 3 2 2 2 2 3" xfId="43703"/>
    <cellStyle name="Output 2 2 3 2 2 2 2 3 2" xfId="43704"/>
    <cellStyle name="Output 2 2 3 2 2 2 2 4" xfId="43705"/>
    <cellStyle name="Output 2 2 3 2 2 2 2 4 2" xfId="43706"/>
    <cellStyle name="Output 2 2 3 2 2 2 2 5" xfId="43707"/>
    <cellStyle name="Output 2 2 3 2 2 2 2 6" xfId="43708"/>
    <cellStyle name="Output 2 2 3 2 2 2 2 7" xfId="43709"/>
    <cellStyle name="Output 2 2 3 2 2 2 3" xfId="43710"/>
    <cellStyle name="Output 2 2 3 2 2 2 3 2" xfId="43711"/>
    <cellStyle name="Output 2 2 3 2 2 2 3 2 2" xfId="43712"/>
    <cellStyle name="Output 2 2 3 2 2 2 3 3" xfId="43713"/>
    <cellStyle name="Output 2 2 3 2 2 2 3 3 2" xfId="43714"/>
    <cellStyle name="Output 2 2 3 2 2 2 3 4" xfId="43715"/>
    <cellStyle name="Output 2 2 3 2 2 2 3 5" xfId="43716"/>
    <cellStyle name="Output 2 2 3 2 2 2 3 6" xfId="43717"/>
    <cellStyle name="Output 2 2 3 2 2 2 4" xfId="43718"/>
    <cellStyle name="Output 2 2 3 2 2 2 4 2" xfId="43719"/>
    <cellStyle name="Output 2 2 3 2 2 2 5" xfId="43720"/>
    <cellStyle name="Output 2 2 3 2 2 2 5 2" xfId="43721"/>
    <cellStyle name="Output 2 2 3 2 2 2 6" xfId="43722"/>
    <cellStyle name="Output 2 2 3 2 2 2 7" xfId="43723"/>
    <cellStyle name="Output 2 2 3 2 2 2 8" xfId="43724"/>
    <cellStyle name="Output 2 2 3 2 2 3" xfId="43725"/>
    <cellStyle name="Output 2 2 3 2 2 3 2" xfId="43726"/>
    <cellStyle name="Output 2 2 3 2 2 3 2 2" xfId="43727"/>
    <cellStyle name="Output 2 2 3 2 2 3 2 2 2" xfId="43728"/>
    <cellStyle name="Output 2 2 3 2 2 3 2 3" xfId="43729"/>
    <cellStyle name="Output 2 2 3 2 2 3 2 3 2" xfId="43730"/>
    <cellStyle name="Output 2 2 3 2 2 3 2 4" xfId="43731"/>
    <cellStyle name="Output 2 2 3 2 2 3 2 5" xfId="43732"/>
    <cellStyle name="Output 2 2 3 2 2 3 2 6" xfId="43733"/>
    <cellStyle name="Output 2 2 3 2 2 3 3" xfId="43734"/>
    <cellStyle name="Output 2 2 3 2 2 3 3 2" xfId="43735"/>
    <cellStyle name="Output 2 2 3 2 2 3 4" xfId="43736"/>
    <cellStyle name="Output 2 2 3 2 2 3 4 2" xfId="43737"/>
    <cellStyle name="Output 2 2 3 2 2 3 5" xfId="43738"/>
    <cellStyle name="Output 2 2 3 2 2 3 6" xfId="43739"/>
    <cellStyle name="Output 2 2 3 2 2 3 7" xfId="43740"/>
    <cellStyle name="Output 2 2 3 2 2 4" xfId="43741"/>
    <cellStyle name="Output 2 2 3 2 2 4 2" xfId="43742"/>
    <cellStyle name="Output 2 2 3 2 2 4 2 2" xfId="43743"/>
    <cellStyle name="Output 2 2 3 2 2 4 3" xfId="43744"/>
    <cellStyle name="Output 2 2 3 2 2 4 3 2" xfId="43745"/>
    <cellStyle name="Output 2 2 3 2 2 4 4" xfId="43746"/>
    <cellStyle name="Output 2 2 3 2 2 4 5" xfId="43747"/>
    <cellStyle name="Output 2 2 3 2 2 4 6" xfId="43748"/>
    <cellStyle name="Output 2 2 3 2 2 5" xfId="43749"/>
    <cellStyle name="Output 2 2 3 2 2 5 2" xfId="43750"/>
    <cellStyle name="Output 2 2 3 2 2 6" xfId="43751"/>
    <cellStyle name="Output 2 2 3 2 2 6 2" xfId="43752"/>
    <cellStyle name="Output 2 2 3 2 2 7" xfId="43753"/>
    <cellStyle name="Output 2 2 3 2 2 8" xfId="43754"/>
    <cellStyle name="Output 2 2 3 2 2 9" xfId="43755"/>
    <cellStyle name="Output 2 2 3 2 3" xfId="43756"/>
    <cellStyle name="Output 2 2 3 2 3 2" xfId="43757"/>
    <cellStyle name="Output 2 2 3 2 3 2 2" xfId="43758"/>
    <cellStyle name="Output 2 2 3 2 3 2 2 2" xfId="43759"/>
    <cellStyle name="Output 2 2 3 2 3 2 2 2 2" xfId="43760"/>
    <cellStyle name="Output 2 2 3 2 3 2 2 3" xfId="43761"/>
    <cellStyle name="Output 2 2 3 2 3 2 2 3 2" xfId="43762"/>
    <cellStyle name="Output 2 2 3 2 3 2 2 4" xfId="43763"/>
    <cellStyle name="Output 2 2 3 2 3 2 2 5" xfId="43764"/>
    <cellStyle name="Output 2 2 3 2 3 2 2 6" xfId="43765"/>
    <cellStyle name="Output 2 2 3 2 3 2 3" xfId="43766"/>
    <cellStyle name="Output 2 2 3 2 3 2 3 2" xfId="43767"/>
    <cellStyle name="Output 2 2 3 2 3 2 4" xfId="43768"/>
    <cellStyle name="Output 2 2 3 2 3 2 4 2" xfId="43769"/>
    <cellStyle name="Output 2 2 3 2 3 2 5" xfId="43770"/>
    <cellStyle name="Output 2 2 3 2 3 2 6" xfId="43771"/>
    <cellStyle name="Output 2 2 3 2 3 2 7" xfId="43772"/>
    <cellStyle name="Output 2 2 3 2 3 3" xfId="43773"/>
    <cellStyle name="Output 2 2 3 2 3 3 2" xfId="43774"/>
    <cellStyle name="Output 2 2 3 2 3 3 2 2" xfId="43775"/>
    <cellStyle name="Output 2 2 3 2 3 3 3" xfId="43776"/>
    <cellStyle name="Output 2 2 3 2 3 3 3 2" xfId="43777"/>
    <cellStyle name="Output 2 2 3 2 3 3 4" xfId="43778"/>
    <cellStyle name="Output 2 2 3 2 3 3 5" xfId="43779"/>
    <cellStyle name="Output 2 2 3 2 3 3 6" xfId="43780"/>
    <cellStyle name="Output 2 2 3 2 3 4" xfId="43781"/>
    <cellStyle name="Output 2 2 3 2 3 4 2" xfId="43782"/>
    <cellStyle name="Output 2 2 3 2 3 5" xfId="43783"/>
    <cellStyle name="Output 2 2 3 2 3 5 2" xfId="43784"/>
    <cellStyle name="Output 2 2 3 2 3 6" xfId="43785"/>
    <cellStyle name="Output 2 2 3 2 3 7" xfId="43786"/>
    <cellStyle name="Output 2 2 3 2 3 8" xfId="43787"/>
    <cellStyle name="Output 2 2 3 2 4" xfId="43788"/>
    <cellStyle name="Output 2 2 3 2 4 2" xfId="43789"/>
    <cellStyle name="Output 2 2 3 2 4 2 2" xfId="43790"/>
    <cellStyle name="Output 2 2 3 2 4 2 2 2" xfId="43791"/>
    <cellStyle name="Output 2 2 3 2 4 2 3" xfId="43792"/>
    <cellStyle name="Output 2 2 3 2 4 2 3 2" xfId="43793"/>
    <cellStyle name="Output 2 2 3 2 4 2 4" xfId="43794"/>
    <cellStyle name="Output 2 2 3 2 4 2 5" xfId="43795"/>
    <cellStyle name="Output 2 2 3 2 4 2 6" xfId="43796"/>
    <cellStyle name="Output 2 2 3 2 4 3" xfId="43797"/>
    <cellStyle name="Output 2 2 3 2 4 3 2" xfId="43798"/>
    <cellStyle name="Output 2 2 3 2 4 4" xfId="43799"/>
    <cellStyle name="Output 2 2 3 2 4 4 2" xfId="43800"/>
    <cellStyle name="Output 2 2 3 2 4 5" xfId="43801"/>
    <cellStyle name="Output 2 2 3 2 4 6" xfId="43802"/>
    <cellStyle name="Output 2 2 3 2 4 7" xfId="43803"/>
    <cellStyle name="Output 2 2 3 2 5" xfId="43804"/>
    <cellStyle name="Output 2 2 3 2 5 2" xfId="43805"/>
    <cellStyle name="Output 2 2 3 2 5 2 2" xfId="43806"/>
    <cellStyle name="Output 2 2 3 2 5 3" xfId="43807"/>
    <cellStyle name="Output 2 2 3 2 5 3 2" xfId="43808"/>
    <cellStyle name="Output 2 2 3 2 5 4" xfId="43809"/>
    <cellStyle name="Output 2 2 3 2 5 5" xfId="43810"/>
    <cellStyle name="Output 2 2 3 2 5 6" xfId="43811"/>
    <cellStyle name="Output 2 2 3 2 6" xfId="43812"/>
    <cellStyle name="Output 2 2 3 2 6 2" xfId="43813"/>
    <cellStyle name="Output 2 2 3 2 7" xfId="43814"/>
    <cellStyle name="Output 2 2 3 2 7 2" xfId="43815"/>
    <cellStyle name="Output 2 2 3 2 8" xfId="43816"/>
    <cellStyle name="Output 2 2 3 2 9" xfId="43817"/>
    <cellStyle name="Output 2 2 3 3" xfId="43818"/>
    <cellStyle name="Output 2 2 3 3 2" xfId="43819"/>
    <cellStyle name="Output 2 2 3 3 2 2" xfId="43820"/>
    <cellStyle name="Output 2 2 3 3 2 2 2" xfId="43821"/>
    <cellStyle name="Output 2 2 3 3 2 2 2 2" xfId="43822"/>
    <cellStyle name="Output 2 2 3 3 2 2 2 2 2" xfId="43823"/>
    <cellStyle name="Output 2 2 3 3 2 2 2 3" xfId="43824"/>
    <cellStyle name="Output 2 2 3 3 2 2 2 3 2" xfId="43825"/>
    <cellStyle name="Output 2 2 3 3 2 2 2 4" xfId="43826"/>
    <cellStyle name="Output 2 2 3 3 2 2 2 5" xfId="43827"/>
    <cellStyle name="Output 2 2 3 3 2 2 2 6" xfId="43828"/>
    <cellStyle name="Output 2 2 3 3 2 2 3" xfId="43829"/>
    <cellStyle name="Output 2 2 3 3 2 2 3 2" xfId="43830"/>
    <cellStyle name="Output 2 2 3 3 2 2 4" xfId="43831"/>
    <cellStyle name="Output 2 2 3 3 2 2 4 2" xfId="43832"/>
    <cellStyle name="Output 2 2 3 3 2 2 5" xfId="43833"/>
    <cellStyle name="Output 2 2 3 3 2 2 6" xfId="43834"/>
    <cellStyle name="Output 2 2 3 3 2 2 7" xfId="43835"/>
    <cellStyle name="Output 2 2 3 3 2 3" xfId="43836"/>
    <cellStyle name="Output 2 2 3 3 2 3 2" xfId="43837"/>
    <cellStyle name="Output 2 2 3 3 2 3 2 2" xfId="43838"/>
    <cellStyle name="Output 2 2 3 3 2 3 3" xfId="43839"/>
    <cellStyle name="Output 2 2 3 3 2 3 3 2" xfId="43840"/>
    <cellStyle name="Output 2 2 3 3 2 3 4" xfId="43841"/>
    <cellStyle name="Output 2 2 3 3 2 3 5" xfId="43842"/>
    <cellStyle name="Output 2 2 3 3 2 3 6" xfId="43843"/>
    <cellStyle name="Output 2 2 3 3 2 4" xfId="43844"/>
    <cellStyle name="Output 2 2 3 3 2 4 2" xfId="43845"/>
    <cellStyle name="Output 2 2 3 3 2 5" xfId="43846"/>
    <cellStyle name="Output 2 2 3 3 2 5 2" xfId="43847"/>
    <cellStyle name="Output 2 2 3 3 2 6" xfId="43848"/>
    <cellStyle name="Output 2 2 3 3 2 7" xfId="43849"/>
    <cellStyle name="Output 2 2 3 3 2 8" xfId="43850"/>
    <cellStyle name="Output 2 2 3 3 3" xfId="43851"/>
    <cellStyle name="Output 2 2 3 3 3 2" xfId="43852"/>
    <cellStyle name="Output 2 2 3 3 3 2 2" xfId="43853"/>
    <cellStyle name="Output 2 2 3 3 3 2 2 2" xfId="43854"/>
    <cellStyle name="Output 2 2 3 3 3 2 3" xfId="43855"/>
    <cellStyle name="Output 2 2 3 3 3 2 3 2" xfId="43856"/>
    <cellStyle name="Output 2 2 3 3 3 2 4" xfId="43857"/>
    <cellStyle name="Output 2 2 3 3 3 2 5" xfId="43858"/>
    <cellStyle name="Output 2 2 3 3 3 2 6" xfId="43859"/>
    <cellStyle name="Output 2 2 3 3 3 3" xfId="43860"/>
    <cellStyle name="Output 2 2 3 3 3 3 2" xfId="43861"/>
    <cellStyle name="Output 2 2 3 3 3 4" xfId="43862"/>
    <cellStyle name="Output 2 2 3 3 3 4 2" xfId="43863"/>
    <cellStyle name="Output 2 2 3 3 3 5" xfId="43864"/>
    <cellStyle name="Output 2 2 3 3 3 6" xfId="43865"/>
    <cellStyle name="Output 2 2 3 3 3 7" xfId="43866"/>
    <cellStyle name="Output 2 2 3 3 4" xfId="43867"/>
    <cellStyle name="Output 2 2 3 3 4 2" xfId="43868"/>
    <cellStyle name="Output 2 2 3 3 4 2 2" xfId="43869"/>
    <cellStyle name="Output 2 2 3 3 4 3" xfId="43870"/>
    <cellStyle name="Output 2 2 3 3 4 3 2" xfId="43871"/>
    <cellStyle name="Output 2 2 3 3 4 4" xfId="43872"/>
    <cellStyle name="Output 2 2 3 3 4 5" xfId="43873"/>
    <cellStyle name="Output 2 2 3 3 4 6" xfId="43874"/>
    <cellStyle name="Output 2 2 3 3 5" xfId="43875"/>
    <cellStyle name="Output 2 2 3 3 5 2" xfId="43876"/>
    <cellStyle name="Output 2 2 3 3 6" xfId="43877"/>
    <cellStyle name="Output 2 2 3 3 6 2" xfId="43878"/>
    <cellStyle name="Output 2 2 3 3 7" xfId="43879"/>
    <cellStyle name="Output 2 2 3 3 8" xfId="43880"/>
    <cellStyle name="Output 2 2 3 3 9" xfId="43881"/>
    <cellStyle name="Output 2 2 3 4" xfId="43882"/>
    <cellStyle name="Output 2 2 3 4 10" xfId="43883"/>
    <cellStyle name="Output 2 2 3 4 2" xfId="43884"/>
    <cellStyle name="Output 2 2 3 4 2 2" xfId="43885"/>
    <cellStyle name="Output 2 2 3 4 2 2 2" xfId="43886"/>
    <cellStyle name="Output 2 2 3 4 2 2 2 2" xfId="43887"/>
    <cellStyle name="Output 2 2 3 4 2 2 2 2 2" xfId="43888"/>
    <cellStyle name="Output 2 2 3 4 2 2 2 2 2 2" xfId="43889"/>
    <cellStyle name="Output 2 2 3 4 2 2 2 2 3" xfId="43890"/>
    <cellStyle name="Output 2 2 3 4 2 2 2 2 3 2" xfId="43891"/>
    <cellStyle name="Output 2 2 3 4 2 2 2 2 4" xfId="43892"/>
    <cellStyle name="Output 2 2 3 4 2 2 2 2 5" xfId="43893"/>
    <cellStyle name="Output 2 2 3 4 2 2 2 2 6" xfId="43894"/>
    <cellStyle name="Output 2 2 3 4 2 2 2 3" xfId="43895"/>
    <cellStyle name="Output 2 2 3 4 2 2 2 3 2" xfId="43896"/>
    <cellStyle name="Output 2 2 3 4 2 2 2 4" xfId="43897"/>
    <cellStyle name="Output 2 2 3 4 2 2 2 4 2" xfId="43898"/>
    <cellStyle name="Output 2 2 3 4 2 2 2 5" xfId="43899"/>
    <cellStyle name="Output 2 2 3 4 2 2 2 6" xfId="43900"/>
    <cellStyle name="Output 2 2 3 4 2 2 2 7" xfId="43901"/>
    <cellStyle name="Output 2 2 3 4 2 2 3" xfId="43902"/>
    <cellStyle name="Output 2 2 3 4 2 2 3 2" xfId="43903"/>
    <cellStyle name="Output 2 2 3 4 2 2 3 2 2" xfId="43904"/>
    <cellStyle name="Output 2 2 3 4 2 2 3 3" xfId="43905"/>
    <cellStyle name="Output 2 2 3 4 2 2 3 3 2" xfId="43906"/>
    <cellStyle name="Output 2 2 3 4 2 2 3 4" xfId="43907"/>
    <cellStyle name="Output 2 2 3 4 2 2 3 5" xfId="43908"/>
    <cellStyle name="Output 2 2 3 4 2 2 3 6" xfId="43909"/>
    <cellStyle name="Output 2 2 3 4 2 2 4" xfId="43910"/>
    <cellStyle name="Output 2 2 3 4 2 2 4 2" xfId="43911"/>
    <cellStyle name="Output 2 2 3 4 2 2 5" xfId="43912"/>
    <cellStyle name="Output 2 2 3 4 2 2 5 2" xfId="43913"/>
    <cellStyle name="Output 2 2 3 4 2 2 6" xfId="43914"/>
    <cellStyle name="Output 2 2 3 4 2 2 7" xfId="43915"/>
    <cellStyle name="Output 2 2 3 4 2 2 8" xfId="43916"/>
    <cellStyle name="Output 2 2 3 4 2 3" xfId="43917"/>
    <cellStyle name="Output 2 2 3 4 2 3 2" xfId="43918"/>
    <cellStyle name="Output 2 2 3 4 2 3 2 2" xfId="43919"/>
    <cellStyle name="Output 2 2 3 4 2 3 2 2 2" xfId="43920"/>
    <cellStyle name="Output 2 2 3 4 2 3 2 3" xfId="43921"/>
    <cellStyle name="Output 2 2 3 4 2 3 2 3 2" xfId="43922"/>
    <cellStyle name="Output 2 2 3 4 2 3 2 4" xfId="43923"/>
    <cellStyle name="Output 2 2 3 4 2 3 2 5" xfId="43924"/>
    <cellStyle name="Output 2 2 3 4 2 3 2 6" xfId="43925"/>
    <cellStyle name="Output 2 2 3 4 2 3 3" xfId="43926"/>
    <cellStyle name="Output 2 2 3 4 2 3 3 2" xfId="43927"/>
    <cellStyle name="Output 2 2 3 4 2 3 4" xfId="43928"/>
    <cellStyle name="Output 2 2 3 4 2 3 4 2" xfId="43929"/>
    <cellStyle name="Output 2 2 3 4 2 3 5" xfId="43930"/>
    <cellStyle name="Output 2 2 3 4 2 3 6" xfId="43931"/>
    <cellStyle name="Output 2 2 3 4 2 3 7" xfId="43932"/>
    <cellStyle name="Output 2 2 3 4 2 4" xfId="43933"/>
    <cellStyle name="Output 2 2 3 4 2 4 2" xfId="43934"/>
    <cellStyle name="Output 2 2 3 4 2 4 2 2" xfId="43935"/>
    <cellStyle name="Output 2 2 3 4 2 4 3" xfId="43936"/>
    <cellStyle name="Output 2 2 3 4 2 4 3 2" xfId="43937"/>
    <cellStyle name="Output 2 2 3 4 2 4 4" xfId="43938"/>
    <cellStyle name="Output 2 2 3 4 2 4 5" xfId="43939"/>
    <cellStyle name="Output 2 2 3 4 2 4 6" xfId="43940"/>
    <cellStyle name="Output 2 2 3 4 2 5" xfId="43941"/>
    <cellStyle name="Output 2 2 3 4 2 5 2" xfId="43942"/>
    <cellStyle name="Output 2 2 3 4 2 6" xfId="43943"/>
    <cellStyle name="Output 2 2 3 4 2 6 2" xfId="43944"/>
    <cellStyle name="Output 2 2 3 4 2 7" xfId="43945"/>
    <cellStyle name="Output 2 2 3 4 2 8" xfId="43946"/>
    <cellStyle name="Output 2 2 3 4 2 9" xfId="43947"/>
    <cellStyle name="Output 2 2 3 4 3" xfId="43948"/>
    <cellStyle name="Output 2 2 3 4 3 2" xfId="43949"/>
    <cellStyle name="Output 2 2 3 4 3 2 2" xfId="43950"/>
    <cellStyle name="Output 2 2 3 4 3 2 2 2" xfId="43951"/>
    <cellStyle name="Output 2 2 3 4 3 2 2 2 2" xfId="43952"/>
    <cellStyle name="Output 2 2 3 4 3 2 2 3" xfId="43953"/>
    <cellStyle name="Output 2 2 3 4 3 2 2 3 2" xfId="43954"/>
    <cellStyle name="Output 2 2 3 4 3 2 2 4" xfId="43955"/>
    <cellStyle name="Output 2 2 3 4 3 2 2 5" xfId="43956"/>
    <cellStyle name="Output 2 2 3 4 3 2 2 6" xfId="43957"/>
    <cellStyle name="Output 2 2 3 4 3 2 3" xfId="43958"/>
    <cellStyle name="Output 2 2 3 4 3 2 3 2" xfId="43959"/>
    <cellStyle name="Output 2 2 3 4 3 2 4" xfId="43960"/>
    <cellStyle name="Output 2 2 3 4 3 2 4 2" xfId="43961"/>
    <cellStyle name="Output 2 2 3 4 3 2 5" xfId="43962"/>
    <cellStyle name="Output 2 2 3 4 3 2 6" xfId="43963"/>
    <cellStyle name="Output 2 2 3 4 3 2 7" xfId="43964"/>
    <cellStyle name="Output 2 2 3 4 3 3" xfId="43965"/>
    <cellStyle name="Output 2 2 3 4 3 3 2" xfId="43966"/>
    <cellStyle name="Output 2 2 3 4 3 3 2 2" xfId="43967"/>
    <cellStyle name="Output 2 2 3 4 3 3 3" xfId="43968"/>
    <cellStyle name="Output 2 2 3 4 3 3 3 2" xfId="43969"/>
    <cellStyle name="Output 2 2 3 4 3 3 4" xfId="43970"/>
    <cellStyle name="Output 2 2 3 4 3 3 5" xfId="43971"/>
    <cellStyle name="Output 2 2 3 4 3 3 6" xfId="43972"/>
    <cellStyle name="Output 2 2 3 4 3 4" xfId="43973"/>
    <cellStyle name="Output 2 2 3 4 3 4 2" xfId="43974"/>
    <cellStyle name="Output 2 2 3 4 3 5" xfId="43975"/>
    <cellStyle name="Output 2 2 3 4 3 5 2" xfId="43976"/>
    <cellStyle name="Output 2 2 3 4 3 6" xfId="43977"/>
    <cellStyle name="Output 2 2 3 4 3 7" xfId="43978"/>
    <cellStyle name="Output 2 2 3 4 3 8" xfId="43979"/>
    <cellStyle name="Output 2 2 3 4 4" xfId="43980"/>
    <cellStyle name="Output 2 2 3 4 4 2" xfId="43981"/>
    <cellStyle name="Output 2 2 3 4 4 2 2" xfId="43982"/>
    <cellStyle name="Output 2 2 3 4 4 2 2 2" xfId="43983"/>
    <cellStyle name="Output 2 2 3 4 4 2 3" xfId="43984"/>
    <cellStyle name="Output 2 2 3 4 4 2 3 2" xfId="43985"/>
    <cellStyle name="Output 2 2 3 4 4 2 4" xfId="43986"/>
    <cellStyle name="Output 2 2 3 4 4 2 5" xfId="43987"/>
    <cellStyle name="Output 2 2 3 4 4 2 6" xfId="43988"/>
    <cellStyle name="Output 2 2 3 4 4 3" xfId="43989"/>
    <cellStyle name="Output 2 2 3 4 4 3 2" xfId="43990"/>
    <cellStyle name="Output 2 2 3 4 4 4" xfId="43991"/>
    <cellStyle name="Output 2 2 3 4 4 4 2" xfId="43992"/>
    <cellStyle name="Output 2 2 3 4 4 5" xfId="43993"/>
    <cellStyle name="Output 2 2 3 4 4 6" xfId="43994"/>
    <cellStyle name="Output 2 2 3 4 4 7" xfId="43995"/>
    <cellStyle name="Output 2 2 3 4 5" xfId="43996"/>
    <cellStyle name="Output 2 2 3 4 5 2" xfId="43997"/>
    <cellStyle name="Output 2 2 3 4 5 2 2" xfId="43998"/>
    <cellStyle name="Output 2 2 3 4 5 3" xfId="43999"/>
    <cellStyle name="Output 2 2 3 4 5 3 2" xfId="44000"/>
    <cellStyle name="Output 2 2 3 4 5 4" xfId="44001"/>
    <cellStyle name="Output 2 2 3 4 5 5" xfId="44002"/>
    <cellStyle name="Output 2 2 3 4 5 6" xfId="44003"/>
    <cellStyle name="Output 2 2 3 4 6" xfId="44004"/>
    <cellStyle name="Output 2 2 3 4 6 2" xfId="44005"/>
    <cellStyle name="Output 2 2 3 4 7" xfId="44006"/>
    <cellStyle name="Output 2 2 3 4 7 2" xfId="44007"/>
    <cellStyle name="Output 2 2 3 4 8" xfId="44008"/>
    <cellStyle name="Output 2 2 3 4 9" xfId="44009"/>
    <cellStyle name="Output 2 2 3 5" xfId="44010"/>
    <cellStyle name="Output 2 2 3 5 2" xfId="44011"/>
    <cellStyle name="Output 2 2 3 5 2 2" xfId="44012"/>
    <cellStyle name="Output 2 2 3 5 2 2 2" xfId="44013"/>
    <cellStyle name="Output 2 2 3 5 2 2 2 2" xfId="44014"/>
    <cellStyle name="Output 2 2 3 5 2 2 3" xfId="44015"/>
    <cellStyle name="Output 2 2 3 5 2 2 3 2" xfId="44016"/>
    <cellStyle name="Output 2 2 3 5 2 2 4" xfId="44017"/>
    <cellStyle name="Output 2 2 3 5 2 2 5" xfId="44018"/>
    <cellStyle name="Output 2 2 3 5 2 2 6" xfId="44019"/>
    <cellStyle name="Output 2 2 3 5 2 3" xfId="44020"/>
    <cellStyle name="Output 2 2 3 5 2 3 2" xfId="44021"/>
    <cellStyle name="Output 2 2 3 5 2 4" xfId="44022"/>
    <cellStyle name="Output 2 2 3 5 2 4 2" xfId="44023"/>
    <cellStyle name="Output 2 2 3 5 2 5" xfId="44024"/>
    <cellStyle name="Output 2 2 3 5 2 6" xfId="44025"/>
    <cellStyle name="Output 2 2 3 5 2 7" xfId="44026"/>
    <cellStyle name="Output 2 2 3 5 3" xfId="44027"/>
    <cellStyle name="Output 2 2 3 5 3 2" xfId="44028"/>
    <cellStyle name="Output 2 2 3 5 3 2 2" xfId="44029"/>
    <cellStyle name="Output 2 2 3 5 3 3" xfId="44030"/>
    <cellStyle name="Output 2 2 3 5 3 3 2" xfId="44031"/>
    <cellStyle name="Output 2 2 3 5 3 4" xfId="44032"/>
    <cellStyle name="Output 2 2 3 5 3 5" xfId="44033"/>
    <cellStyle name="Output 2 2 3 5 3 6" xfId="44034"/>
    <cellStyle name="Output 2 2 3 5 4" xfId="44035"/>
    <cellStyle name="Output 2 2 3 5 4 2" xfId="44036"/>
    <cellStyle name="Output 2 2 3 5 5" xfId="44037"/>
    <cellStyle name="Output 2 2 3 5 5 2" xfId="44038"/>
    <cellStyle name="Output 2 2 3 5 6" xfId="44039"/>
    <cellStyle name="Output 2 2 3 5 7" xfId="44040"/>
    <cellStyle name="Output 2 2 3 5 8" xfId="44041"/>
    <cellStyle name="Output 2 2 3 6" xfId="44042"/>
    <cellStyle name="Output 2 2 3 6 2" xfId="44043"/>
    <cellStyle name="Output 2 2 3 6 2 2" xfId="44044"/>
    <cellStyle name="Output 2 2 3 6 2 2 2" xfId="44045"/>
    <cellStyle name="Output 2 2 3 6 2 3" xfId="44046"/>
    <cellStyle name="Output 2 2 3 6 2 3 2" xfId="44047"/>
    <cellStyle name="Output 2 2 3 6 2 4" xfId="44048"/>
    <cellStyle name="Output 2 2 3 6 2 5" xfId="44049"/>
    <cellStyle name="Output 2 2 3 6 2 6" xfId="44050"/>
    <cellStyle name="Output 2 2 3 6 3" xfId="44051"/>
    <cellStyle name="Output 2 2 3 6 3 2" xfId="44052"/>
    <cellStyle name="Output 2 2 3 6 4" xfId="44053"/>
    <cellStyle name="Output 2 2 3 6 4 2" xfId="44054"/>
    <cellStyle name="Output 2 2 3 6 5" xfId="44055"/>
    <cellStyle name="Output 2 2 3 6 6" xfId="44056"/>
    <cellStyle name="Output 2 2 3 6 7" xfId="44057"/>
    <cellStyle name="Output 2 2 3 7" xfId="44058"/>
    <cellStyle name="Output 2 2 3 7 2" xfId="44059"/>
    <cellStyle name="Output 2 2 3 7 2 2" xfId="44060"/>
    <cellStyle name="Output 2 2 3 7 3" xfId="44061"/>
    <cellStyle name="Output 2 2 3 7 3 2" xfId="44062"/>
    <cellStyle name="Output 2 2 3 7 4" xfId="44063"/>
    <cellStyle name="Output 2 2 3 7 5" xfId="44064"/>
    <cellStyle name="Output 2 2 3 7 6" xfId="44065"/>
    <cellStyle name="Output 2 2 3 8" xfId="44066"/>
    <cellStyle name="Output 2 2 3 8 2" xfId="44067"/>
    <cellStyle name="Output 2 2 3 9" xfId="44068"/>
    <cellStyle name="Output 2 2 3 9 2" xfId="44069"/>
    <cellStyle name="Output 2 2 4" xfId="44070"/>
    <cellStyle name="Output 2 2 4 10" xfId="44071"/>
    <cellStyle name="Output 2 2 4 11" xfId="44072"/>
    <cellStyle name="Output 2 2 4 2" xfId="44073"/>
    <cellStyle name="Output 2 2 4 2 2" xfId="44074"/>
    <cellStyle name="Output 2 2 4 2 2 2" xfId="44075"/>
    <cellStyle name="Output 2 2 4 2 2 2 2" xfId="44076"/>
    <cellStyle name="Output 2 2 4 2 2 2 2 2" xfId="44077"/>
    <cellStyle name="Output 2 2 4 2 2 2 2 2 2" xfId="44078"/>
    <cellStyle name="Output 2 2 4 2 2 2 2 3" xfId="44079"/>
    <cellStyle name="Output 2 2 4 2 2 2 2 3 2" xfId="44080"/>
    <cellStyle name="Output 2 2 4 2 2 2 2 4" xfId="44081"/>
    <cellStyle name="Output 2 2 4 2 2 2 2 5" xfId="44082"/>
    <cellStyle name="Output 2 2 4 2 2 2 2 6" xfId="44083"/>
    <cellStyle name="Output 2 2 4 2 2 2 3" xfId="44084"/>
    <cellStyle name="Output 2 2 4 2 2 2 3 2" xfId="44085"/>
    <cellStyle name="Output 2 2 4 2 2 2 4" xfId="44086"/>
    <cellStyle name="Output 2 2 4 2 2 2 4 2" xfId="44087"/>
    <cellStyle name="Output 2 2 4 2 2 2 5" xfId="44088"/>
    <cellStyle name="Output 2 2 4 2 2 2 6" xfId="44089"/>
    <cellStyle name="Output 2 2 4 2 2 2 7" xfId="44090"/>
    <cellStyle name="Output 2 2 4 2 2 3" xfId="44091"/>
    <cellStyle name="Output 2 2 4 2 2 3 2" xfId="44092"/>
    <cellStyle name="Output 2 2 4 2 2 3 2 2" xfId="44093"/>
    <cellStyle name="Output 2 2 4 2 2 3 3" xfId="44094"/>
    <cellStyle name="Output 2 2 4 2 2 3 3 2" xfId="44095"/>
    <cellStyle name="Output 2 2 4 2 2 3 4" xfId="44096"/>
    <cellStyle name="Output 2 2 4 2 2 3 5" xfId="44097"/>
    <cellStyle name="Output 2 2 4 2 2 3 6" xfId="44098"/>
    <cellStyle name="Output 2 2 4 2 2 4" xfId="44099"/>
    <cellStyle name="Output 2 2 4 2 2 4 2" xfId="44100"/>
    <cellStyle name="Output 2 2 4 2 2 5" xfId="44101"/>
    <cellStyle name="Output 2 2 4 2 2 5 2" xfId="44102"/>
    <cellStyle name="Output 2 2 4 2 2 6" xfId="44103"/>
    <cellStyle name="Output 2 2 4 2 2 7" xfId="44104"/>
    <cellStyle name="Output 2 2 4 2 2 8" xfId="44105"/>
    <cellStyle name="Output 2 2 4 2 3" xfId="44106"/>
    <cellStyle name="Output 2 2 4 2 3 2" xfId="44107"/>
    <cellStyle name="Output 2 2 4 2 3 2 2" xfId="44108"/>
    <cellStyle name="Output 2 2 4 2 3 2 2 2" xfId="44109"/>
    <cellStyle name="Output 2 2 4 2 3 2 3" xfId="44110"/>
    <cellStyle name="Output 2 2 4 2 3 2 3 2" xfId="44111"/>
    <cellStyle name="Output 2 2 4 2 3 2 4" xfId="44112"/>
    <cellStyle name="Output 2 2 4 2 3 2 5" xfId="44113"/>
    <cellStyle name="Output 2 2 4 2 3 2 6" xfId="44114"/>
    <cellStyle name="Output 2 2 4 2 3 3" xfId="44115"/>
    <cellStyle name="Output 2 2 4 2 3 3 2" xfId="44116"/>
    <cellStyle name="Output 2 2 4 2 3 4" xfId="44117"/>
    <cellStyle name="Output 2 2 4 2 3 4 2" xfId="44118"/>
    <cellStyle name="Output 2 2 4 2 3 5" xfId="44119"/>
    <cellStyle name="Output 2 2 4 2 3 6" xfId="44120"/>
    <cellStyle name="Output 2 2 4 2 3 7" xfId="44121"/>
    <cellStyle name="Output 2 2 4 2 4" xfId="44122"/>
    <cellStyle name="Output 2 2 4 2 4 2" xfId="44123"/>
    <cellStyle name="Output 2 2 4 2 4 2 2" xfId="44124"/>
    <cellStyle name="Output 2 2 4 2 4 3" xfId="44125"/>
    <cellStyle name="Output 2 2 4 2 4 3 2" xfId="44126"/>
    <cellStyle name="Output 2 2 4 2 4 4" xfId="44127"/>
    <cellStyle name="Output 2 2 4 2 4 5" xfId="44128"/>
    <cellStyle name="Output 2 2 4 2 4 6" xfId="44129"/>
    <cellStyle name="Output 2 2 4 2 5" xfId="44130"/>
    <cellStyle name="Output 2 2 4 2 5 2" xfId="44131"/>
    <cellStyle name="Output 2 2 4 2 6" xfId="44132"/>
    <cellStyle name="Output 2 2 4 2 6 2" xfId="44133"/>
    <cellStyle name="Output 2 2 4 2 7" xfId="44134"/>
    <cellStyle name="Output 2 2 4 2 8" xfId="44135"/>
    <cellStyle name="Output 2 2 4 2 9" xfId="44136"/>
    <cellStyle name="Output 2 2 4 3" xfId="44137"/>
    <cellStyle name="Output 2 2 4 3 10" xfId="44138"/>
    <cellStyle name="Output 2 2 4 3 2" xfId="44139"/>
    <cellStyle name="Output 2 2 4 3 2 2" xfId="44140"/>
    <cellStyle name="Output 2 2 4 3 2 2 2" xfId="44141"/>
    <cellStyle name="Output 2 2 4 3 2 2 2 2" xfId="44142"/>
    <cellStyle name="Output 2 2 4 3 2 2 2 2 2" xfId="44143"/>
    <cellStyle name="Output 2 2 4 3 2 2 2 2 2 2" xfId="44144"/>
    <cellStyle name="Output 2 2 4 3 2 2 2 2 3" xfId="44145"/>
    <cellStyle name="Output 2 2 4 3 2 2 2 2 3 2" xfId="44146"/>
    <cellStyle name="Output 2 2 4 3 2 2 2 2 4" xfId="44147"/>
    <cellStyle name="Output 2 2 4 3 2 2 2 2 5" xfId="44148"/>
    <cellStyle name="Output 2 2 4 3 2 2 2 2 6" xfId="44149"/>
    <cellStyle name="Output 2 2 4 3 2 2 2 3" xfId="44150"/>
    <cellStyle name="Output 2 2 4 3 2 2 2 3 2" xfId="44151"/>
    <cellStyle name="Output 2 2 4 3 2 2 2 4" xfId="44152"/>
    <cellStyle name="Output 2 2 4 3 2 2 2 4 2" xfId="44153"/>
    <cellStyle name="Output 2 2 4 3 2 2 2 5" xfId="44154"/>
    <cellStyle name="Output 2 2 4 3 2 2 2 6" xfId="44155"/>
    <cellStyle name="Output 2 2 4 3 2 2 2 7" xfId="44156"/>
    <cellStyle name="Output 2 2 4 3 2 2 3" xfId="44157"/>
    <cellStyle name="Output 2 2 4 3 2 2 3 2" xfId="44158"/>
    <cellStyle name="Output 2 2 4 3 2 2 3 2 2" xfId="44159"/>
    <cellStyle name="Output 2 2 4 3 2 2 3 3" xfId="44160"/>
    <cellStyle name="Output 2 2 4 3 2 2 3 3 2" xfId="44161"/>
    <cellStyle name="Output 2 2 4 3 2 2 3 4" xfId="44162"/>
    <cellStyle name="Output 2 2 4 3 2 2 3 5" xfId="44163"/>
    <cellStyle name="Output 2 2 4 3 2 2 3 6" xfId="44164"/>
    <cellStyle name="Output 2 2 4 3 2 2 4" xfId="44165"/>
    <cellStyle name="Output 2 2 4 3 2 2 4 2" xfId="44166"/>
    <cellStyle name="Output 2 2 4 3 2 2 5" xfId="44167"/>
    <cellStyle name="Output 2 2 4 3 2 2 5 2" xfId="44168"/>
    <cellStyle name="Output 2 2 4 3 2 2 6" xfId="44169"/>
    <cellStyle name="Output 2 2 4 3 2 2 7" xfId="44170"/>
    <cellStyle name="Output 2 2 4 3 2 2 8" xfId="44171"/>
    <cellStyle name="Output 2 2 4 3 2 3" xfId="44172"/>
    <cellStyle name="Output 2 2 4 3 2 3 2" xfId="44173"/>
    <cellStyle name="Output 2 2 4 3 2 3 2 2" xfId="44174"/>
    <cellStyle name="Output 2 2 4 3 2 3 2 2 2" xfId="44175"/>
    <cellStyle name="Output 2 2 4 3 2 3 2 3" xfId="44176"/>
    <cellStyle name="Output 2 2 4 3 2 3 2 3 2" xfId="44177"/>
    <cellStyle name="Output 2 2 4 3 2 3 2 4" xfId="44178"/>
    <cellStyle name="Output 2 2 4 3 2 3 2 5" xfId="44179"/>
    <cellStyle name="Output 2 2 4 3 2 3 2 6" xfId="44180"/>
    <cellStyle name="Output 2 2 4 3 2 3 3" xfId="44181"/>
    <cellStyle name="Output 2 2 4 3 2 3 3 2" xfId="44182"/>
    <cellStyle name="Output 2 2 4 3 2 3 4" xfId="44183"/>
    <cellStyle name="Output 2 2 4 3 2 3 4 2" xfId="44184"/>
    <cellStyle name="Output 2 2 4 3 2 3 5" xfId="44185"/>
    <cellStyle name="Output 2 2 4 3 2 3 6" xfId="44186"/>
    <cellStyle name="Output 2 2 4 3 2 3 7" xfId="44187"/>
    <cellStyle name="Output 2 2 4 3 2 4" xfId="44188"/>
    <cellStyle name="Output 2 2 4 3 2 4 2" xfId="44189"/>
    <cellStyle name="Output 2 2 4 3 2 4 2 2" xfId="44190"/>
    <cellStyle name="Output 2 2 4 3 2 4 3" xfId="44191"/>
    <cellStyle name="Output 2 2 4 3 2 4 3 2" xfId="44192"/>
    <cellStyle name="Output 2 2 4 3 2 4 4" xfId="44193"/>
    <cellStyle name="Output 2 2 4 3 2 4 5" xfId="44194"/>
    <cellStyle name="Output 2 2 4 3 2 4 6" xfId="44195"/>
    <cellStyle name="Output 2 2 4 3 2 5" xfId="44196"/>
    <cellStyle name="Output 2 2 4 3 2 5 2" xfId="44197"/>
    <cellStyle name="Output 2 2 4 3 2 6" xfId="44198"/>
    <cellStyle name="Output 2 2 4 3 2 6 2" xfId="44199"/>
    <cellStyle name="Output 2 2 4 3 2 7" xfId="44200"/>
    <cellStyle name="Output 2 2 4 3 2 8" xfId="44201"/>
    <cellStyle name="Output 2 2 4 3 2 9" xfId="44202"/>
    <cellStyle name="Output 2 2 4 3 3" xfId="44203"/>
    <cellStyle name="Output 2 2 4 3 3 2" xfId="44204"/>
    <cellStyle name="Output 2 2 4 3 3 2 2" xfId="44205"/>
    <cellStyle name="Output 2 2 4 3 3 2 2 2" xfId="44206"/>
    <cellStyle name="Output 2 2 4 3 3 2 2 2 2" xfId="44207"/>
    <cellStyle name="Output 2 2 4 3 3 2 2 3" xfId="44208"/>
    <cellStyle name="Output 2 2 4 3 3 2 2 3 2" xfId="44209"/>
    <cellStyle name="Output 2 2 4 3 3 2 2 4" xfId="44210"/>
    <cellStyle name="Output 2 2 4 3 3 2 2 5" xfId="44211"/>
    <cellStyle name="Output 2 2 4 3 3 2 2 6" xfId="44212"/>
    <cellStyle name="Output 2 2 4 3 3 2 3" xfId="44213"/>
    <cellStyle name="Output 2 2 4 3 3 2 3 2" xfId="44214"/>
    <cellStyle name="Output 2 2 4 3 3 2 4" xfId="44215"/>
    <cellStyle name="Output 2 2 4 3 3 2 4 2" xfId="44216"/>
    <cellStyle name="Output 2 2 4 3 3 2 5" xfId="44217"/>
    <cellStyle name="Output 2 2 4 3 3 2 6" xfId="44218"/>
    <cellStyle name="Output 2 2 4 3 3 2 7" xfId="44219"/>
    <cellStyle name="Output 2 2 4 3 3 3" xfId="44220"/>
    <cellStyle name="Output 2 2 4 3 3 3 2" xfId="44221"/>
    <cellStyle name="Output 2 2 4 3 3 3 2 2" xfId="44222"/>
    <cellStyle name="Output 2 2 4 3 3 3 3" xfId="44223"/>
    <cellStyle name="Output 2 2 4 3 3 3 3 2" xfId="44224"/>
    <cellStyle name="Output 2 2 4 3 3 3 4" xfId="44225"/>
    <cellStyle name="Output 2 2 4 3 3 3 5" xfId="44226"/>
    <cellStyle name="Output 2 2 4 3 3 3 6" xfId="44227"/>
    <cellStyle name="Output 2 2 4 3 3 4" xfId="44228"/>
    <cellStyle name="Output 2 2 4 3 3 4 2" xfId="44229"/>
    <cellStyle name="Output 2 2 4 3 3 5" xfId="44230"/>
    <cellStyle name="Output 2 2 4 3 3 5 2" xfId="44231"/>
    <cellStyle name="Output 2 2 4 3 3 6" xfId="44232"/>
    <cellStyle name="Output 2 2 4 3 3 7" xfId="44233"/>
    <cellStyle name="Output 2 2 4 3 3 8" xfId="44234"/>
    <cellStyle name="Output 2 2 4 3 4" xfId="44235"/>
    <cellStyle name="Output 2 2 4 3 4 2" xfId="44236"/>
    <cellStyle name="Output 2 2 4 3 4 2 2" xfId="44237"/>
    <cellStyle name="Output 2 2 4 3 4 2 2 2" xfId="44238"/>
    <cellStyle name="Output 2 2 4 3 4 2 3" xfId="44239"/>
    <cellStyle name="Output 2 2 4 3 4 2 3 2" xfId="44240"/>
    <cellStyle name="Output 2 2 4 3 4 2 4" xfId="44241"/>
    <cellStyle name="Output 2 2 4 3 4 2 5" xfId="44242"/>
    <cellStyle name="Output 2 2 4 3 4 2 6" xfId="44243"/>
    <cellStyle name="Output 2 2 4 3 4 3" xfId="44244"/>
    <cellStyle name="Output 2 2 4 3 4 3 2" xfId="44245"/>
    <cellStyle name="Output 2 2 4 3 4 4" xfId="44246"/>
    <cellStyle name="Output 2 2 4 3 4 4 2" xfId="44247"/>
    <cellStyle name="Output 2 2 4 3 4 5" xfId="44248"/>
    <cellStyle name="Output 2 2 4 3 4 6" xfId="44249"/>
    <cellStyle name="Output 2 2 4 3 4 7" xfId="44250"/>
    <cellStyle name="Output 2 2 4 3 5" xfId="44251"/>
    <cellStyle name="Output 2 2 4 3 5 2" xfId="44252"/>
    <cellStyle name="Output 2 2 4 3 5 2 2" xfId="44253"/>
    <cellStyle name="Output 2 2 4 3 5 3" xfId="44254"/>
    <cellStyle name="Output 2 2 4 3 5 3 2" xfId="44255"/>
    <cellStyle name="Output 2 2 4 3 5 4" xfId="44256"/>
    <cellStyle name="Output 2 2 4 3 5 5" xfId="44257"/>
    <cellStyle name="Output 2 2 4 3 5 6" xfId="44258"/>
    <cellStyle name="Output 2 2 4 3 6" xfId="44259"/>
    <cellStyle name="Output 2 2 4 3 6 2" xfId="44260"/>
    <cellStyle name="Output 2 2 4 3 7" xfId="44261"/>
    <cellStyle name="Output 2 2 4 3 7 2" xfId="44262"/>
    <cellStyle name="Output 2 2 4 3 8" xfId="44263"/>
    <cellStyle name="Output 2 2 4 3 9" xfId="44264"/>
    <cellStyle name="Output 2 2 4 4" xfId="44265"/>
    <cellStyle name="Output 2 2 4 4 2" xfId="44266"/>
    <cellStyle name="Output 2 2 4 4 2 2" xfId="44267"/>
    <cellStyle name="Output 2 2 4 4 2 2 2" xfId="44268"/>
    <cellStyle name="Output 2 2 4 4 2 2 2 2" xfId="44269"/>
    <cellStyle name="Output 2 2 4 4 2 2 3" xfId="44270"/>
    <cellStyle name="Output 2 2 4 4 2 2 3 2" xfId="44271"/>
    <cellStyle name="Output 2 2 4 4 2 2 4" xfId="44272"/>
    <cellStyle name="Output 2 2 4 4 2 2 5" xfId="44273"/>
    <cellStyle name="Output 2 2 4 4 2 2 6" xfId="44274"/>
    <cellStyle name="Output 2 2 4 4 2 3" xfId="44275"/>
    <cellStyle name="Output 2 2 4 4 2 3 2" xfId="44276"/>
    <cellStyle name="Output 2 2 4 4 2 4" xfId="44277"/>
    <cellStyle name="Output 2 2 4 4 2 4 2" xfId="44278"/>
    <cellStyle name="Output 2 2 4 4 2 5" xfId="44279"/>
    <cellStyle name="Output 2 2 4 4 2 6" xfId="44280"/>
    <cellStyle name="Output 2 2 4 4 2 7" xfId="44281"/>
    <cellStyle name="Output 2 2 4 4 3" xfId="44282"/>
    <cellStyle name="Output 2 2 4 4 3 2" xfId="44283"/>
    <cellStyle name="Output 2 2 4 4 3 2 2" xfId="44284"/>
    <cellStyle name="Output 2 2 4 4 3 3" xfId="44285"/>
    <cellStyle name="Output 2 2 4 4 3 3 2" xfId="44286"/>
    <cellStyle name="Output 2 2 4 4 3 4" xfId="44287"/>
    <cellStyle name="Output 2 2 4 4 3 5" xfId="44288"/>
    <cellStyle name="Output 2 2 4 4 3 6" xfId="44289"/>
    <cellStyle name="Output 2 2 4 4 4" xfId="44290"/>
    <cellStyle name="Output 2 2 4 4 4 2" xfId="44291"/>
    <cellStyle name="Output 2 2 4 4 5" xfId="44292"/>
    <cellStyle name="Output 2 2 4 4 5 2" xfId="44293"/>
    <cellStyle name="Output 2 2 4 4 6" xfId="44294"/>
    <cellStyle name="Output 2 2 4 4 7" xfId="44295"/>
    <cellStyle name="Output 2 2 4 4 8" xfId="44296"/>
    <cellStyle name="Output 2 2 4 5" xfId="44297"/>
    <cellStyle name="Output 2 2 4 5 2" xfId="44298"/>
    <cellStyle name="Output 2 2 4 5 2 2" xfId="44299"/>
    <cellStyle name="Output 2 2 4 5 2 2 2" xfId="44300"/>
    <cellStyle name="Output 2 2 4 5 2 3" xfId="44301"/>
    <cellStyle name="Output 2 2 4 5 2 3 2" xfId="44302"/>
    <cellStyle name="Output 2 2 4 5 2 4" xfId="44303"/>
    <cellStyle name="Output 2 2 4 5 2 5" xfId="44304"/>
    <cellStyle name="Output 2 2 4 5 2 6" xfId="44305"/>
    <cellStyle name="Output 2 2 4 5 3" xfId="44306"/>
    <cellStyle name="Output 2 2 4 5 3 2" xfId="44307"/>
    <cellStyle name="Output 2 2 4 5 4" xfId="44308"/>
    <cellStyle name="Output 2 2 4 5 4 2" xfId="44309"/>
    <cellStyle name="Output 2 2 4 5 5" xfId="44310"/>
    <cellStyle name="Output 2 2 4 5 6" xfId="44311"/>
    <cellStyle name="Output 2 2 4 5 7" xfId="44312"/>
    <cellStyle name="Output 2 2 4 6" xfId="44313"/>
    <cellStyle name="Output 2 2 4 6 2" xfId="44314"/>
    <cellStyle name="Output 2 2 4 6 2 2" xfId="44315"/>
    <cellStyle name="Output 2 2 4 6 3" xfId="44316"/>
    <cellStyle name="Output 2 2 4 6 3 2" xfId="44317"/>
    <cellStyle name="Output 2 2 4 6 4" xfId="44318"/>
    <cellStyle name="Output 2 2 4 6 5" xfId="44319"/>
    <cellStyle name="Output 2 2 4 6 6" xfId="44320"/>
    <cellStyle name="Output 2 2 4 7" xfId="44321"/>
    <cellStyle name="Output 2 2 4 7 2" xfId="44322"/>
    <cellStyle name="Output 2 2 4 8" xfId="44323"/>
    <cellStyle name="Output 2 2 4 8 2" xfId="44324"/>
    <cellStyle name="Output 2 2 4 9" xfId="44325"/>
    <cellStyle name="Output 2 2 5" xfId="44326"/>
    <cellStyle name="Output 2 2 5 10" xfId="44327"/>
    <cellStyle name="Output 2 2 5 2" xfId="44328"/>
    <cellStyle name="Output 2 2 5 2 2" xfId="44329"/>
    <cellStyle name="Output 2 2 5 2 2 2" xfId="44330"/>
    <cellStyle name="Output 2 2 5 2 2 2 2" xfId="44331"/>
    <cellStyle name="Output 2 2 5 2 2 2 2 2" xfId="44332"/>
    <cellStyle name="Output 2 2 5 2 2 2 2 2 2" xfId="44333"/>
    <cellStyle name="Output 2 2 5 2 2 2 2 3" xfId="44334"/>
    <cellStyle name="Output 2 2 5 2 2 2 2 3 2" xfId="44335"/>
    <cellStyle name="Output 2 2 5 2 2 2 2 4" xfId="44336"/>
    <cellStyle name="Output 2 2 5 2 2 2 2 5" xfId="44337"/>
    <cellStyle name="Output 2 2 5 2 2 2 2 6" xfId="44338"/>
    <cellStyle name="Output 2 2 5 2 2 2 3" xfId="44339"/>
    <cellStyle name="Output 2 2 5 2 2 2 3 2" xfId="44340"/>
    <cellStyle name="Output 2 2 5 2 2 2 4" xfId="44341"/>
    <cellStyle name="Output 2 2 5 2 2 2 4 2" xfId="44342"/>
    <cellStyle name="Output 2 2 5 2 2 2 5" xfId="44343"/>
    <cellStyle name="Output 2 2 5 2 2 2 6" xfId="44344"/>
    <cellStyle name="Output 2 2 5 2 2 2 7" xfId="44345"/>
    <cellStyle name="Output 2 2 5 2 2 3" xfId="44346"/>
    <cellStyle name="Output 2 2 5 2 2 3 2" xfId="44347"/>
    <cellStyle name="Output 2 2 5 2 2 3 2 2" xfId="44348"/>
    <cellStyle name="Output 2 2 5 2 2 3 3" xfId="44349"/>
    <cellStyle name="Output 2 2 5 2 2 3 3 2" xfId="44350"/>
    <cellStyle name="Output 2 2 5 2 2 3 4" xfId="44351"/>
    <cellStyle name="Output 2 2 5 2 2 3 5" xfId="44352"/>
    <cellStyle name="Output 2 2 5 2 2 3 6" xfId="44353"/>
    <cellStyle name="Output 2 2 5 2 2 4" xfId="44354"/>
    <cellStyle name="Output 2 2 5 2 2 4 2" xfId="44355"/>
    <cellStyle name="Output 2 2 5 2 2 5" xfId="44356"/>
    <cellStyle name="Output 2 2 5 2 2 5 2" xfId="44357"/>
    <cellStyle name="Output 2 2 5 2 2 6" xfId="44358"/>
    <cellStyle name="Output 2 2 5 2 2 7" xfId="44359"/>
    <cellStyle name="Output 2 2 5 2 2 8" xfId="44360"/>
    <cellStyle name="Output 2 2 5 2 3" xfId="44361"/>
    <cellStyle name="Output 2 2 5 2 3 2" xfId="44362"/>
    <cellStyle name="Output 2 2 5 2 3 2 2" xfId="44363"/>
    <cellStyle name="Output 2 2 5 2 3 2 2 2" xfId="44364"/>
    <cellStyle name="Output 2 2 5 2 3 2 3" xfId="44365"/>
    <cellStyle name="Output 2 2 5 2 3 2 3 2" xfId="44366"/>
    <cellStyle name="Output 2 2 5 2 3 2 4" xfId="44367"/>
    <cellStyle name="Output 2 2 5 2 3 2 5" xfId="44368"/>
    <cellStyle name="Output 2 2 5 2 3 2 6" xfId="44369"/>
    <cellStyle name="Output 2 2 5 2 3 3" xfId="44370"/>
    <cellStyle name="Output 2 2 5 2 3 3 2" xfId="44371"/>
    <cellStyle name="Output 2 2 5 2 3 4" xfId="44372"/>
    <cellStyle name="Output 2 2 5 2 3 4 2" xfId="44373"/>
    <cellStyle name="Output 2 2 5 2 3 5" xfId="44374"/>
    <cellStyle name="Output 2 2 5 2 3 6" xfId="44375"/>
    <cellStyle name="Output 2 2 5 2 3 7" xfId="44376"/>
    <cellStyle name="Output 2 2 5 2 4" xfId="44377"/>
    <cellStyle name="Output 2 2 5 2 4 2" xfId="44378"/>
    <cellStyle name="Output 2 2 5 2 4 2 2" xfId="44379"/>
    <cellStyle name="Output 2 2 5 2 4 3" xfId="44380"/>
    <cellStyle name="Output 2 2 5 2 4 3 2" xfId="44381"/>
    <cellStyle name="Output 2 2 5 2 4 4" xfId="44382"/>
    <cellStyle name="Output 2 2 5 2 4 5" xfId="44383"/>
    <cellStyle name="Output 2 2 5 2 4 6" xfId="44384"/>
    <cellStyle name="Output 2 2 5 2 5" xfId="44385"/>
    <cellStyle name="Output 2 2 5 2 5 2" xfId="44386"/>
    <cellStyle name="Output 2 2 5 2 6" xfId="44387"/>
    <cellStyle name="Output 2 2 5 2 6 2" xfId="44388"/>
    <cellStyle name="Output 2 2 5 2 7" xfId="44389"/>
    <cellStyle name="Output 2 2 5 2 8" xfId="44390"/>
    <cellStyle name="Output 2 2 5 2 9" xfId="44391"/>
    <cellStyle name="Output 2 2 5 3" xfId="44392"/>
    <cellStyle name="Output 2 2 5 3 2" xfId="44393"/>
    <cellStyle name="Output 2 2 5 3 2 2" xfId="44394"/>
    <cellStyle name="Output 2 2 5 3 2 2 2" xfId="44395"/>
    <cellStyle name="Output 2 2 5 3 2 2 2 2" xfId="44396"/>
    <cellStyle name="Output 2 2 5 3 2 2 3" xfId="44397"/>
    <cellStyle name="Output 2 2 5 3 2 2 3 2" xfId="44398"/>
    <cellStyle name="Output 2 2 5 3 2 2 4" xfId="44399"/>
    <cellStyle name="Output 2 2 5 3 2 2 5" xfId="44400"/>
    <cellStyle name="Output 2 2 5 3 2 2 6" xfId="44401"/>
    <cellStyle name="Output 2 2 5 3 2 3" xfId="44402"/>
    <cellStyle name="Output 2 2 5 3 2 3 2" xfId="44403"/>
    <cellStyle name="Output 2 2 5 3 2 4" xfId="44404"/>
    <cellStyle name="Output 2 2 5 3 2 4 2" xfId="44405"/>
    <cellStyle name="Output 2 2 5 3 2 5" xfId="44406"/>
    <cellStyle name="Output 2 2 5 3 2 6" xfId="44407"/>
    <cellStyle name="Output 2 2 5 3 2 7" xfId="44408"/>
    <cellStyle name="Output 2 2 5 3 3" xfId="44409"/>
    <cellStyle name="Output 2 2 5 3 3 2" xfId="44410"/>
    <cellStyle name="Output 2 2 5 3 3 2 2" xfId="44411"/>
    <cellStyle name="Output 2 2 5 3 3 3" xfId="44412"/>
    <cellStyle name="Output 2 2 5 3 3 3 2" xfId="44413"/>
    <cellStyle name="Output 2 2 5 3 3 4" xfId="44414"/>
    <cellStyle name="Output 2 2 5 3 3 5" xfId="44415"/>
    <cellStyle name="Output 2 2 5 3 3 6" xfId="44416"/>
    <cellStyle name="Output 2 2 5 3 4" xfId="44417"/>
    <cellStyle name="Output 2 2 5 3 4 2" xfId="44418"/>
    <cellStyle name="Output 2 2 5 3 5" xfId="44419"/>
    <cellStyle name="Output 2 2 5 3 5 2" xfId="44420"/>
    <cellStyle name="Output 2 2 5 3 6" xfId="44421"/>
    <cellStyle name="Output 2 2 5 3 7" xfId="44422"/>
    <cellStyle name="Output 2 2 5 3 8" xfId="44423"/>
    <cellStyle name="Output 2 2 5 4" xfId="44424"/>
    <cellStyle name="Output 2 2 5 4 2" xfId="44425"/>
    <cellStyle name="Output 2 2 5 4 2 2" xfId="44426"/>
    <cellStyle name="Output 2 2 5 4 2 2 2" xfId="44427"/>
    <cellStyle name="Output 2 2 5 4 2 3" xfId="44428"/>
    <cellStyle name="Output 2 2 5 4 2 3 2" xfId="44429"/>
    <cellStyle name="Output 2 2 5 4 2 4" xfId="44430"/>
    <cellStyle name="Output 2 2 5 4 2 5" xfId="44431"/>
    <cellStyle name="Output 2 2 5 4 2 6" xfId="44432"/>
    <cellStyle name="Output 2 2 5 4 3" xfId="44433"/>
    <cellStyle name="Output 2 2 5 4 3 2" xfId="44434"/>
    <cellStyle name="Output 2 2 5 4 4" xfId="44435"/>
    <cellStyle name="Output 2 2 5 4 4 2" xfId="44436"/>
    <cellStyle name="Output 2 2 5 4 5" xfId="44437"/>
    <cellStyle name="Output 2 2 5 4 6" xfId="44438"/>
    <cellStyle name="Output 2 2 5 4 7" xfId="44439"/>
    <cellStyle name="Output 2 2 5 5" xfId="44440"/>
    <cellStyle name="Output 2 2 5 5 2" xfId="44441"/>
    <cellStyle name="Output 2 2 5 5 2 2" xfId="44442"/>
    <cellStyle name="Output 2 2 5 5 3" xfId="44443"/>
    <cellStyle name="Output 2 2 5 5 3 2" xfId="44444"/>
    <cellStyle name="Output 2 2 5 5 4" xfId="44445"/>
    <cellStyle name="Output 2 2 5 5 5" xfId="44446"/>
    <cellStyle name="Output 2 2 5 5 6" xfId="44447"/>
    <cellStyle name="Output 2 2 5 6" xfId="44448"/>
    <cellStyle name="Output 2 2 5 6 2" xfId="44449"/>
    <cellStyle name="Output 2 2 5 7" xfId="44450"/>
    <cellStyle name="Output 2 2 5 7 2" xfId="44451"/>
    <cellStyle name="Output 2 2 5 8" xfId="44452"/>
    <cellStyle name="Output 2 2 5 9" xfId="44453"/>
    <cellStyle name="Output 2 2 6" xfId="44454"/>
    <cellStyle name="Output 2 2 6 2" xfId="44455"/>
    <cellStyle name="Output 2 2 6 2 2" xfId="44456"/>
    <cellStyle name="Output 2 2 6 2 2 2" xfId="44457"/>
    <cellStyle name="Output 2 2 6 2 2 2 2" xfId="44458"/>
    <cellStyle name="Output 2 2 6 2 2 3" xfId="44459"/>
    <cellStyle name="Output 2 2 6 2 2 3 2" xfId="44460"/>
    <cellStyle name="Output 2 2 6 2 2 4" xfId="44461"/>
    <cellStyle name="Output 2 2 6 2 2 5" xfId="44462"/>
    <cellStyle name="Output 2 2 6 2 2 6" xfId="44463"/>
    <cellStyle name="Output 2 2 6 2 3" xfId="44464"/>
    <cellStyle name="Output 2 2 6 2 3 2" xfId="44465"/>
    <cellStyle name="Output 2 2 6 2 4" xfId="44466"/>
    <cellStyle name="Output 2 2 6 2 4 2" xfId="44467"/>
    <cellStyle name="Output 2 2 6 2 5" xfId="44468"/>
    <cellStyle name="Output 2 2 6 2 6" xfId="44469"/>
    <cellStyle name="Output 2 2 6 2 7" xfId="44470"/>
    <cellStyle name="Output 2 2 6 3" xfId="44471"/>
    <cellStyle name="Output 2 2 6 3 2" xfId="44472"/>
    <cellStyle name="Output 2 2 6 3 2 2" xfId="44473"/>
    <cellStyle name="Output 2 2 6 3 3" xfId="44474"/>
    <cellStyle name="Output 2 2 6 3 3 2" xfId="44475"/>
    <cellStyle name="Output 2 2 6 3 4" xfId="44476"/>
    <cellStyle name="Output 2 2 6 3 5" xfId="44477"/>
    <cellStyle name="Output 2 2 6 3 6" xfId="44478"/>
    <cellStyle name="Output 2 2 6 4" xfId="44479"/>
    <cellStyle name="Output 2 2 6 4 2" xfId="44480"/>
    <cellStyle name="Output 2 2 6 5" xfId="44481"/>
    <cellStyle name="Output 2 2 6 5 2" xfId="44482"/>
    <cellStyle name="Output 2 2 6 6" xfId="44483"/>
    <cellStyle name="Output 2 2 6 7" xfId="44484"/>
    <cellStyle name="Output 2 2 6 8" xfId="44485"/>
    <cellStyle name="Output 2 2 7" xfId="44486"/>
    <cellStyle name="Output 2 2 7 2" xfId="44487"/>
    <cellStyle name="Output 2 2 7 2 2" xfId="44488"/>
    <cellStyle name="Output 2 2 7 2 2 2" xfId="44489"/>
    <cellStyle name="Output 2 2 7 2 3" xfId="44490"/>
    <cellStyle name="Output 2 2 7 2 3 2" xfId="44491"/>
    <cellStyle name="Output 2 2 7 2 4" xfId="44492"/>
    <cellStyle name="Output 2 2 7 2 5" xfId="44493"/>
    <cellStyle name="Output 2 2 7 2 6" xfId="44494"/>
    <cellStyle name="Output 2 2 7 3" xfId="44495"/>
    <cellStyle name="Output 2 2 7 3 2" xfId="44496"/>
    <cellStyle name="Output 2 2 7 4" xfId="44497"/>
    <cellStyle name="Output 2 2 7 4 2" xfId="44498"/>
    <cellStyle name="Output 2 2 7 5" xfId="44499"/>
    <cellStyle name="Output 2 2 7 6" xfId="44500"/>
    <cellStyle name="Output 2 2 7 7" xfId="44501"/>
    <cellStyle name="Output 2 2 8" xfId="44502"/>
    <cellStyle name="Output 2 2 8 2" xfId="44503"/>
    <cellStyle name="Output 2 2 9" xfId="44504"/>
    <cellStyle name="Output 2 2 9 2" xfId="44505"/>
    <cellStyle name="Output 2 3" xfId="44506"/>
    <cellStyle name="Output 2 3 10" xfId="44507"/>
    <cellStyle name="Output 2 3 11" xfId="44508"/>
    <cellStyle name="Output 2 3 12" xfId="44509"/>
    <cellStyle name="Output 2 3 2" xfId="44510"/>
    <cellStyle name="Output 2 3 2 10" xfId="44511"/>
    <cellStyle name="Output 2 3 2 2" xfId="44512"/>
    <cellStyle name="Output 2 3 2 2 2" xfId="44513"/>
    <cellStyle name="Output 2 3 2 2 2 2" xfId="44514"/>
    <cellStyle name="Output 2 3 2 2 2 2 2" xfId="44515"/>
    <cellStyle name="Output 2 3 2 2 2 2 2 2" xfId="44516"/>
    <cellStyle name="Output 2 3 2 2 2 2 2 2 2" xfId="44517"/>
    <cellStyle name="Output 2 3 2 2 2 2 2 3" xfId="44518"/>
    <cellStyle name="Output 2 3 2 2 2 2 2 3 2" xfId="44519"/>
    <cellStyle name="Output 2 3 2 2 2 2 2 4" xfId="44520"/>
    <cellStyle name="Output 2 3 2 2 2 2 2 5" xfId="44521"/>
    <cellStyle name="Output 2 3 2 2 2 2 2 6" xfId="44522"/>
    <cellStyle name="Output 2 3 2 2 2 2 3" xfId="44523"/>
    <cellStyle name="Output 2 3 2 2 2 2 3 2" xfId="44524"/>
    <cellStyle name="Output 2 3 2 2 2 2 4" xfId="44525"/>
    <cellStyle name="Output 2 3 2 2 2 2 4 2" xfId="44526"/>
    <cellStyle name="Output 2 3 2 2 2 2 5" xfId="44527"/>
    <cellStyle name="Output 2 3 2 2 2 2 6" xfId="44528"/>
    <cellStyle name="Output 2 3 2 2 2 2 7" xfId="44529"/>
    <cellStyle name="Output 2 3 2 2 2 3" xfId="44530"/>
    <cellStyle name="Output 2 3 2 2 2 3 2" xfId="44531"/>
    <cellStyle name="Output 2 3 2 2 2 3 2 2" xfId="44532"/>
    <cellStyle name="Output 2 3 2 2 2 3 3" xfId="44533"/>
    <cellStyle name="Output 2 3 2 2 2 3 3 2" xfId="44534"/>
    <cellStyle name="Output 2 3 2 2 2 3 4" xfId="44535"/>
    <cellStyle name="Output 2 3 2 2 2 3 5" xfId="44536"/>
    <cellStyle name="Output 2 3 2 2 2 3 6" xfId="44537"/>
    <cellStyle name="Output 2 3 2 2 2 4" xfId="44538"/>
    <cellStyle name="Output 2 3 2 2 2 4 2" xfId="44539"/>
    <cellStyle name="Output 2 3 2 2 2 5" xfId="44540"/>
    <cellStyle name="Output 2 3 2 2 2 5 2" xfId="44541"/>
    <cellStyle name="Output 2 3 2 2 2 6" xfId="44542"/>
    <cellStyle name="Output 2 3 2 2 2 7" xfId="44543"/>
    <cellStyle name="Output 2 3 2 2 2 8" xfId="44544"/>
    <cellStyle name="Output 2 3 2 2 3" xfId="44545"/>
    <cellStyle name="Output 2 3 2 2 3 2" xfId="44546"/>
    <cellStyle name="Output 2 3 2 2 3 2 2" xfId="44547"/>
    <cellStyle name="Output 2 3 2 2 3 2 2 2" xfId="44548"/>
    <cellStyle name="Output 2 3 2 2 3 2 3" xfId="44549"/>
    <cellStyle name="Output 2 3 2 2 3 2 3 2" xfId="44550"/>
    <cellStyle name="Output 2 3 2 2 3 2 4" xfId="44551"/>
    <cellStyle name="Output 2 3 2 2 3 2 5" xfId="44552"/>
    <cellStyle name="Output 2 3 2 2 3 2 6" xfId="44553"/>
    <cellStyle name="Output 2 3 2 2 3 3" xfId="44554"/>
    <cellStyle name="Output 2 3 2 2 3 3 2" xfId="44555"/>
    <cellStyle name="Output 2 3 2 2 3 4" xfId="44556"/>
    <cellStyle name="Output 2 3 2 2 3 4 2" xfId="44557"/>
    <cellStyle name="Output 2 3 2 2 3 5" xfId="44558"/>
    <cellStyle name="Output 2 3 2 2 3 6" xfId="44559"/>
    <cellStyle name="Output 2 3 2 2 3 7" xfId="44560"/>
    <cellStyle name="Output 2 3 2 2 4" xfId="44561"/>
    <cellStyle name="Output 2 3 2 2 4 2" xfId="44562"/>
    <cellStyle name="Output 2 3 2 2 4 2 2" xfId="44563"/>
    <cellStyle name="Output 2 3 2 2 4 3" xfId="44564"/>
    <cellStyle name="Output 2 3 2 2 4 3 2" xfId="44565"/>
    <cellStyle name="Output 2 3 2 2 4 4" xfId="44566"/>
    <cellStyle name="Output 2 3 2 2 4 5" xfId="44567"/>
    <cellStyle name="Output 2 3 2 2 4 6" xfId="44568"/>
    <cellStyle name="Output 2 3 2 2 5" xfId="44569"/>
    <cellStyle name="Output 2 3 2 2 5 2" xfId="44570"/>
    <cellStyle name="Output 2 3 2 2 6" xfId="44571"/>
    <cellStyle name="Output 2 3 2 2 6 2" xfId="44572"/>
    <cellStyle name="Output 2 3 2 2 7" xfId="44573"/>
    <cellStyle name="Output 2 3 2 2 8" xfId="44574"/>
    <cellStyle name="Output 2 3 2 2 9" xfId="44575"/>
    <cellStyle name="Output 2 3 2 3" xfId="44576"/>
    <cellStyle name="Output 2 3 2 3 2" xfId="44577"/>
    <cellStyle name="Output 2 3 2 3 2 2" xfId="44578"/>
    <cellStyle name="Output 2 3 2 3 2 2 2" xfId="44579"/>
    <cellStyle name="Output 2 3 2 3 2 2 2 2" xfId="44580"/>
    <cellStyle name="Output 2 3 2 3 2 2 3" xfId="44581"/>
    <cellStyle name="Output 2 3 2 3 2 2 3 2" xfId="44582"/>
    <cellStyle name="Output 2 3 2 3 2 2 4" xfId="44583"/>
    <cellStyle name="Output 2 3 2 3 2 2 5" xfId="44584"/>
    <cellStyle name="Output 2 3 2 3 2 2 6" xfId="44585"/>
    <cellStyle name="Output 2 3 2 3 2 3" xfId="44586"/>
    <cellStyle name="Output 2 3 2 3 2 3 2" xfId="44587"/>
    <cellStyle name="Output 2 3 2 3 2 4" xfId="44588"/>
    <cellStyle name="Output 2 3 2 3 2 4 2" xfId="44589"/>
    <cellStyle name="Output 2 3 2 3 2 5" xfId="44590"/>
    <cellStyle name="Output 2 3 2 3 2 6" xfId="44591"/>
    <cellStyle name="Output 2 3 2 3 2 7" xfId="44592"/>
    <cellStyle name="Output 2 3 2 3 3" xfId="44593"/>
    <cellStyle name="Output 2 3 2 3 3 2" xfId="44594"/>
    <cellStyle name="Output 2 3 2 3 3 2 2" xfId="44595"/>
    <cellStyle name="Output 2 3 2 3 3 3" xfId="44596"/>
    <cellStyle name="Output 2 3 2 3 3 3 2" xfId="44597"/>
    <cellStyle name="Output 2 3 2 3 3 4" xfId="44598"/>
    <cellStyle name="Output 2 3 2 3 3 5" xfId="44599"/>
    <cellStyle name="Output 2 3 2 3 3 6" xfId="44600"/>
    <cellStyle name="Output 2 3 2 3 4" xfId="44601"/>
    <cellStyle name="Output 2 3 2 3 4 2" xfId="44602"/>
    <cellStyle name="Output 2 3 2 3 5" xfId="44603"/>
    <cellStyle name="Output 2 3 2 3 5 2" xfId="44604"/>
    <cellStyle name="Output 2 3 2 3 6" xfId="44605"/>
    <cellStyle name="Output 2 3 2 3 7" xfId="44606"/>
    <cellStyle name="Output 2 3 2 3 8" xfId="44607"/>
    <cellStyle name="Output 2 3 2 4" xfId="44608"/>
    <cellStyle name="Output 2 3 2 4 2" xfId="44609"/>
    <cellStyle name="Output 2 3 2 4 2 2" xfId="44610"/>
    <cellStyle name="Output 2 3 2 4 2 2 2" xfId="44611"/>
    <cellStyle name="Output 2 3 2 4 2 3" xfId="44612"/>
    <cellStyle name="Output 2 3 2 4 2 3 2" xfId="44613"/>
    <cellStyle name="Output 2 3 2 4 2 4" xfId="44614"/>
    <cellStyle name="Output 2 3 2 4 2 5" xfId="44615"/>
    <cellStyle name="Output 2 3 2 4 2 6" xfId="44616"/>
    <cellStyle name="Output 2 3 2 4 3" xfId="44617"/>
    <cellStyle name="Output 2 3 2 4 3 2" xfId="44618"/>
    <cellStyle name="Output 2 3 2 4 4" xfId="44619"/>
    <cellStyle name="Output 2 3 2 4 4 2" xfId="44620"/>
    <cellStyle name="Output 2 3 2 4 5" xfId="44621"/>
    <cellStyle name="Output 2 3 2 4 6" xfId="44622"/>
    <cellStyle name="Output 2 3 2 4 7" xfId="44623"/>
    <cellStyle name="Output 2 3 2 5" xfId="44624"/>
    <cellStyle name="Output 2 3 2 5 2" xfId="44625"/>
    <cellStyle name="Output 2 3 2 5 2 2" xfId="44626"/>
    <cellStyle name="Output 2 3 2 5 3" xfId="44627"/>
    <cellStyle name="Output 2 3 2 5 3 2" xfId="44628"/>
    <cellStyle name="Output 2 3 2 5 4" xfId="44629"/>
    <cellStyle name="Output 2 3 2 5 5" xfId="44630"/>
    <cellStyle name="Output 2 3 2 5 6" xfId="44631"/>
    <cellStyle name="Output 2 3 2 6" xfId="44632"/>
    <cellStyle name="Output 2 3 2 6 2" xfId="44633"/>
    <cellStyle name="Output 2 3 2 7" xfId="44634"/>
    <cellStyle name="Output 2 3 2 7 2" xfId="44635"/>
    <cellStyle name="Output 2 3 2 8" xfId="44636"/>
    <cellStyle name="Output 2 3 2 9" xfId="44637"/>
    <cellStyle name="Output 2 3 3" xfId="44638"/>
    <cellStyle name="Output 2 3 3 2" xfId="44639"/>
    <cellStyle name="Output 2 3 3 2 2" xfId="44640"/>
    <cellStyle name="Output 2 3 3 2 2 2" xfId="44641"/>
    <cellStyle name="Output 2 3 3 2 2 2 2" xfId="44642"/>
    <cellStyle name="Output 2 3 3 2 2 2 2 2" xfId="44643"/>
    <cellStyle name="Output 2 3 3 2 2 2 3" xfId="44644"/>
    <cellStyle name="Output 2 3 3 2 2 2 3 2" xfId="44645"/>
    <cellStyle name="Output 2 3 3 2 2 2 4" xfId="44646"/>
    <cellStyle name="Output 2 3 3 2 2 2 5" xfId="44647"/>
    <cellStyle name="Output 2 3 3 2 2 2 6" xfId="44648"/>
    <cellStyle name="Output 2 3 3 2 2 3" xfId="44649"/>
    <cellStyle name="Output 2 3 3 2 2 3 2" xfId="44650"/>
    <cellStyle name="Output 2 3 3 2 2 4" xfId="44651"/>
    <cellStyle name="Output 2 3 3 2 2 4 2" xfId="44652"/>
    <cellStyle name="Output 2 3 3 2 2 5" xfId="44653"/>
    <cellStyle name="Output 2 3 3 2 2 6" xfId="44654"/>
    <cellStyle name="Output 2 3 3 2 2 7" xfId="44655"/>
    <cellStyle name="Output 2 3 3 2 3" xfId="44656"/>
    <cellStyle name="Output 2 3 3 2 3 2" xfId="44657"/>
    <cellStyle name="Output 2 3 3 2 3 2 2" xfId="44658"/>
    <cellStyle name="Output 2 3 3 2 3 3" xfId="44659"/>
    <cellStyle name="Output 2 3 3 2 3 3 2" xfId="44660"/>
    <cellStyle name="Output 2 3 3 2 3 4" xfId="44661"/>
    <cellStyle name="Output 2 3 3 2 3 5" xfId="44662"/>
    <cellStyle name="Output 2 3 3 2 3 6" xfId="44663"/>
    <cellStyle name="Output 2 3 3 2 4" xfId="44664"/>
    <cellStyle name="Output 2 3 3 2 4 2" xfId="44665"/>
    <cellStyle name="Output 2 3 3 2 5" xfId="44666"/>
    <cellStyle name="Output 2 3 3 2 5 2" xfId="44667"/>
    <cellStyle name="Output 2 3 3 2 6" xfId="44668"/>
    <cellStyle name="Output 2 3 3 2 7" xfId="44669"/>
    <cellStyle name="Output 2 3 3 2 8" xfId="44670"/>
    <cellStyle name="Output 2 3 3 3" xfId="44671"/>
    <cellStyle name="Output 2 3 3 3 2" xfId="44672"/>
    <cellStyle name="Output 2 3 3 3 2 2" xfId="44673"/>
    <cellStyle name="Output 2 3 3 3 2 2 2" xfId="44674"/>
    <cellStyle name="Output 2 3 3 3 2 3" xfId="44675"/>
    <cellStyle name="Output 2 3 3 3 2 3 2" xfId="44676"/>
    <cellStyle name="Output 2 3 3 3 2 4" xfId="44677"/>
    <cellStyle name="Output 2 3 3 3 2 5" xfId="44678"/>
    <cellStyle name="Output 2 3 3 3 2 6" xfId="44679"/>
    <cellStyle name="Output 2 3 3 3 3" xfId="44680"/>
    <cellStyle name="Output 2 3 3 3 3 2" xfId="44681"/>
    <cellStyle name="Output 2 3 3 3 4" xfId="44682"/>
    <cellStyle name="Output 2 3 3 3 4 2" xfId="44683"/>
    <cellStyle name="Output 2 3 3 3 5" xfId="44684"/>
    <cellStyle name="Output 2 3 3 3 6" xfId="44685"/>
    <cellStyle name="Output 2 3 3 3 7" xfId="44686"/>
    <cellStyle name="Output 2 3 3 4" xfId="44687"/>
    <cellStyle name="Output 2 3 3 4 2" xfId="44688"/>
    <cellStyle name="Output 2 3 3 4 2 2" xfId="44689"/>
    <cellStyle name="Output 2 3 3 4 3" xfId="44690"/>
    <cellStyle name="Output 2 3 3 4 3 2" xfId="44691"/>
    <cellStyle name="Output 2 3 3 4 4" xfId="44692"/>
    <cellStyle name="Output 2 3 3 4 5" xfId="44693"/>
    <cellStyle name="Output 2 3 3 4 6" xfId="44694"/>
    <cellStyle name="Output 2 3 3 5" xfId="44695"/>
    <cellStyle name="Output 2 3 3 5 2" xfId="44696"/>
    <cellStyle name="Output 2 3 3 6" xfId="44697"/>
    <cellStyle name="Output 2 3 3 6 2" xfId="44698"/>
    <cellStyle name="Output 2 3 3 7" xfId="44699"/>
    <cellStyle name="Output 2 3 3 8" xfId="44700"/>
    <cellStyle name="Output 2 3 3 9" xfId="44701"/>
    <cellStyle name="Output 2 3 4" xfId="44702"/>
    <cellStyle name="Output 2 3 4 10" xfId="44703"/>
    <cellStyle name="Output 2 3 4 2" xfId="44704"/>
    <cellStyle name="Output 2 3 4 2 2" xfId="44705"/>
    <cellStyle name="Output 2 3 4 2 2 2" xfId="44706"/>
    <cellStyle name="Output 2 3 4 2 2 2 2" xfId="44707"/>
    <cellStyle name="Output 2 3 4 2 2 2 2 2" xfId="44708"/>
    <cellStyle name="Output 2 3 4 2 2 2 2 2 2" xfId="44709"/>
    <cellStyle name="Output 2 3 4 2 2 2 2 3" xfId="44710"/>
    <cellStyle name="Output 2 3 4 2 2 2 2 3 2" xfId="44711"/>
    <cellStyle name="Output 2 3 4 2 2 2 2 4" xfId="44712"/>
    <cellStyle name="Output 2 3 4 2 2 2 2 5" xfId="44713"/>
    <cellStyle name="Output 2 3 4 2 2 2 2 6" xfId="44714"/>
    <cellStyle name="Output 2 3 4 2 2 2 3" xfId="44715"/>
    <cellStyle name="Output 2 3 4 2 2 2 3 2" xfId="44716"/>
    <cellStyle name="Output 2 3 4 2 2 2 4" xfId="44717"/>
    <cellStyle name="Output 2 3 4 2 2 2 4 2" xfId="44718"/>
    <cellStyle name="Output 2 3 4 2 2 2 5" xfId="44719"/>
    <cellStyle name="Output 2 3 4 2 2 2 6" xfId="44720"/>
    <cellStyle name="Output 2 3 4 2 2 2 7" xfId="44721"/>
    <cellStyle name="Output 2 3 4 2 2 3" xfId="44722"/>
    <cellStyle name="Output 2 3 4 2 2 3 2" xfId="44723"/>
    <cellStyle name="Output 2 3 4 2 2 3 2 2" xfId="44724"/>
    <cellStyle name="Output 2 3 4 2 2 3 3" xfId="44725"/>
    <cellStyle name="Output 2 3 4 2 2 3 3 2" xfId="44726"/>
    <cellStyle name="Output 2 3 4 2 2 3 4" xfId="44727"/>
    <cellStyle name="Output 2 3 4 2 2 3 5" xfId="44728"/>
    <cellStyle name="Output 2 3 4 2 2 3 6" xfId="44729"/>
    <cellStyle name="Output 2 3 4 2 2 4" xfId="44730"/>
    <cellStyle name="Output 2 3 4 2 2 4 2" xfId="44731"/>
    <cellStyle name="Output 2 3 4 2 2 5" xfId="44732"/>
    <cellStyle name="Output 2 3 4 2 2 5 2" xfId="44733"/>
    <cellStyle name="Output 2 3 4 2 2 6" xfId="44734"/>
    <cellStyle name="Output 2 3 4 2 2 7" xfId="44735"/>
    <cellStyle name="Output 2 3 4 2 2 8" xfId="44736"/>
    <cellStyle name="Output 2 3 4 2 3" xfId="44737"/>
    <cellStyle name="Output 2 3 4 2 3 2" xfId="44738"/>
    <cellStyle name="Output 2 3 4 2 3 2 2" xfId="44739"/>
    <cellStyle name="Output 2 3 4 2 3 2 2 2" xfId="44740"/>
    <cellStyle name="Output 2 3 4 2 3 2 3" xfId="44741"/>
    <cellStyle name="Output 2 3 4 2 3 2 3 2" xfId="44742"/>
    <cellStyle name="Output 2 3 4 2 3 2 4" xfId="44743"/>
    <cellStyle name="Output 2 3 4 2 3 2 5" xfId="44744"/>
    <cellStyle name="Output 2 3 4 2 3 2 6" xfId="44745"/>
    <cellStyle name="Output 2 3 4 2 3 3" xfId="44746"/>
    <cellStyle name="Output 2 3 4 2 3 3 2" xfId="44747"/>
    <cellStyle name="Output 2 3 4 2 3 4" xfId="44748"/>
    <cellStyle name="Output 2 3 4 2 3 4 2" xfId="44749"/>
    <cellStyle name="Output 2 3 4 2 3 5" xfId="44750"/>
    <cellStyle name="Output 2 3 4 2 3 6" xfId="44751"/>
    <cellStyle name="Output 2 3 4 2 3 7" xfId="44752"/>
    <cellStyle name="Output 2 3 4 2 4" xfId="44753"/>
    <cellStyle name="Output 2 3 4 2 4 2" xfId="44754"/>
    <cellStyle name="Output 2 3 4 2 4 2 2" xfId="44755"/>
    <cellStyle name="Output 2 3 4 2 4 3" xfId="44756"/>
    <cellStyle name="Output 2 3 4 2 4 3 2" xfId="44757"/>
    <cellStyle name="Output 2 3 4 2 4 4" xfId="44758"/>
    <cellStyle name="Output 2 3 4 2 4 5" xfId="44759"/>
    <cellStyle name="Output 2 3 4 2 4 6" xfId="44760"/>
    <cellStyle name="Output 2 3 4 2 5" xfId="44761"/>
    <cellStyle name="Output 2 3 4 2 5 2" xfId="44762"/>
    <cellStyle name="Output 2 3 4 2 6" xfId="44763"/>
    <cellStyle name="Output 2 3 4 2 6 2" xfId="44764"/>
    <cellStyle name="Output 2 3 4 2 7" xfId="44765"/>
    <cellStyle name="Output 2 3 4 2 8" xfId="44766"/>
    <cellStyle name="Output 2 3 4 2 9" xfId="44767"/>
    <cellStyle name="Output 2 3 4 3" xfId="44768"/>
    <cellStyle name="Output 2 3 4 3 2" xfId="44769"/>
    <cellStyle name="Output 2 3 4 3 2 2" xfId="44770"/>
    <cellStyle name="Output 2 3 4 3 2 2 2" xfId="44771"/>
    <cellStyle name="Output 2 3 4 3 2 2 2 2" xfId="44772"/>
    <cellStyle name="Output 2 3 4 3 2 2 3" xfId="44773"/>
    <cellStyle name="Output 2 3 4 3 2 2 3 2" xfId="44774"/>
    <cellStyle name="Output 2 3 4 3 2 2 4" xfId="44775"/>
    <cellStyle name="Output 2 3 4 3 2 2 5" xfId="44776"/>
    <cellStyle name="Output 2 3 4 3 2 2 6" xfId="44777"/>
    <cellStyle name="Output 2 3 4 3 2 3" xfId="44778"/>
    <cellStyle name="Output 2 3 4 3 2 3 2" xfId="44779"/>
    <cellStyle name="Output 2 3 4 3 2 4" xfId="44780"/>
    <cellStyle name="Output 2 3 4 3 2 4 2" xfId="44781"/>
    <cellStyle name="Output 2 3 4 3 2 5" xfId="44782"/>
    <cellStyle name="Output 2 3 4 3 2 6" xfId="44783"/>
    <cellStyle name="Output 2 3 4 3 2 7" xfId="44784"/>
    <cellStyle name="Output 2 3 4 3 3" xfId="44785"/>
    <cellStyle name="Output 2 3 4 3 3 2" xfId="44786"/>
    <cellStyle name="Output 2 3 4 3 3 2 2" xfId="44787"/>
    <cellStyle name="Output 2 3 4 3 3 3" xfId="44788"/>
    <cellStyle name="Output 2 3 4 3 3 3 2" xfId="44789"/>
    <cellStyle name="Output 2 3 4 3 3 4" xfId="44790"/>
    <cellStyle name="Output 2 3 4 3 3 5" xfId="44791"/>
    <cellStyle name="Output 2 3 4 3 3 6" xfId="44792"/>
    <cellStyle name="Output 2 3 4 3 4" xfId="44793"/>
    <cellStyle name="Output 2 3 4 3 4 2" xfId="44794"/>
    <cellStyle name="Output 2 3 4 3 5" xfId="44795"/>
    <cellStyle name="Output 2 3 4 3 5 2" xfId="44796"/>
    <cellStyle name="Output 2 3 4 3 6" xfId="44797"/>
    <cellStyle name="Output 2 3 4 3 7" xfId="44798"/>
    <cellStyle name="Output 2 3 4 3 8" xfId="44799"/>
    <cellStyle name="Output 2 3 4 4" xfId="44800"/>
    <cellStyle name="Output 2 3 4 4 2" xfId="44801"/>
    <cellStyle name="Output 2 3 4 4 2 2" xfId="44802"/>
    <cellStyle name="Output 2 3 4 4 2 2 2" xfId="44803"/>
    <cellStyle name="Output 2 3 4 4 2 3" xfId="44804"/>
    <cellStyle name="Output 2 3 4 4 2 3 2" xfId="44805"/>
    <cellStyle name="Output 2 3 4 4 2 4" xfId="44806"/>
    <cellStyle name="Output 2 3 4 4 2 5" xfId="44807"/>
    <cellStyle name="Output 2 3 4 4 2 6" xfId="44808"/>
    <cellStyle name="Output 2 3 4 4 3" xfId="44809"/>
    <cellStyle name="Output 2 3 4 4 3 2" xfId="44810"/>
    <cellStyle name="Output 2 3 4 4 4" xfId="44811"/>
    <cellStyle name="Output 2 3 4 4 4 2" xfId="44812"/>
    <cellStyle name="Output 2 3 4 4 5" xfId="44813"/>
    <cellStyle name="Output 2 3 4 4 6" xfId="44814"/>
    <cellStyle name="Output 2 3 4 4 7" xfId="44815"/>
    <cellStyle name="Output 2 3 4 5" xfId="44816"/>
    <cellStyle name="Output 2 3 4 5 2" xfId="44817"/>
    <cellStyle name="Output 2 3 4 5 2 2" xfId="44818"/>
    <cellStyle name="Output 2 3 4 5 3" xfId="44819"/>
    <cellStyle name="Output 2 3 4 5 3 2" xfId="44820"/>
    <cellStyle name="Output 2 3 4 5 4" xfId="44821"/>
    <cellStyle name="Output 2 3 4 5 5" xfId="44822"/>
    <cellStyle name="Output 2 3 4 5 6" xfId="44823"/>
    <cellStyle name="Output 2 3 4 6" xfId="44824"/>
    <cellStyle name="Output 2 3 4 6 2" xfId="44825"/>
    <cellStyle name="Output 2 3 4 7" xfId="44826"/>
    <cellStyle name="Output 2 3 4 7 2" xfId="44827"/>
    <cellStyle name="Output 2 3 4 8" xfId="44828"/>
    <cellStyle name="Output 2 3 4 9" xfId="44829"/>
    <cellStyle name="Output 2 3 5" xfId="44830"/>
    <cellStyle name="Output 2 3 5 2" xfId="44831"/>
    <cellStyle name="Output 2 3 5 2 2" xfId="44832"/>
    <cellStyle name="Output 2 3 5 2 2 2" xfId="44833"/>
    <cellStyle name="Output 2 3 5 2 2 2 2" xfId="44834"/>
    <cellStyle name="Output 2 3 5 2 2 3" xfId="44835"/>
    <cellStyle name="Output 2 3 5 2 2 3 2" xfId="44836"/>
    <cellStyle name="Output 2 3 5 2 2 4" xfId="44837"/>
    <cellStyle name="Output 2 3 5 2 2 5" xfId="44838"/>
    <cellStyle name="Output 2 3 5 2 2 6" xfId="44839"/>
    <cellStyle name="Output 2 3 5 2 3" xfId="44840"/>
    <cellStyle name="Output 2 3 5 2 3 2" xfId="44841"/>
    <cellStyle name="Output 2 3 5 2 4" xfId="44842"/>
    <cellStyle name="Output 2 3 5 2 4 2" xfId="44843"/>
    <cellStyle name="Output 2 3 5 2 5" xfId="44844"/>
    <cellStyle name="Output 2 3 5 2 6" xfId="44845"/>
    <cellStyle name="Output 2 3 5 2 7" xfId="44846"/>
    <cellStyle name="Output 2 3 5 3" xfId="44847"/>
    <cellStyle name="Output 2 3 5 3 2" xfId="44848"/>
    <cellStyle name="Output 2 3 5 3 2 2" xfId="44849"/>
    <cellStyle name="Output 2 3 5 3 3" xfId="44850"/>
    <cellStyle name="Output 2 3 5 3 3 2" xfId="44851"/>
    <cellStyle name="Output 2 3 5 3 4" xfId="44852"/>
    <cellStyle name="Output 2 3 5 3 5" xfId="44853"/>
    <cellStyle name="Output 2 3 5 3 6" xfId="44854"/>
    <cellStyle name="Output 2 3 5 4" xfId="44855"/>
    <cellStyle name="Output 2 3 5 4 2" xfId="44856"/>
    <cellStyle name="Output 2 3 5 5" xfId="44857"/>
    <cellStyle name="Output 2 3 5 5 2" xfId="44858"/>
    <cellStyle name="Output 2 3 5 6" xfId="44859"/>
    <cellStyle name="Output 2 3 5 7" xfId="44860"/>
    <cellStyle name="Output 2 3 5 8" xfId="44861"/>
    <cellStyle name="Output 2 3 6" xfId="44862"/>
    <cellStyle name="Output 2 3 6 2" xfId="44863"/>
    <cellStyle name="Output 2 3 6 2 2" xfId="44864"/>
    <cellStyle name="Output 2 3 6 2 2 2" xfId="44865"/>
    <cellStyle name="Output 2 3 6 2 3" xfId="44866"/>
    <cellStyle name="Output 2 3 6 2 3 2" xfId="44867"/>
    <cellStyle name="Output 2 3 6 2 4" xfId="44868"/>
    <cellStyle name="Output 2 3 6 2 5" xfId="44869"/>
    <cellStyle name="Output 2 3 6 2 6" xfId="44870"/>
    <cellStyle name="Output 2 3 6 3" xfId="44871"/>
    <cellStyle name="Output 2 3 6 3 2" xfId="44872"/>
    <cellStyle name="Output 2 3 6 4" xfId="44873"/>
    <cellStyle name="Output 2 3 6 4 2" xfId="44874"/>
    <cellStyle name="Output 2 3 6 5" xfId="44875"/>
    <cellStyle name="Output 2 3 6 6" xfId="44876"/>
    <cellStyle name="Output 2 3 6 7" xfId="44877"/>
    <cellStyle name="Output 2 3 7" xfId="44878"/>
    <cellStyle name="Output 2 3 7 2" xfId="44879"/>
    <cellStyle name="Output 2 3 7 2 2" xfId="44880"/>
    <cellStyle name="Output 2 3 7 3" xfId="44881"/>
    <cellStyle name="Output 2 3 7 3 2" xfId="44882"/>
    <cellStyle name="Output 2 3 7 4" xfId="44883"/>
    <cellStyle name="Output 2 3 7 5" xfId="44884"/>
    <cellStyle name="Output 2 3 7 6" xfId="44885"/>
    <cellStyle name="Output 2 3 8" xfId="44886"/>
    <cellStyle name="Output 2 3 8 2" xfId="44887"/>
    <cellStyle name="Output 2 3 9" xfId="44888"/>
    <cellStyle name="Output 2 3 9 2" xfId="44889"/>
    <cellStyle name="Output 2 4" xfId="44890"/>
    <cellStyle name="Output 2 4 10" xfId="44891"/>
    <cellStyle name="Output 2 4 11" xfId="44892"/>
    <cellStyle name="Output 2 4 2" xfId="44893"/>
    <cellStyle name="Output 2 4 2 2" xfId="44894"/>
    <cellStyle name="Output 2 4 2 2 2" xfId="44895"/>
    <cellStyle name="Output 2 4 2 2 2 2" xfId="44896"/>
    <cellStyle name="Output 2 4 2 2 2 2 2" xfId="44897"/>
    <cellStyle name="Output 2 4 2 2 2 2 2 2" xfId="44898"/>
    <cellStyle name="Output 2 4 2 2 2 2 3" xfId="44899"/>
    <cellStyle name="Output 2 4 2 2 2 2 3 2" xfId="44900"/>
    <cellStyle name="Output 2 4 2 2 2 2 4" xfId="44901"/>
    <cellStyle name="Output 2 4 2 2 2 2 5" xfId="44902"/>
    <cellStyle name="Output 2 4 2 2 2 2 6" xfId="44903"/>
    <cellStyle name="Output 2 4 2 2 2 3" xfId="44904"/>
    <cellStyle name="Output 2 4 2 2 2 3 2" xfId="44905"/>
    <cellStyle name="Output 2 4 2 2 2 4" xfId="44906"/>
    <cellStyle name="Output 2 4 2 2 2 4 2" xfId="44907"/>
    <cellStyle name="Output 2 4 2 2 2 5" xfId="44908"/>
    <cellStyle name="Output 2 4 2 2 2 6" xfId="44909"/>
    <cellStyle name="Output 2 4 2 2 2 7" xfId="44910"/>
    <cellStyle name="Output 2 4 2 2 3" xfId="44911"/>
    <cellStyle name="Output 2 4 2 2 3 2" xfId="44912"/>
    <cellStyle name="Output 2 4 2 2 3 2 2" xfId="44913"/>
    <cellStyle name="Output 2 4 2 2 3 3" xfId="44914"/>
    <cellStyle name="Output 2 4 2 2 3 3 2" xfId="44915"/>
    <cellStyle name="Output 2 4 2 2 3 4" xfId="44916"/>
    <cellStyle name="Output 2 4 2 2 3 5" xfId="44917"/>
    <cellStyle name="Output 2 4 2 2 3 6" xfId="44918"/>
    <cellStyle name="Output 2 4 2 2 4" xfId="44919"/>
    <cellStyle name="Output 2 4 2 2 4 2" xfId="44920"/>
    <cellStyle name="Output 2 4 2 2 5" xfId="44921"/>
    <cellStyle name="Output 2 4 2 2 5 2" xfId="44922"/>
    <cellStyle name="Output 2 4 2 2 6" xfId="44923"/>
    <cellStyle name="Output 2 4 2 2 7" xfId="44924"/>
    <cellStyle name="Output 2 4 2 2 8" xfId="44925"/>
    <cellStyle name="Output 2 4 2 3" xfId="44926"/>
    <cellStyle name="Output 2 4 2 3 2" xfId="44927"/>
    <cellStyle name="Output 2 4 2 3 2 2" xfId="44928"/>
    <cellStyle name="Output 2 4 2 3 2 2 2" xfId="44929"/>
    <cellStyle name="Output 2 4 2 3 2 3" xfId="44930"/>
    <cellStyle name="Output 2 4 2 3 2 3 2" xfId="44931"/>
    <cellStyle name="Output 2 4 2 3 2 4" xfId="44932"/>
    <cellStyle name="Output 2 4 2 3 2 5" xfId="44933"/>
    <cellStyle name="Output 2 4 2 3 2 6" xfId="44934"/>
    <cellStyle name="Output 2 4 2 3 3" xfId="44935"/>
    <cellStyle name="Output 2 4 2 3 3 2" xfId="44936"/>
    <cellStyle name="Output 2 4 2 3 4" xfId="44937"/>
    <cellStyle name="Output 2 4 2 3 4 2" xfId="44938"/>
    <cellStyle name="Output 2 4 2 3 5" xfId="44939"/>
    <cellStyle name="Output 2 4 2 3 6" xfId="44940"/>
    <cellStyle name="Output 2 4 2 3 7" xfId="44941"/>
    <cellStyle name="Output 2 4 2 4" xfId="44942"/>
    <cellStyle name="Output 2 4 2 4 2" xfId="44943"/>
    <cellStyle name="Output 2 4 2 4 2 2" xfId="44944"/>
    <cellStyle name="Output 2 4 2 4 3" xfId="44945"/>
    <cellStyle name="Output 2 4 2 4 3 2" xfId="44946"/>
    <cellStyle name="Output 2 4 2 4 4" xfId="44947"/>
    <cellStyle name="Output 2 4 2 4 5" xfId="44948"/>
    <cellStyle name="Output 2 4 2 4 6" xfId="44949"/>
    <cellStyle name="Output 2 4 2 5" xfId="44950"/>
    <cellStyle name="Output 2 4 2 5 2" xfId="44951"/>
    <cellStyle name="Output 2 4 2 6" xfId="44952"/>
    <cellStyle name="Output 2 4 2 6 2" xfId="44953"/>
    <cellStyle name="Output 2 4 2 7" xfId="44954"/>
    <cellStyle name="Output 2 4 2 8" xfId="44955"/>
    <cellStyle name="Output 2 4 2 9" xfId="44956"/>
    <cellStyle name="Output 2 4 3" xfId="44957"/>
    <cellStyle name="Output 2 4 3 10" xfId="44958"/>
    <cellStyle name="Output 2 4 3 2" xfId="44959"/>
    <cellStyle name="Output 2 4 3 2 2" xfId="44960"/>
    <cellStyle name="Output 2 4 3 2 2 2" xfId="44961"/>
    <cellStyle name="Output 2 4 3 2 2 2 2" xfId="44962"/>
    <cellStyle name="Output 2 4 3 2 2 2 2 2" xfId="44963"/>
    <cellStyle name="Output 2 4 3 2 2 2 2 2 2" xfId="44964"/>
    <cellStyle name="Output 2 4 3 2 2 2 2 3" xfId="44965"/>
    <cellStyle name="Output 2 4 3 2 2 2 2 3 2" xfId="44966"/>
    <cellStyle name="Output 2 4 3 2 2 2 2 4" xfId="44967"/>
    <cellStyle name="Output 2 4 3 2 2 2 2 5" xfId="44968"/>
    <cellStyle name="Output 2 4 3 2 2 2 2 6" xfId="44969"/>
    <cellStyle name="Output 2 4 3 2 2 2 3" xfId="44970"/>
    <cellStyle name="Output 2 4 3 2 2 2 3 2" xfId="44971"/>
    <cellStyle name="Output 2 4 3 2 2 2 4" xfId="44972"/>
    <cellStyle name="Output 2 4 3 2 2 2 4 2" xfId="44973"/>
    <cellStyle name="Output 2 4 3 2 2 2 5" xfId="44974"/>
    <cellStyle name="Output 2 4 3 2 2 2 6" xfId="44975"/>
    <cellStyle name="Output 2 4 3 2 2 2 7" xfId="44976"/>
    <cellStyle name="Output 2 4 3 2 2 3" xfId="44977"/>
    <cellStyle name="Output 2 4 3 2 2 3 2" xfId="44978"/>
    <cellStyle name="Output 2 4 3 2 2 3 2 2" xfId="44979"/>
    <cellStyle name="Output 2 4 3 2 2 3 3" xfId="44980"/>
    <cellStyle name="Output 2 4 3 2 2 3 3 2" xfId="44981"/>
    <cellStyle name="Output 2 4 3 2 2 3 4" xfId="44982"/>
    <cellStyle name="Output 2 4 3 2 2 3 5" xfId="44983"/>
    <cellStyle name="Output 2 4 3 2 2 3 6" xfId="44984"/>
    <cellStyle name="Output 2 4 3 2 2 4" xfId="44985"/>
    <cellStyle name="Output 2 4 3 2 2 4 2" xfId="44986"/>
    <cellStyle name="Output 2 4 3 2 2 5" xfId="44987"/>
    <cellStyle name="Output 2 4 3 2 2 5 2" xfId="44988"/>
    <cellStyle name="Output 2 4 3 2 2 6" xfId="44989"/>
    <cellStyle name="Output 2 4 3 2 2 7" xfId="44990"/>
    <cellStyle name="Output 2 4 3 2 2 8" xfId="44991"/>
    <cellStyle name="Output 2 4 3 2 3" xfId="44992"/>
    <cellStyle name="Output 2 4 3 2 3 2" xfId="44993"/>
    <cellStyle name="Output 2 4 3 2 3 2 2" xfId="44994"/>
    <cellStyle name="Output 2 4 3 2 3 2 2 2" xfId="44995"/>
    <cellStyle name="Output 2 4 3 2 3 2 3" xfId="44996"/>
    <cellStyle name="Output 2 4 3 2 3 2 3 2" xfId="44997"/>
    <cellStyle name="Output 2 4 3 2 3 2 4" xfId="44998"/>
    <cellStyle name="Output 2 4 3 2 3 2 5" xfId="44999"/>
    <cellStyle name="Output 2 4 3 2 3 2 6" xfId="45000"/>
    <cellStyle name="Output 2 4 3 2 3 3" xfId="45001"/>
    <cellStyle name="Output 2 4 3 2 3 3 2" xfId="45002"/>
    <cellStyle name="Output 2 4 3 2 3 4" xfId="45003"/>
    <cellStyle name="Output 2 4 3 2 3 4 2" xfId="45004"/>
    <cellStyle name="Output 2 4 3 2 3 5" xfId="45005"/>
    <cellStyle name="Output 2 4 3 2 3 6" xfId="45006"/>
    <cellStyle name="Output 2 4 3 2 3 7" xfId="45007"/>
    <cellStyle name="Output 2 4 3 2 4" xfId="45008"/>
    <cellStyle name="Output 2 4 3 2 4 2" xfId="45009"/>
    <cellStyle name="Output 2 4 3 2 4 2 2" xfId="45010"/>
    <cellStyle name="Output 2 4 3 2 4 3" xfId="45011"/>
    <cellStyle name="Output 2 4 3 2 4 3 2" xfId="45012"/>
    <cellStyle name="Output 2 4 3 2 4 4" xfId="45013"/>
    <cellStyle name="Output 2 4 3 2 4 5" xfId="45014"/>
    <cellStyle name="Output 2 4 3 2 4 6" xfId="45015"/>
    <cellStyle name="Output 2 4 3 2 5" xfId="45016"/>
    <cellStyle name="Output 2 4 3 2 5 2" xfId="45017"/>
    <cellStyle name="Output 2 4 3 2 6" xfId="45018"/>
    <cellStyle name="Output 2 4 3 2 6 2" xfId="45019"/>
    <cellStyle name="Output 2 4 3 2 7" xfId="45020"/>
    <cellStyle name="Output 2 4 3 2 8" xfId="45021"/>
    <cellStyle name="Output 2 4 3 2 9" xfId="45022"/>
    <cellStyle name="Output 2 4 3 3" xfId="45023"/>
    <cellStyle name="Output 2 4 3 3 2" xfId="45024"/>
    <cellStyle name="Output 2 4 3 3 2 2" xfId="45025"/>
    <cellStyle name="Output 2 4 3 3 2 2 2" xfId="45026"/>
    <cellStyle name="Output 2 4 3 3 2 2 2 2" xfId="45027"/>
    <cellStyle name="Output 2 4 3 3 2 2 3" xfId="45028"/>
    <cellStyle name="Output 2 4 3 3 2 2 3 2" xfId="45029"/>
    <cellStyle name="Output 2 4 3 3 2 2 4" xfId="45030"/>
    <cellStyle name="Output 2 4 3 3 2 2 5" xfId="45031"/>
    <cellStyle name="Output 2 4 3 3 2 2 6" xfId="45032"/>
    <cellStyle name="Output 2 4 3 3 2 3" xfId="45033"/>
    <cellStyle name="Output 2 4 3 3 2 3 2" xfId="45034"/>
    <cellStyle name="Output 2 4 3 3 2 4" xfId="45035"/>
    <cellStyle name="Output 2 4 3 3 2 4 2" xfId="45036"/>
    <cellStyle name="Output 2 4 3 3 2 5" xfId="45037"/>
    <cellStyle name="Output 2 4 3 3 2 6" xfId="45038"/>
    <cellStyle name="Output 2 4 3 3 2 7" xfId="45039"/>
    <cellStyle name="Output 2 4 3 3 3" xfId="45040"/>
    <cellStyle name="Output 2 4 3 3 3 2" xfId="45041"/>
    <cellStyle name="Output 2 4 3 3 3 2 2" xfId="45042"/>
    <cellStyle name="Output 2 4 3 3 3 3" xfId="45043"/>
    <cellStyle name="Output 2 4 3 3 3 3 2" xfId="45044"/>
    <cellStyle name="Output 2 4 3 3 3 4" xfId="45045"/>
    <cellStyle name="Output 2 4 3 3 3 5" xfId="45046"/>
    <cellStyle name="Output 2 4 3 3 3 6" xfId="45047"/>
    <cellStyle name="Output 2 4 3 3 4" xfId="45048"/>
    <cellStyle name="Output 2 4 3 3 4 2" xfId="45049"/>
    <cellStyle name="Output 2 4 3 3 5" xfId="45050"/>
    <cellStyle name="Output 2 4 3 3 5 2" xfId="45051"/>
    <cellStyle name="Output 2 4 3 3 6" xfId="45052"/>
    <cellStyle name="Output 2 4 3 3 7" xfId="45053"/>
    <cellStyle name="Output 2 4 3 3 8" xfId="45054"/>
    <cellStyle name="Output 2 4 3 4" xfId="45055"/>
    <cellStyle name="Output 2 4 3 4 2" xfId="45056"/>
    <cellStyle name="Output 2 4 3 4 2 2" xfId="45057"/>
    <cellStyle name="Output 2 4 3 4 2 2 2" xfId="45058"/>
    <cellStyle name="Output 2 4 3 4 2 3" xfId="45059"/>
    <cellStyle name="Output 2 4 3 4 2 3 2" xfId="45060"/>
    <cellStyle name="Output 2 4 3 4 2 4" xfId="45061"/>
    <cellStyle name="Output 2 4 3 4 2 5" xfId="45062"/>
    <cellStyle name="Output 2 4 3 4 2 6" xfId="45063"/>
    <cellStyle name="Output 2 4 3 4 3" xfId="45064"/>
    <cellStyle name="Output 2 4 3 4 3 2" xfId="45065"/>
    <cellStyle name="Output 2 4 3 4 4" xfId="45066"/>
    <cellStyle name="Output 2 4 3 4 4 2" xfId="45067"/>
    <cellStyle name="Output 2 4 3 4 5" xfId="45068"/>
    <cellStyle name="Output 2 4 3 4 6" xfId="45069"/>
    <cellStyle name="Output 2 4 3 4 7" xfId="45070"/>
    <cellStyle name="Output 2 4 3 5" xfId="45071"/>
    <cellStyle name="Output 2 4 3 5 2" xfId="45072"/>
    <cellStyle name="Output 2 4 3 5 2 2" xfId="45073"/>
    <cellStyle name="Output 2 4 3 5 3" xfId="45074"/>
    <cellStyle name="Output 2 4 3 5 3 2" xfId="45075"/>
    <cellStyle name="Output 2 4 3 5 4" xfId="45076"/>
    <cellStyle name="Output 2 4 3 5 5" xfId="45077"/>
    <cellStyle name="Output 2 4 3 5 6" xfId="45078"/>
    <cellStyle name="Output 2 4 3 6" xfId="45079"/>
    <cellStyle name="Output 2 4 3 6 2" xfId="45080"/>
    <cellStyle name="Output 2 4 3 7" xfId="45081"/>
    <cellStyle name="Output 2 4 3 7 2" xfId="45082"/>
    <cellStyle name="Output 2 4 3 8" xfId="45083"/>
    <cellStyle name="Output 2 4 3 9" xfId="45084"/>
    <cellStyle name="Output 2 4 4" xfId="45085"/>
    <cellStyle name="Output 2 4 4 2" xfId="45086"/>
    <cellStyle name="Output 2 4 4 2 2" xfId="45087"/>
    <cellStyle name="Output 2 4 4 2 2 2" xfId="45088"/>
    <cellStyle name="Output 2 4 4 2 2 2 2" xfId="45089"/>
    <cellStyle name="Output 2 4 4 2 2 3" xfId="45090"/>
    <cellStyle name="Output 2 4 4 2 2 3 2" xfId="45091"/>
    <cellStyle name="Output 2 4 4 2 2 4" xfId="45092"/>
    <cellStyle name="Output 2 4 4 2 2 5" xfId="45093"/>
    <cellStyle name="Output 2 4 4 2 2 6" xfId="45094"/>
    <cellStyle name="Output 2 4 4 2 3" xfId="45095"/>
    <cellStyle name="Output 2 4 4 2 3 2" xfId="45096"/>
    <cellStyle name="Output 2 4 4 2 4" xfId="45097"/>
    <cellStyle name="Output 2 4 4 2 4 2" xfId="45098"/>
    <cellStyle name="Output 2 4 4 2 5" xfId="45099"/>
    <cellStyle name="Output 2 4 4 2 6" xfId="45100"/>
    <cellStyle name="Output 2 4 4 2 7" xfId="45101"/>
    <cellStyle name="Output 2 4 4 3" xfId="45102"/>
    <cellStyle name="Output 2 4 4 3 2" xfId="45103"/>
    <cellStyle name="Output 2 4 4 3 2 2" xfId="45104"/>
    <cellStyle name="Output 2 4 4 3 3" xfId="45105"/>
    <cellStyle name="Output 2 4 4 3 3 2" xfId="45106"/>
    <cellStyle name="Output 2 4 4 3 4" xfId="45107"/>
    <cellStyle name="Output 2 4 4 3 5" xfId="45108"/>
    <cellStyle name="Output 2 4 4 3 6" xfId="45109"/>
    <cellStyle name="Output 2 4 4 4" xfId="45110"/>
    <cellStyle name="Output 2 4 4 4 2" xfId="45111"/>
    <cellStyle name="Output 2 4 4 5" xfId="45112"/>
    <cellStyle name="Output 2 4 4 5 2" xfId="45113"/>
    <cellStyle name="Output 2 4 4 6" xfId="45114"/>
    <cellStyle name="Output 2 4 4 7" xfId="45115"/>
    <cellStyle name="Output 2 4 4 8" xfId="45116"/>
    <cellStyle name="Output 2 4 5" xfId="45117"/>
    <cellStyle name="Output 2 4 5 2" xfId="45118"/>
    <cellStyle name="Output 2 4 5 2 2" xfId="45119"/>
    <cellStyle name="Output 2 4 5 2 2 2" xfId="45120"/>
    <cellStyle name="Output 2 4 5 2 3" xfId="45121"/>
    <cellStyle name="Output 2 4 5 2 3 2" xfId="45122"/>
    <cellStyle name="Output 2 4 5 2 4" xfId="45123"/>
    <cellStyle name="Output 2 4 5 2 5" xfId="45124"/>
    <cellStyle name="Output 2 4 5 2 6" xfId="45125"/>
    <cellStyle name="Output 2 4 5 3" xfId="45126"/>
    <cellStyle name="Output 2 4 5 3 2" xfId="45127"/>
    <cellStyle name="Output 2 4 5 4" xfId="45128"/>
    <cellStyle name="Output 2 4 5 4 2" xfId="45129"/>
    <cellStyle name="Output 2 4 5 5" xfId="45130"/>
    <cellStyle name="Output 2 4 5 6" xfId="45131"/>
    <cellStyle name="Output 2 4 5 7" xfId="45132"/>
    <cellStyle name="Output 2 4 6" xfId="45133"/>
    <cellStyle name="Output 2 4 6 2" xfId="45134"/>
    <cellStyle name="Output 2 4 6 2 2" xfId="45135"/>
    <cellStyle name="Output 2 4 6 3" xfId="45136"/>
    <cellStyle name="Output 2 4 6 3 2" xfId="45137"/>
    <cellStyle name="Output 2 4 6 4" xfId="45138"/>
    <cellStyle name="Output 2 4 6 5" xfId="45139"/>
    <cellStyle name="Output 2 4 6 6" xfId="45140"/>
    <cellStyle name="Output 2 4 7" xfId="45141"/>
    <cellStyle name="Output 2 4 7 2" xfId="45142"/>
    <cellStyle name="Output 2 4 8" xfId="45143"/>
    <cellStyle name="Output 2 4 8 2" xfId="45144"/>
    <cellStyle name="Output 2 4 9" xfId="45145"/>
    <cellStyle name="Output 2 5" xfId="45146"/>
    <cellStyle name="Output 2 5 10" xfId="45147"/>
    <cellStyle name="Output 2 5 2" xfId="45148"/>
    <cellStyle name="Output 2 5 2 2" xfId="45149"/>
    <cellStyle name="Output 2 5 2 2 2" xfId="45150"/>
    <cellStyle name="Output 2 5 2 2 2 2" xfId="45151"/>
    <cellStyle name="Output 2 5 2 2 2 2 2" xfId="45152"/>
    <cellStyle name="Output 2 5 2 2 2 2 2 2" xfId="45153"/>
    <cellStyle name="Output 2 5 2 2 2 2 3" xfId="45154"/>
    <cellStyle name="Output 2 5 2 2 2 2 3 2" xfId="45155"/>
    <cellStyle name="Output 2 5 2 2 2 2 4" xfId="45156"/>
    <cellStyle name="Output 2 5 2 2 2 2 5" xfId="45157"/>
    <cellStyle name="Output 2 5 2 2 2 2 6" xfId="45158"/>
    <cellStyle name="Output 2 5 2 2 2 3" xfId="45159"/>
    <cellStyle name="Output 2 5 2 2 2 3 2" xfId="45160"/>
    <cellStyle name="Output 2 5 2 2 2 4" xfId="45161"/>
    <cellStyle name="Output 2 5 2 2 2 4 2" xfId="45162"/>
    <cellStyle name="Output 2 5 2 2 2 5" xfId="45163"/>
    <cellStyle name="Output 2 5 2 2 2 6" xfId="45164"/>
    <cellStyle name="Output 2 5 2 2 2 7" xfId="45165"/>
    <cellStyle name="Output 2 5 2 2 3" xfId="45166"/>
    <cellStyle name="Output 2 5 2 2 3 2" xfId="45167"/>
    <cellStyle name="Output 2 5 2 2 3 2 2" xfId="45168"/>
    <cellStyle name="Output 2 5 2 2 3 3" xfId="45169"/>
    <cellStyle name="Output 2 5 2 2 3 3 2" xfId="45170"/>
    <cellStyle name="Output 2 5 2 2 3 4" xfId="45171"/>
    <cellStyle name="Output 2 5 2 2 3 5" xfId="45172"/>
    <cellStyle name="Output 2 5 2 2 3 6" xfId="45173"/>
    <cellStyle name="Output 2 5 2 2 4" xfId="45174"/>
    <cellStyle name="Output 2 5 2 2 4 2" xfId="45175"/>
    <cellStyle name="Output 2 5 2 2 5" xfId="45176"/>
    <cellStyle name="Output 2 5 2 2 5 2" xfId="45177"/>
    <cellStyle name="Output 2 5 2 2 6" xfId="45178"/>
    <cellStyle name="Output 2 5 2 2 7" xfId="45179"/>
    <cellStyle name="Output 2 5 2 2 8" xfId="45180"/>
    <cellStyle name="Output 2 5 2 3" xfId="45181"/>
    <cellStyle name="Output 2 5 2 3 2" xfId="45182"/>
    <cellStyle name="Output 2 5 2 3 2 2" xfId="45183"/>
    <cellStyle name="Output 2 5 2 3 2 2 2" xfId="45184"/>
    <cellStyle name="Output 2 5 2 3 2 3" xfId="45185"/>
    <cellStyle name="Output 2 5 2 3 2 3 2" xfId="45186"/>
    <cellStyle name="Output 2 5 2 3 2 4" xfId="45187"/>
    <cellStyle name="Output 2 5 2 3 2 5" xfId="45188"/>
    <cellStyle name="Output 2 5 2 3 2 6" xfId="45189"/>
    <cellStyle name="Output 2 5 2 3 3" xfId="45190"/>
    <cellStyle name="Output 2 5 2 3 3 2" xfId="45191"/>
    <cellStyle name="Output 2 5 2 3 4" xfId="45192"/>
    <cellStyle name="Output 2 5 2 3 4 2" xfId="45193"/>
    <cellStyle name="Output 2 5 2 3 5" xfId="45194"/>
    <cellStyle name="Output 2 5 2 3 6" xfId="45195"/>
    <cellStyle name="Output 2 5 2 3 7" xfId="45196"/>
    <cellStyle name="Output 2 5 2 4" xfId="45197"/>
    <cellStyle name="Output 2 5 2 4 2" xfId="45198"/>
    <cellStyle name="Output 2 5 2 4 2 2" xfId="45199"/>
    <cellStyle name="Output 2 5 2 4 3" xfId="45200"/>
    <cellStyle name="Output 2 5 2 4 3 2" xfId="45201"/>
    <cellStyle name="Output 2 5 2 4 4" xfId="45202"/>
    <cellStyle name="Output 2 5 2 4 5" xfId="45203"/>
    <cellStyle name="Output 2 5 2 4 6" xfId="45204"/>
    <cellStyle name="Output 2 5 2 5" xfId="45205"/>
    <cellStyle name="Output 2 5 2 5 2" xfId="45206"/>
    <cellStyle name="Output 2 5 2 6" xfId="45207"/>
    <cellStyle name="Output 2 5 2 6 2" xfId="45208"/>
    <cellStyle name="Output 2 5 2 7" xfId="45209"/>
    <cellStyle name="Output 2 5 2 8" xfId="45210"/>
    <cellStyle name="Output 2 5 2 9" xfId="45211"/>
    <cellStyle name="Output 2 5 3" xfId="45212"/>
    <cellStyle name="Output 2 5 3 2" xfId="45213"/>
    <cellStyle name="Output 2 5 3 2 2" xfId="45214"/>
    <cellStyle name="Output 2 5 3 2 2 2" xfId="45215"/>
    <cellStyle name="Output 2 5 3 2 2 2 2" xfId="45216"/>
    <cellStyle name="Output 2 5 3 2 2 3" xfId="45217"/>
    <cellStyle name="Output 2 5 3 2 2 3 2" xfId="45218"/>
    <cellStyle name="Output 2 5 3 2 2 4" xfId="45219"/>
    <cellStyle name="Output 2 5 3 2 2 5" xfId="45220"/>
    <cellStyle name="Output 2 5 3 2 2 6" xfId="45221"/>
    <cellStyle name="Output 2 5 3 2 3" xfId="45222"/>
    <cellStyle name="Output 2 5 3 2 3 2" xfId="45223"/>
    <cellStyle name="Output 2 5 3 2 4" xfId="45224"/>
    <cellStyle name="Output 2 5 3 2 4 2" xfId="45225"/>
    <cellStyle name="Output 2 5 3 2 5" xfId="45226"/>
    <cellStyle name="Output 2 5 3 2 6" xfId="45227"/>
    <cellStyle name="Output 2 5 3 2 7" xfId="45228"/>
    <cellStyle name="Output 2 5 3 3" xfId="45229"/>
    <cellStyle name="Output 2 5 3 3 2" xfId="45230"/>
    <cellStyle name="Output 2 5 3 3 2 2" xfId="45231"/>
    <cellStyle name="Output 2 5 3 3 3" xfId="45232"/>
    <cellStyle name="Output 2 5 3 3 3 2" xfId="45233"/>
    <cellStyle name="Output 2 5 3 3 4" xfId="45234"/>
    <cellStyle name="Output 2 5 3 3 5" xfId="45235"/>
    <cellStyle name="Output 2 5 3 3 6" xfId="45236"/>
    <cellStyle name="Output 2 5 3 4" xfId="45237"/>
    <cellStyle name="Output 2 5 3 4 2" xfId="45238"/>
    <cellStyle name="Output 2 5 3 5" xfId="45239"/>
    <cellStyle name="Output 2 5 3 5 2" xfId="45240"/>
    <cellStyle name="Output 2 5 3 6" xfId="45241"/>
    <cellStyle name="Output 2 5 3 7" xfId="45242"/>
    <cellStyle name="Output 2 5 3 8" xfId="45243"/>
    <cellStyle name="Output 2 5 4" xfId="45244"/>
    <cellStyle name="Output 2 5 4 2" xfId="45245"/>
    <cellStyle name="Output 2 5 4 2 2" xfId="45246"/>
    <cellStyle name="Output 2 5 4 2 2 2" xfId="45247"/>
    <cellStyle name="Output 2 5 4 2 3" xfId="45248"/>
    <cellStyle name="Output 2 5 4 2 3 2" xfId="45249"/>
    <cellStyle name="Output 2 5 4 2 4" xfId="45250"/>
    <cellStyle name="Output 2 5 4 2 5" xfId="45251"/>
    <cellStyle name="Output 2 5 4 2 6" xfId="45252"/>
    <cellStyle name="Output 2 5 4 3" xfId="45253"/>
    <cellStyle name="Output 2 5 4 3 2" xfId="45254"/>
    <cellStyle name="Output 2 5 4 4" xfId="45255"/>
    <cellStyle name="Output 2 5 4 4 2" xfId="45256"/>
    <cellStyle name="Output 2 5 4 5" xfId="45257"/>
    <cellStyle name="Output 2 5 4 6" xfId="45258"/>
    <cellStyle name="Output 2 5 4 7" xfId="45259"/>
    <cellStyle name="Output 2 5 5" xfId="45260"/>
    <cellStyle name="Output 2 5 5 2" xfId="45261"/>
    <cellStyle name="Output 2 5 5 2 2" xfId="45262"/>
    <cellStyle name="Output 2 5 5 3" xfId="45263"/>
    <cellStyle name="Output 2 5 5 3 2" xfId="45264"/>
    <cellStyle name="Output 2 5 5 4" xfId="45265"/>
    <cellStyle name="Output 2 5 5 5" xfId="45266"/>
    <cellStyle name="Output 2 5 5 6" xfId="45267"/>
    <cellStyle name="Output 2 5 6" xfId="45268"/>
    <cellStyle name="Output 2 5 6 2" xfId="45269"/>
    <cellStyle name="Output 2 5 7" xfId="45270"/>
    <cellStyle name="Output 2 5 7 2" xfId="45271"/>
    <cellStyle name="Output 2 5 8" xfId="45272"/>
    <cellStyle name="Output 2 5 9" xfId="45273"/>
    <cellStyle name="Output 2 6" xfId="45274"/>
    <cellStyle name="Output 2 6 2" xfId="45275"/>
    <cellStyle name="Output 2 6 2 2" xfId="45276"/>
    <cellStyle name="Output 2 6 2 2 2" xfId="45277"/>
    <cellStyle name="Output 2 6 2 3" xfId="45278"/>
    <cellStyle name="Output 2 6 2 3 2" xfId="45279"/>
    <cellStyle name="Output 2 6 2 4" xfId="45280"/>
    <cellStyle name="Output 2 6 2 5" xfId="45281"/>
    <cellStyle name="Output 2 6 2 6" xfId="45282"/>
    <cellStyle name="Output 2 6 3" xfId="45283"/>
    <cellStyle name="Output 2 6 3 2" xfId="45284"/>
    <cellStyle name="Output 2 6 4" xfId="45285"/>
    <cellStyle name="Output 2 6 4 2" xfId="45286"/>
    <cellStyle name="Output 2 6 5" xfId="45287"/>
    <cellStyle name="Output 2 6 6" xfId="45288"/>
    <cellStyle name="Output 2 6 7" xfId="45289"/>
    <cellStyle name="Output 2 7" xfId="45290"/>
    <cellStyle name="Output 2 7 2" xfId="45291"/>
    <cellStyle name="Output 2 8" xfId="45292"/>
    <cellStyle name="Output 2 8 2" xfId="45293"/>
    <cellStyle name="Output 2 9" xfId="45294"/>
    <cellStyle name="Output 3" xfId="45295"/>
    <cellStyle name="Output 3 10" xfId="45296"/>
    <cellStyle name="Output 3 11" xfId="45297"/>
    <cellStyle name="Output 3 12" xfId="45298"/>
    <cellStyle name="Output 3 2" xfId="45299"/>
    <cellStyle name="Output 3 2 10" xfId="45300"/>
    <cellStyle name="Output 3 2 2" xfId="45301"/>
    <cellStyle name="Output 3 2 2 2" xfId="45302"/>
    <cellStyle name="Output 3 2 2 2 2" xfId="45303"/>
    <cellStyle name="Output 3 2 2 2 2 2" xfId="45304"/>
    <cellStyle name="Output 3 2 2 2 2 2 2" xfId="45305"/>
    <cellStyle name="Output 3 2 2 2 2 2 2 2" xfId="45306"/>
    <cellStyle name="Output 3 2 2 2 2 2 3" xfId="45307"/>
    <cellStyle name="Output 3 2 2 2 2 2 3 2" xfId="45308"/>
    <cellStyle name="Output 3 2 2 2 2 2 4" xfId="45309"/>
    <cellStyle name="Output 3 2 2 2 2 2 5" xfId="45310"/>
    <cellStyle name="Output 3 2 2 2 2 2 6" xfId="45311"/>
    <cellStyle name="Output 3 2 2 2 2 3" xfId="45312"/>
    <cellStyle name="Output 3 2 2 2 2 3 2" xfId="45313"/>
    <cellStyle name="Output 3 2 2 2 2 4" xfId="45314"/>
    <cellStyle name="Output 3 2 2 2 2 4 2" xfId="45315"/>
    <cellStyle name="Output 3 2 2 2 2 5" xfId="45316"/>
    <cellStyle name="Output 3 2 2 2 2 6" xfId="45317"/>
    <cellStyle name="Output 3 2 2 2 2 7" xfId="45318"/>
    <cellStyle name="Output 3 2 2 2 3" xfId="45319"/>
    <cellStyle name="Output 3 2 2 2 3 2" xfId="45320"/>
    <cellStyle name="Output 3 2 2 2 3 2 2" xfId="45321"/>
    <cellStyle name="Output 3 2 2 2 3 3" xfId="45322"/>
    <cellStyle name="Output 3 2 2 2 3 3 2" xfId="45323"/>
    <cellStyle name="Output 3 2 2 2 3 4" xfId="45324"/>
    <cellStyle name="Output 3 2 2 2 3 5" xfId="45325"/>
    <cellStyle name="Output 3 2 2 2 3 6" xfId="45326"/>
    <cellStyle name="Output 3 2 2 2 4" xfId="45327"/>
    <cellStyle name="Output 3 2 2 2 4 2" xfId="45328"/>
    <cellStyle name="Output 3 2 2 2 5" xfId="45329"/>
    <cellStyle name="Output 3 2 2 2 5 2" xfId="45330"/>
    <cellStyle name="Output 3 2 2 2 6" xfId="45331"/>
    <cellStyle name="Output 3 2 2 2 7" xfId="45332"/>
    <cellStyle name="Output 3 2 2 2 8" xfId="45333"/>
    <cellStyle name="Output 3 2 2 3" xfId="45334"/>
    <cellStyle name="Output 3 2 2 3 2" xfId="45335"/>
    <cellStyle name="Output 3 2 2 3 2 2" xfId="45336"/>
    <cellStyle name="Output 3 2 2 3 2 2 2" xfId="45337"/>
    <cellStyle name="Output 3 2 2 3 2 3" xfId="45338"/>
    <cellStyle name="Output 3 2 2 3 2 3 2" xfId="45339"/>
    <cellStyle name="Output 3 2 2 3 2 4" xfId="45340"/>
    <cellStyle name="Output 3 2 2 3 2 5" xfId="45341"/>
    <cellStyle name="Output 3 2 2 3 2 6" xfId="45342"/>
    <cellStyle name="Output 3 2 2 3 3" xfId="45343"/>
    <cellStyle name="Output 3 2 2 3 3 2" xfId="45344"/>
    <cellStyle name="Output 3 2 2 3 4" xfId="45345"/>
    <cellStyle name="Output 3 2 2 3 4 2" xfId="45346"/>
    <cellStyle name="Output 3 2 2 3 5" xfId="45347"/>
    <cellStyle name="Output 3 2 2 3 6" xfId="45348"/>
    <cellStyle name="Output 3 2 2 3 7" xfId="45349"/>
    <cellStyle name="Output 3 2 2 4" xfId="45350"/>
    <cellStyle name="Output 3 2 2 4 2" xfId="45351"/>
    <cellStyle name="Output 3 2 2 4 2 2" xfId="45352"/>
    <cellStyle name="Output 3 2 2 4 3" xfId="45353"/>
    <cellStyle name="Output 3 2 2 4 3 2" xfId="45354"/>
    <cellStyle name="Output 3 2 2 4 4" xfId="45355"/>
    <cellStyle name="Output 3 2 2 4 5" xfId="45356"/>
    <cellStyle name="Output 3 2 2 4 6" xfId="45357"/>
    <cellStyle name="Output 3 2 2 5" xfId="45358"/>
    <cellStyle name="Output 3 2 2 5 2" xfId="45359"/>
    <cellStyle name="Output 3 2 2 6" xfId="45360"/>
    <cellStyle name="Output 3 2 2 6 2" xfId="45361"/>
    <cellStyle name="Output 3 2 2 7" xfId="45362"/>
    <cellStyle name="Output 3 2 2 8" xfId="45363"/>
    <cellStyle name="Output 3 2 2 9" xfId="45364"/>
    <cellStyle name="Output 3 2 3" xfId="45365"/>
    <cellStyle name="Output 3 2 3 2" xfId="45366"/>
    <cellStyle name="Output 3 2 3 2 2" xfId="45367"/>
    <cellStyle name="Output 3 2 3 2 2 2" xfId="45368"/>
    <cellStyle name="Output 3 2 3 2 2 2 2" xfId="45369"/>
    <cellStyle name="Output 3 2 3 2 2 3" xfId="45370"/>
    <cellStyle name="Output 3 2 3 2 2 3 2" xfId="45371"/>
    <cellStyle name="Output 3 2 3 2 2 4" xfId="45372"/>
    <cellStyle name="Output 3 2 3 2 2 5" xfId="45373"/>
    <cellStyle name="Output 3 2 3 2 2 6" xfId="45374"/>
    <cellStyle name="Output 3 2 3 2 3" xfId="45375"/>
    <cellStyle name="Output 3 2 3 2 3 2" xfId="45376"/>
    <cellStyle name="Output 3 2 3 2 4" xfId="45377"/>
    <cellStyle name="Output 3 2 3 2 4 2" xfId="45378"/>
    <cellStyle name="Output 3 2 3 2 5" xfId="45379"/>
    <cellStyle name="Output 3 2 3 2 6" xfId="45380"/>
    <cellStyle name="Output 3 2 3 2 7" xfId="45381"/>
    <cellStyle name="Output 3 2 3 3" xfId="45382"/>
    <cellStyle name="Output 3 2 3 3 2" xfId="45383"/>
    <cellStyle name="Output 3 2 3 3 2 2" xfId="45384"/>
    <cellStyle name="Output 3 2 3 3 3" xfId="45385"/>
    <cellStyle name="Output 3 2 3 3 3 2" xfId="45386"/>
    <cellStyle name="Output 3 2 3 3 4" xfId="45387"/>
    <cellStyle name="Output 3 2 3 3 5" xfId="45388"/>
    <cellStyle name="Output 3 2 3 3 6" xfId="45389"/>
    <cellStyle name="Output 3 2 3 4" xfId="45390"/>
    <cellStyle name="Output 3 2 3 4 2" xfId="45391"/>
    <cellStyle name="Output 3 2 3 5" xfId="45392"/>
    <cellStyle name="Output 3 2 3 5 2" xfId="45393"/>
    <cellStyle name="Output 3 2 3 6" xfId="45394"/>
    <cellStyle name="Output 3 2 3 7" xfId="45395"/>
    <cellStyle name="Output 3 2 3 8" xfId="45396"/>
    <cellStyle name="Output 3 2 4" xfId="45397"/>
    <cellStyle name="Output 3 2 4 2" xfId="45398"/>
    <cellStyle name="Output 3 2 4 2 2" xfId="45399"/>
    <cellStyle name="Output 3 2 4 2 2 2" xfId="45400"/>
    <cellStyle name="Output 3 2 4 2 3" xfId="45401"/>
    <cellStyle name="Output 3 2 4 2 3 2" xfId="45402"/>
    <cellStyle name="Output 3 2 4 2 4" xfId="45403"/>
    <cellStyle name="Output 3 2 4 2 5" xfId="45404"/>
    <cellStyle name="Output 3 2 4 2 6" xfId="45405"/>
    <cellStyle name="Output 3 2 4 3" xfId="45406"/>
    <cellStyle name="Output 3 2 4 3 2" xfId="45407"/>
    <cellStyle name="Output 3 2 4 4" xfId="45408"/>
    <cellStyle name="Output 3 2 4 4 2" xfId="45409"/>
    <cellStyle name="Output 3 2 4 5" xfId="45410"/>
    <cellStyle name="Output 3 2 4 6" xfId="45411"/>
    <cellStyle name="Output 3 2 4 7" xfId="45412"/>
    <cellStyle name="Output 3 2 5" xfId="45413"/>
    <cellStyle name="Output 3 2 5 2" xfId="45414"/>
    <cellStyle name="Output 3 2 5 2 2" xfId="45415"/>
    <cellStyle name="Output 3 2 5 3" xfId="45416"/>
    <cellStyle name="Output 3 2 5 3 2" xfId="45417"/>
    <cellStyle name="Output 3 2 5 4" xfId="45418"/>
    <cellStyle name="Output 3 2 5 5" xfId="45419"/>
    <cellStyle name="Output 3 2 5 6" xfId="45420"/>
    <cellStyle name="Output 3 2 6" xfId="45421"/>
    <cellStyle name="Output 3 2 6 2" xfId="45422"/>
    <cellStyle name="Output 3 2 7" xfId="45423"/>
    <cellStyle name="Output 3 2 7 2" xfId="45424"/>
    <cellStyle name="Output 3 2 8" xfId="45425"/>
    <cellStyle name="Output 3 2 9" xfId="45426"/>
    <cellStyle name="Output 3 3" xfId="45427"/>
    <cellStyle name="Output 3 3 2" xfId="45428"/>
    <cellStyle name="Output 3 3 2 2" xfId="45429"/>
    <cellStyle name="Output 3 3 2 2 2" xfId="45430"/>
    <cellStyle name="Output 3 3 2 2 2 2" xfId="45431"/>
    <cellStyle name="Output 3 3 2 2 2 2 2" xfId="45432"/>
    <cellStyle name="Output 3 3 2 2 2 3" xfId="45433"/>
    <cellStyle name="Output 3 3 2 2 2 3 2" xfId="45434"/>
    <cellStyle name="Output 3 3 2 2 2 4" xfId="45435"/>
    <cellStyle name="Output 3 3 2 2 2 5" xfId="45436"/>
    <cellStyle name="Output 3 3 2 2 2 6" xfId="45437"/>
    <cellStyle name="Output 3 3 2 2 3" xfId="45438"/>
    <cellStyle name="Output 3 3 2 2 3 2" xfId="45439"/>
    <cellStyle name="Output 3 3 2 2 4" xfId="45440"/>
    <cellStyle name="Output 3 3 2 2 4 2" xfId="45441"/>
    <cellStyle name="Output 3 3 2 2 5" xfId="45442"/>
    <cellStyle name="Output 3 3 2 2 6" xfId="45443"/>
    <cellStyle name="Output 3 3 2 2 7" xfId="45444"/>
    <cellStyle name="Output 3 3 2 3" xfId="45445"/>
    <cellStyle name="Output 3 3 2 3 2" xfId="45446"/>
    <cellStyle name="Output 3 3 2 3 2 2" xfId="45447"/>
    <cellStyle name="Output 3 3 2 3 3" xfId="45448"/>
    <cellStyle name="Output 3 3 2 3 3 2" xfId="45449"/>
    <cellStyle name="Output 3 3 2 3 4" xfId="45450"/>
    <cellStyle name="Output 3 3 2 3 5" xfId="45451"/>
    <cellStyle name="Output 3 3 2 3 6" xfId="45452"/>
    <cellStyle name="Output 3 3 2 4" xfId="45453"/>
    <cellStyle name="Output 3 3 2 4 2" xfId="45454"/>
    <cellStyle name="Output 3 3 2 5" xfId="45455"/>
    <cellStyle name="Output 3 3 2 5 2" xfId="45456"/>
    <cellStyle name="Output 3 3 2 6" xfId="45457"/>
    <cellStyle name="Output 3 3 2 7" xfId="45458"/>
    <cellStyle name="Output 3 3 2 8" xfId="45459"/>
    <cellStyle name="Output 3 3 3" xfId="45460"/>
    <cellStyle name="Output 3 3 3 2" xfId="45461"/>
    <cellStyle name="Output 3 3 3 2 2" xfId="45462"/>
    <cellStyle name="Output 3 3 3 2 2 2" xfId="45463"/>
    <cellStyle name="Output 3 3 3 2 3" xfId="45464"/>
    <cellStyle name="Output 3 3 3 2 3 2" xfId="45465"/>
    <cellStyle name="Output 3 3 3 2 4" xfId="45466"/>
    <cellStyle name="Output 3 3 3 2 5" xfId="45467"/>
    <cellStyle name="Output 3 3 3 2 6" xfId="45468"/>
    <cellStyle name="Output 3 3 3 3" xfId="45469"/>
    <cellStyle name="Output 3 3 3 3 2" xfId="45470"/>
    <cellStyle name="Output 3 3 3 4" xfId="45471"/>
    <cellStyle name="Output 3 3 3 4 2" xfId="45472"/>
    <cellStyle name="Output 3 3 3 5" xfId="45473"/>
    <cellStyle name="Output 3 3 3 6" xfId="45474"/>
    <cellStyle name="Output 3 3 3 7" xfId="45475"/>
    <cellStyle name="Output 3 3 4" xfId="45476"/>
    <cellStyle name="Output 3 3 4 2" xfId="45477"/>
    <cellStyle name="Output 3 3 4 2 2" xfId="45478"/>
    <cellStyle name="Output 3 3 4 3" xfId="45479"/>
    <cellStyle name="Output 3 3 4 3 2" xfId="45480"/>
    <cellStyle name="Output 3 3 4 4" xfId="45481"/>
    <cellStyle name="Output 3 3 4 5" xfId="45482"/>
    <cellStyle name="Output 3 3 4 6" xfId="45483"/>
    <cellStyle name="Output 3 3 5" xfId="45484"/>
    <cellStyle name="Output 3 3 5 2" xfId="45485"/>
    <cellStyle name="Output 3 3 6" xfId="45486"/>
    <cellStyle name="Output 3 3 6 2" xfId="45487"/>
    <cellStyle name="Output 3 3 7" xfId="45488"/>
    <cellStyle name="Output 3 3 8" xfId="45489"/>
    <cellStyle name="Output 3 3 9" xfId="45490"/>
    <cellStyle name="Output 3 4" xfId="45491"/>
    <cellStyle name="Output 3 4 10" xfId="45492"/>
    <cellStyle name="Output 3 4 2" xfId="45493"/>
    <cellStyle name="Output 3 4 2 2" xfId="45494"/>
    <cellStyle name="Output 3 4 2 2 2" xfId="45495"/>
    <cellStyle name="Output 3 4 2 2 2 2" xfId="45496"/>
    <cellStyle name="Output 3 4 2 2 2 2 2" xfId="45497"/>
    <cellStyle name="Output 3 4 2 2 2 2 2 2" xfId="45498"/>
    <cellStyle name="Output 3 4 2 2 2 2 3" xfId="45499"/>
    <cellStyle name="Output 3 4 2 2 2 2 3 2" xfId="45500"/>
    <cellStyle name="Output 3 4 2 2 2 2 4" xfId="45501"/>
    <cellStyle name="Output 3 4 2 2 2 2 5" xfId="45502"/>
    <cellStyle name="Output 3 4 2 2 2 2 6" xfId="45503"/>
    <cellStyle name="Output 3 4 2 2 2 3" xfId="45504"/>
    <cellStyle name="Output 3 4 2 2 2 3 2" xfId="45505"/>
    <cellStyle name="Output 3 4 2 2 2 4" xfId="45506"/>
    <cellStyle name="Output 3 4 2 2 2 4 2" xfId="45507"/>
    <cellStyle name="Output 3 4 2 2 2 5" xfId="45508"/>
    <cellStyle name="Output 3 4 2 2 2 6" xfId="45509"/>
    <cellStyle name="Output 3 4 2 2 2 7" xfId="45510"/>
    <cellStyle name="Output 3 4 2 2 3" xfId="45511"/>
    <cellStyle name="Output 3 4 2 2 3 2" xfId="45512"/>
    <cellStyle name="Output 3 4 2 2 3 2 2" xfId="45513"/>
    <cellStyle name="Output 3 4 2 2 3 3" xfId="45514"/>
    <cellStyle name="Output 3 4 2 2 3 3 2" xfId="45515"/>
    <cellStyle name="Output 3 4 2 2 3 4" xfId="45516"/>
    <cellStyle name="Output 3 4 2 2 3 5" xfId="45517"/>
    <cellStyle name="Output 3 4 2 2 3 6" xfId="45518"/>
    <cellStyle name="Output 3 4 2 2 4" xfId="45519"/>
    <cellStyle name="Output 3 4 2 2 4 2" xfId="45520"/>
    <cellStyle name="Output 3 4 2 2 5" xfId="45521"/>
    <cellStyle name="Output 3 4 2 2 5 2" xfId="45522"/>
    <cellStyle name="Output 3 4 2 2 6" xfId="45523"/>
    <cellStyle name="Output 3 4 2 2 7" xfId="45524"/>
    <cellStyle name="Output 3 4 2 2 8" xfId="45525"/>
    <cellStyle name="Output 3 4 2 3" xfId="45526"/>
    <cellStyle name="Output 3 4 2 3 2" xfId="45527"/>
    <cellStyle name="Output 3 4 2 3 2 2" xfId="45528"/>
    <cellStyle name="Output 3 4 2 3 2 2 2" xfId="45529"/>
    <cellStyle name="Output 3 4 2 3 2 3" xfId="45530"/>
    <cellStyle name="Output 3 4 2 3 2 3 2" xfId="45531"/>
    <cellStyle name="Output 3 4 2 3 2 4" xfId="45532"/>
    <cellStyle name="Output 3 4 2 3 2 5" xfId="45533"/>
    <cellStyle name="Output 3 4 2 3 2 6" xfId="45534"/>
    <cellStyle name="Output 3 4 2 3 3" xfId="45535"/>
    <cellStyle name="Output 3 4 2 3 3 2" xfId="45536"/>
    <cellStyle name="Output 3 4 2 3 4" xfId="45537"/>
    <cellStyle name="Output 3 4 2 3 4 2" xfId="45538"/>
    <cellStyle name="Output 3 4 2 3 5" xfId="45539"/>
    <cellStyle name="Output 3 4 2 3 6" xfId="45540"/>
    <cellStyle name="Output 3 4 2 3 7" xfId="45541"/>
    <cellStyle name="Output 3 4 2 4" xfId="45542"/>
    <cellStyle name="Output 3 4 2 4 2" xfId="45543"/>
    <cellStyle name="Output 3 4 2 4 2 2" xfId="45544"/>
    <cellStyle name="Output 3 4 2 4 3" xfId="45545"/>
    <cellStyle name="Output 3 4 2 4 3 2" xfId="45546"/>
    <cellStyle name="Output 3 4 2 4 4" xfId="45547"/>
    <cellStyle name="Output 3 4 2 4 5" xfId="45548"/>
    <cellStyle name="Output 3 4 2 4 6" xfId="45549"/>
    <cellStyle name="Output 3 4 2 5" xfId="45550"/>
    <cellStyle name="Output 3 4 2 5 2" xfId="45551"/>
    <cellStyle name="Output 3 4 2 6" xfId="45552"/>
    <cellStyle name="Output 3 4 2 6 2" xfId="45553"/>
    <cellStyle name="Output 3 4 2 7" xfId="45554"/>
    <cellStyle name="Output 3 4 2 8" xfId="45555"/>
    <cellStyle name="Output 3 4 2 9" xfId="45556"/>
    <cellStyle name="Output 3 4 3" xfId="45557"/>
    <cellStyle name="Output 3 4 3 2" xfId="45558"/>
    <cellStyle name="Output 3 4 3 2 2" xfId="45559"/>
    <cellStyle name="Output 3 4 3 2 2 2" xfId="45560"/>
    <cellStyle name="Output 3 4 3 2 2 2 2" xfId="45561"/>
    <cellStyle name="Output 3 4 3 2 2 3" xfId="45562"/>
    <cellStyle name="Output 3 4 3 2 2 3 2" xfId="45563"/>
    <cellStyle name="Output 3 4 3 2 2 4" xfId="45564"/>
    <cellStyle name="Output 3 4 3 2 2 5" xfId="45565"/>
    <cellStyle name="Output 3 4 3 2 2 6" xfId="45566"/>
    <cellStyle name="Output 3 4 3 2 3" xfId="45567"/>
    <cellStyle name="Output 3 4 3 2 3 2" xfId="45568"/>
    <cellStyle name="Output 3 4 3 2 4" xfId="45569"/>
    <cellStyle name="Output 3 4 3 2 4 2" xfId="45570"/>
    <cellStyle name="Output 3 4 3 2 5" xfId="45571"/>
    <cellStyle name="Output 3 4 3 2 6" xfId="45572"/>
    <cellStyle name="Output 3 4 3 2 7" xfId="45573"/>
    <cellStyle name="Output 3 4 3 3" xfId="45574"/>
    <cellStyle name="Output 3 4 3 3 2" xfId="45575"/>
    <cellStyle name="Output 3 4 3 3 2 2" xfId="45576"/>
    <cellStyle name="Output 3 4 3 3 3" xfId="45577"/>
    <cellStyle name="Output 3 4 3 3 3 2" xfId="45578"/>
    <cellStyle name="Output 3 4 3 3 4" xfId="45579"/>
    <cellStyle name="Output 3 4 3 3 5" xfId="45580"/>
    <cellStyle name="Output 3 4 3 3 6" xfId="45581"/>
    <cellStyle name="Output 3 4 3 4" xfId="45582"/>
    <cellStyle name="Output 3 4 3 4 2" xfId="45583"/>
    <cellStyle name="Output 3 4 3 5" xfId="45584"/>
    <cellStyle name="Output 3 4 3 5 2" xfId="45585"/>
    <cellStyle name="Output 3 4 3 6" xfId="45586"/>
    <cellStyle name="Output 3 4 3 7" xfId="45587"/>
    <cellStyle name="Output 3 4 3 8" xfId="45588"/>
    <cellStyle name="Output 3 4 4" xfId="45589"/>
    <cellStyle name="Output 3 4 4 2" xfId="45590"/>
    <cellStyle name="Output 3 4 4 2 2" xfId="45591"/>
    <cellStyle name="Output 3 4 4 2 2 2" xfId="45592"/>
    <cellStyle name="Output 3 4 4 2 3" xfId="45593"/>
    <cellStyle name="Output 3 4 4 2 3 2" xfId="45594"/>
    <cellStyle name="Output 3 4 4 2 4" xfId="45595"/>
    <cellStyle name="Output 3 4 4 2 5" xfId="45596"/>
    <cellStyle name="Output 3 4 4 2 6" xfId="45597"/>
    <cellStyle name="Output 3 4 4 3" xfId="45598"/>
    <cellStyle name="Output 3 4 4 3 2" xfId="45599"/>
    <cellStyle name="Output 3 4 4 4" xfId="45600"/>
    <cellStyle name="Output 3 4 4 4 2" xfId="45601"/>
    <cellStyle name="Output 3 4 4 5" xfId="45602"/>
    <cellStyle name="Output 3 4 4 6" xfId="45603"/>
    <cellStyle name="Output 3 4 4 7" xfId="45604"/>
    <cellStyle name="Output 3 4 5" xfId="45605"/>
    <cellStyle name="Output 3 4 5 2" xfId="45606"/>
    <cellStyle name="Output 3 4 5 2 2" xfId="45607"/>
    <cellStyle name="Output 3 4 5 3" xfId="45608"/>
    <cellStyle name="Output 3 4 5 3 2" xfId="45609"/>
    <cellStyle name="Output 3 4 5 4" xfId="45610"/>
    <cellStyle name="Output 3 4 5 5" xfId="45611"/>
    <cellStyle name="Output 3 4 5 6" xfId="45612"/>
    <cellStyle name="Output 3 4 6" xfId="45613"/>
    <cellStyle name="Output 3 4 6 2" xfId="45614"/>
    <cellStyle name="Output 3 4 7" xfId="45615"/>
    <cellStyle name="Output 3 4 7 2" xfId="45616"/>
    <cellStyle name="Output 3 4 8" xfId="45617"/>
    <cellStyle name="Output 3 4 9" xfId="45618"/>
    <cellStyle name="Output 3 5" xfId="45619"/>
    <cellStyle name="Output 3 5 2" xfId="45620"/>
    <cellStyle name="Output 3 5 2 2" xfId="45621"/>
    <cellStyle name="Output 3 5 2 2 2" xfId="45622"/>
    <cellStyle name="Output 3 5 2 2 2 2" xfId="45623"/>
    <cellStyle name="Output 3 5 2 2 3" xfId="45624"/>
    <cellStyle name="Output 3 5 2 2 3 2" xfId="45625"/>
    <cellStyle name="Output 3 5 2 2 4" xfId="45626"/>
    <cellStyle name="Output 3 5 2 2 5" xfId="45627"/>
    <cellStyle name="Output 3 5 2 2 6" xfId="45628"/>
    <cellStyle name="Output 3 5 2 3" xfId="45629"/>
    <cellStyle name="Output 3 5 2 3 2" xfId="45630"/>
    <cellStyle name="Output 3 5 2 4" xfId="45631"/>
    <cellStyle name="Output 3 5 2 4 2" xfId="45632"/>
    <cellStyle name="Output 3 5 2 5" xfId="45633"/>
    <cellStyle name="Output 3 5 2 6" xfId="45634"/>
    <cellStyle name="Output 3 5 2 7" xfId="45635"/>
    <cellStyle name="Output 3 5 3" xfId="45636"/>
    <cellStyle name="Output 3 5 3 2" xfId="45637"/>
    <cellStyle name="Output 3 5 3 2 2" xfId="45638"/>
    <cellStyle name="Output 3 5 3 3" xfId="45639"/>
    <cellStyle name="Output 3 5 3 3 2" xfId="45640"/>
    <cellStyle name="Output 3 5 3 4" xfId="45641"/>
    <cellStyle name="Output 3 5 3 5" xfId="45642"/>
    <cellStyle name="Output 3 5 3 6" xfId="45643"/>
    <cellStyle name="Output 3 5 4" xfId="45644"/>
    <cellStyle name="Output 3 5 4 2" xfId="45645"/>
    <cellStyle name="Output 3 5 5" xfId="45646"/>
    <cellStyle name="Output 3 5 5 2" xfId="45647"/>
    <cellStyle name="Output 3 5 6" xfId="45648"/>
    <cellStyle name="Output 3 5 7" xfId="45649"/>
    <cellStyle name="Output 3 5 8" xfId="45650"/>
    <cellStyle name="Output 3 6" xfId="45651"/>
    <cellStyle name="Output 3 6 2" xfId="45652"/>
    <cellStyle name="Output 3 6 2 2" xfId="45653"/>
    <cellStyle name="Output 3 6 2 2 2" xfId="45654"/>
    <cellStyle name="Output 3 6 2 3" xfId="45655"/>
    <cellStyle name="Output 3 6 2 3 2" xfId="45656"/>
    <cellStyle name="Output 3 6 2 4" xfId="45657"/>
    <cellStyle name="Output 3 6 2 5" xfId="45658"/>
    <cellStyle name="Output 3 6 2 6" xfId="45659"/>
    <cellStyle name="Output 3 6 3" xfId="45660"/>
    <cellStyle name="Output 3 6 3 2" xfId="45661"/>
    <cellStyle name="Output 3 6 4" xfId="45662"/>
    <cellStyle name="Output 3 6 4 2" xfId="45663"/>
    <cellStyle name="Output 3 6 5" xfId="45664"/>
    <cellStyle name="Output 3 6 6" xfId="45665"/>
    <cellStyle name="Output 3 6 7" xfId="45666"/>
    <cellStyle name="Output 3 7" xfId="45667"/>
    <cellStyle name="Output 3 7 2" xfId="45668"/>
    <cellStyle name="Output 3 7 2 2" xfId="45669"/>
    <cellStyle name="Output 3 7 3" xfId="45670"/>
    <cellStyle name="Output 3 7 3 2" xfId="45671"/>
    <cellStyle name="Output 3 7 4" xfId="45672"/>
    <cellStyle name="Output 3 7 5" xfId="45673"/>
    <cellStyle name="Output 3 7 6" xfId="45674"/>
    <cellStyle name="Output 3 8" xfId="45675"/>
    <cellStyle name="Output 3 8 2" xfId="45676"/>
    <cellStyle name="Output 3 9" xfId="45677"/>
    <cellStyle name="Output 3 9 2" xfId="45678"/>
    <cellStyle name="Output 4" xfId="45679"/>
    <cellStyle name="Output 4 10" xfId="45680"/>
    <cellStyle name="Output 4 11" xfId="45681"/>
    <cellStyle name="Output 4 2" xfId="45682"/>
    <cellStyle name="Output 4 2 2" xfId="45683"/>
    <cellStyle name="Output 4 2 2 2" xfId="45684"/>
    <cellStyle name="Output 4 2 2 2 2" xfId="45685"/>
    <cellStyle name="Output 4 2 2 2 2 2" xfId="45686"/>
    <cellStyle name="Output 4 2 2 2 2 2 2" xfId="45687"/>
    <cellStyle name="Output 4 2 2 2 2 3" xfId="45688"/>
    <cellStyle name="Output 4 2 2 2 2 3 2" xfId="45689"/>
    <cellStyle name="Output 4 2 2 2 2 4" xfId="45690"/>
    <cellStyle name="Output 4 2 2 2 2 5" xfId="45691"/>
    <cellStyle name="Output 4 2 2 2 2 6" xfId="45692"/>
    <cellStyle name="Output 4 2 2 2 3" xfId="45693"/>
    <cellStyle name="Output 4 2 2 2 3 2" xfId="45694"/>
    <cellStyle name="Output 4 2 2 2 4" xfId="45695"/>
    <cellStyle name="Output 4 2 2 2 4 2" xfId="45696"/>
    <cellStyle name="Output 4 2 2 2 5" xfId="45697"/>
    <cellStyle name="Output 4 2 2 2 6" xfId="45698"/>
    <cellStyle name="Output 4 2 2 2 7" xfId="45699"/>
    <cellStyle name="Output 4 2 2 3" xfId="45700"/>
    <cellStyle name="Output 4 2 2 3 2" xfId="45701"/>
    <cellStyle name="Output 4 2 2 3 2 2" xfId="45702"/>
    <cellStyle name="Output 4 2 2 3 3" xfId="45703"/>
    <cellStyle name="Output 4 2 2 3 3 2" xfId="45704"/>
    <cellStyle name="Output 4 2 2 3 4" xfId="45705"/>
    <cellStyle name="Output 4 2 2 3 5" xfId="45706"/>
    <cellStyle name="Output 4 2 2 3 6" xfId="45707"/>
    <cellStyle name="Output 4 2 2 4" xfId="45708"/>
    <cellStyle name="Output 4 2 2 4 2" xfId="45709"/>
    <cellStyle name="Output 4 2 2 5" xfId="45710"/>
    <cellStyle name="Output 4 2 2 5 2" xfId="45711"/>
    <cellStyle name="Output 4 2 2 6" xfId="45712"/>
    <cellStyle name="Output 4 2 2 7" xfId="45713"/>
    <cellStyle name="Output 4 2 2 8" xfId="45714"/>
    <cellStyle name="Output 4 2 3" xfId="45715"/>
    <cellStyle name="Output 4 2 3 2" xfId="45716"/>
    <cellStyle name="Output 4 2 3 2 2" xfId="45717"/>
    <cellStyle name="Output 4 2 3 2 2 2" xfId="45718"/>
    <cellStyle name="Output 4 2 3 2 3" xfId="45719"/>
    <cellStyle name="Output 4 2 3 2 3 2" xfId="45720"/>
    <cellStyle name="Output 4 2 3 2 4" xfId="45721"/>
    <cellStyle name="Output 4 2 3 2 5" xfId="45722"/>
    <cellStyle name="Output 4 2 3 2 6" xfId="45723"/>
    <cellStyle name="Output 4 2 3 3" xfId="45724"/>
    <cellStyle name="Output 4 2 3 3 2" xfId="45725"/>
    <cellStyle name="Output 4 2 3 4" xfId="45726"/>
    <cellStyle name="Output 4 2 3 4 2" xfId="45727"/>
    <cellStyle name="Output 4 2 3 5" xfId="45728"/>
    <cellStyle name="Output 4 2 3 6" xfId="45729"/>
    <cellStyle name="Output 4 2 3 7" xfId="45730"/>
    <cellStyle name="Output 4 2 4" xfId="45731"/>
    <cellStyle name="Output 4 2 4 2" xfId="45732"/>
    <cellStyle name="Output 4 2 4 2 2" xfId="45733"/>
    <cellStyle name="Output 4 2 4 3" xfId="45734"/>
    <cellStyle name="Output 4 2 4 3 2" xfId="45735"/>
    <cellStyle name="Output 4 2 4 4" xfId="45736"/>
    <cellStyle name="Output 4 2 4 5" xfId="45737"/>
    <cellStyle name="Output 4 2 4 6" xfId="45738"/>
    <cellStyle name="Output 4 2 5" xfId="45739"/>
    <cellStyle name="Output 4 2 5 2" xfId="45740"/>
    <cellStyle name="Output 4 2 6" xfId="45741"/>
    <cellStyle name="Output 4 2 6 2" xfId="45742"/>
    <cellStyle name="Output 4 2 7" xfId="45743"/>
    <cellStyle name="Output 4 2 8" xfId="45744"/>
    <cellStyle name="Output 4 2 9" xfId="45745"/>
    <cellStyle name="Output 4 3" xfId="45746"/>
    <cellStyle name="Output 4 3 10" xfId="45747"/>
    <cellStyle name="Output 4 3 2" xfId="45748"/>
    <cellStyle name="Output 4 3 2 2" xfId="45749"/>
    <cellStyle name="Output 4 3 2 2 2" xfId="45750"/>
    <cellStyle name="Output 4 3 2 2 2 2" xfId="45751"/>
    <cellStyle name="Output 4 3 2 2 2 2 2" xfId="45752"/>
    <cellStyle name="Output 4 3 2 2 2 2 2 2" xfId="45753"/>
    <cellStyle name="Output 4 3 2 2 2 2 3" xfId="45754"/>
    <cellStyle name="Output 4 3 2 2 2 2 3 2" xfId="45755"/>
    <cellStyle name="Output 4 3 2 2 2 2 4" xfId="45756"/>
    <cellStyle name="Output 4 3 2 2 2 2 5" xfId="45757"/>
    <cellStyle name="Output 4 3 2 2 2 2 6" xfId="45758"/>
    <cellStyle name="Output 4 3 2 2 2 3" xfId="45759"/>
    <cellStyle name="Output 4 3 2 2 2 3 2" xfId="45760"/>
    <cellStyle name="Output 4 3 2 2 2 4" xfId="45761"/>
    <cellStyle name="Output 4 3 2 2 2 4 2" xfId="45762"/>
    <cellStyle name="Output 4 3 2 2 2 5" xfId="45763"/>
    <cellStyle name="Output 4 3 2 2 2 6" xfId="45764"/>
    <cellStyle name="Output 4 3 2 2 2 7" xfId="45765"/>
    <cellStyle name="Output 4 3 2 2 3" xfId="45766"/>
    <cellStyle name="Output 4 3 2 2 3 2" xfId="45767"/>
    <cellStyle name="Output 4 3 2 2 3 2 2" xfId="45768"/>
    <cellStyle name="Output 4 3 2 2 3 3" xfId="45769"/>
    <cellStyle name="Output 4 3 2 2 3 3 2" xfId="45770"/>
    <cellStyle name="Output 4 3 2 2 3 4" xfId="45771"/>
    <cellStyle name="Output 4 3 2 2 3 5" xfId="45772"/>
    <cellStyle name="Output 4 3 2 2 3 6" xfId="45773"/>
    <cellStyle name="Output 4 3 2 2 4" xfId="45774"/>
    <cellStyle name="Output 4 3 2 2 4 2" xfId="45775"/>
    <cellStyle name="Output 4 3 2 2 5" xfId="45776"/>
    <cellStyle name="Output 4 3 2 2 5 2" xfId="45777"/>
    <cellStyle name="Output 4 3 2 2 6" xfId="45778"/>
    <cellStyle name="Output 4 3 2 2 7" xfId="45779"/>
    <cellStyle name="Output 4 3 2 2 8" xfId="45780"/>
    <cellStyle name="Output 4 3 2 3" xfId="45781"/>
    <cellStyle name="Output 4 3 2 3 2" xfId="45782"/>
    <cellStyle name="Output 4 3 2 3 2 2" xfId="45783"/>
    <cellStyle name="Output 4 3 2 3 2 2 2" xfId="45784"/>
    <cellStyle name="Output 4 3 2 3 2 3" xfId="45785"/>
    <cellStyle name="Output 4 3 2 3 2 3 2" xfId="45786"/>
    <cellStyle name="Output 4 3 2 3 2 4" xfId="45787"/>
    <cellStyle name="Output 4 3 2 3 2 5" xfId="45788"/>
    <cellStyle name="Output 4 3 2 3 2 6" xfId="45789"/>
    <cellStyle name="Output 4 3 2 3 3" xfId="45790"/>
    <cellStyle name="Output 4 3 2 3 3 2" xfId="45791"/>
    <cellStyle name="Output 4 3 2 3 4" xfId="45792"/>
    <cellStyle name="Output 4 3 2 3 4 2" xfId="45793"/>
    <cellStyle name="Output 4 3 2 3 5" xfId="45794"/>
    <cellStyle name="Output 4 3 2 3 6" xfId="45795"/>
    <cellStyle name="Output 4 3 2 3 7" xfId="45796"/>
    <cellStyle name="Output 4 3 2 4" xfId="45797"/>
    <cellStyle name="Output 4 3 2 4 2" xfId="45798"/>
    <cellStyle name="Output 4 3 2 4 2 2" xfId="45799"/>
    <cellStyle name="Output 4 3 2 4 3" xfId="45800"/>
    <cellStyle name="Output 4 3 2 4 3 2" xfId="45801"/>
    <cellStyle name="Output 4 3 2 4 4" xfId="45802"/>
    <cellStyle name="Output 4 3 2 4 5" xfId="45803"/>
    <cellStyle name="Output 4 3 2 4 6" xfId="45804"/>
    <cellStyle name="Output 4 3 2 5" xfId="45805"/>
    <cellStyle name="Output 4 3 2 5 2" xfId="45806"/>
    <cellStyle name="Output 4 3 2 6" xfId="45807"/>
    <cellStyle name="Output 4 3 2 6 2" xfId="45808"/>
    <cellStyle name="Output 4 3 2 7" xfId="45809"/>
    <cellStyle name="Output 4 3 2 8" xfId="45810"/>
    <cellStyle name="Output 4 3 2 9" xfId="45811"/>
    <cellStyle name="Output 4 3 3" xfId="45812"/>
    <cellStyle name="Output 4 3 3 2" xfId="45813"/>
    <cellStyle name="Output 4 3 3 2 2" xfId="45814"/>
    <cellStyle name="Output 4 3 3 2 2 2" xfId="45815"/>
    <cellStyle name="Output 4 3 3 2 2 2 2" xfId="45816"/>
    <cellStyle name="Output 4 3 3 2 2 3" xfId="45817"/>
    <cellStyle name="Output 4 3 3 2 2 3 2" xfId="45818"/>
    <cellStyle name="Output 4 3 3 2 2 4" xfId="45819"/>
    <cellStyle name="Output 4 3 3 2 2 5" xfId="45820"/>
    <cellStyle name="Output 4 3 3 2 2 6" xfId="45821"/>
    <cellStyle name="Output 4 3 3 2 3" xfId="45822"/>
    <cellStyle name="Output 4 3 3 2 3 2" xfId="45823"/>
    <cellStyle name="Output 4 3 3 2 4" xfId="45824"/>
    <cellStyle name="Output 4 3 3 2 4 2" xfId="45825"/>
    <cellStyle name="Output 4 3 3 2 5" xfId="45826"/>
    <cellStyle name="Output 4 3 3 2 6" xfId="45827"/>
    <cellStyle name="Output 4 3 3 2 7" xfId="45828"/>
    <cellStyle name="Output 4 3 3 3" xfId="45829"/>
    <cellStyle name="Output 4 3 3 3 2" xfId="45830"/>
    <cellStyle name="Output 4 3 3 3 2 2" xfId="45831"/>
    <cellStyle name="Output 4 3 3 3 3" xfId="45832"/>
    <cellStyle name="Output 4 3 3 3 3 2" xfId="45833"/>
    <cellStyle name="Output 4 3 3 3 4" xfId="45834"/>
    <cellStyle name="Output 4 3 3 3 5" xfId="45835"/>
    <cellStyle name="Output 4 3 3 3 6" xfId="45836"/>
    <cellStyle name="Output 4 3 3 4" xfId="45837"/>
    <cellStyle name="Output 4 3 3 4 2" xfId="45838"/>
    <cellStyle name="Output 4 3 3 5" xfId="45839"/>
    <cellStyle name="Output 4 3 3 5 2" xfId="45840"/>
    <cellStyle name="Output 4 3 3 6" xfId="45841"/>
    <cellStyle name="Output 4 3 3 7" xfId="45842"/>
    <cellStyle name="Output 4 3 3 8" xfId="45843"/>
    <cellStyle name="Output 4 3 4" xfId="45844"/>
    <cellStyle name="Output 4 3 4 2" xfId="45845"/>
    <cellStyle name="Output 4 3 4 2 2" xfId="45846"/>
    <cellStyle name="Output 4 3 4 2 2 2" xfId="45847"/>
    <cellStyle name="Output 4 3 4 2 3" xfId="45848"/>
    <cellStyle name="Output 4 3 4 2 3 2" xfId="45849"/>
    <cellStyle name="Output 4 3 4 2 4" xfId="45850"/>
    <cellStyle name="Output 4 3 4 2 5" xfId="45851"/>
    <cellStyle name="Output 4 3 4 2 6" xfId="45852"/>
    <cellStyle name="Output 4 3 4 3" xfId="45853"/>
    <cellStyle name="Output 4 3 4 3 2" xfId="45854"/>
    <cellStyle name="Output 4 3 4 4" xfId="45855"/>
    <cellStyle name="Output 4 3 4 4 2" xfId="45856"/>
    <cellStyle name="Output 4 3 4 5" xfId="45857"/>
    <cellStyle name="Output 4 3 4 6" xfId="45858"/>
    <cellStyle name="Output 4 3 4 7" xfId="45859"/>
    <cellStyle name="Output 4 3 5" xfId="45860"/>
    <cellStyle name="Output 4 3 5 2" xfId="45861"/>
    <cellStyle name="Output 4 3 5 2 2" xfId="45862"/>
    <cellStyle name="Output 4 3 5 3" xfId="45863"/>
    <cellStyle name="Output 4 3 5 3 2" xfId="45864"/>
    <cellStyle name="Output 4 3 5 4" xfId="45865"/>
    <cellStyle name="Output 4 3 5 5" xfId="45866"/>
    <cellStyle name="Output 4 3 5 6" xfId="45867"/>
    <cellStyle name="Output 4 3 6" xfId="45868"/>
    <cellStyle name="Output 4 3 6 2" xfId="45869"/>
    <cellStyle name="Output 4 3 7" xfId="45870"/>
    <cellStyle name="Output 4 3 7 2" xfId="45871"/>
    <cellStyle name="Output 4 3 8" xfId="45872"/>
    <cellStyle name="Output 4 3 9" xfId="45873"/>
    <cellStyle name="Output 4 4" xfId="45874"/>
    <cellStyle name="Output 4 4 2" xfId="45875"/>
    <cellStyle name="Output 4 4 2 2" xfId="45876"/>
    <cellStyle name="Output 4 4 2 2 2" xfId="45877"/>
    <cellStyle name="Output 4 4 2 2 2 2" xfId="45878"/>
    <cellStyle name="Output 4 4 2 2 3" xfId="45879"/>
    <cellStyle name="Output 4 4 2 2 3 2" xfId="45880"/>
    <cellStyle name="Output 4 4 2 2 4" xfId="45881"/>
    <cellStyle name="Output 4 4 2 2 5" xfId="45882"/>
    <cellStyle name="Output 4 4 2 2 6" xfId="45883"/>
    <cellStyle name="Output 4 4 2 3" xfId="45884"/>
    <cellStyle name="Output 4 4 2 3 2" xfId="45885"/>
    <cellStyle name="Output 4 4 2 4" xfId="45886"/>
    <cellStyle name="Output 4 4 2 4 2" xfId="45887"/>
    <cellStyle name="Output 4 4 2 5" xfId="45888"/>
    <cellStyle name="Output 4 4 2 6" xfId="45889"/>
    <cellStyle name="Output 4 4 2 7" xfId="45890"/>
    <cellStyle name="Output 4 4 3" xfId="45891"/>
    <cellStyle name="Output 4 4 3 2" xfId="45892"/>
    <cellStyle name="Output 4 4 3 2 2" xfId="45893"/>
    <cellStyle name="Output 4 4 3 3" xfId="45894"/>
    <cellStyle name="Output 4 4 3 3 2" xfId="45895"/>
    <cellStyle name="Output 4 4 3 4" xfId="45896"/>
    <cellStyle name="Output 4 4 3 5" xfId="45897"/>
    <cellStyle name="Output 4 4 3 6" xfId="45898"/>
    <cellStyle name="Output 4 4 4" xfId="45899"/>
    <cellStyle name="Output 4 4 4 2" xfId="45900"/>
    <cellStyle name="Output 4 4 5" xfId="45901"/>
    <cellStyle name="Output 4 4 5 2" xfId="45902"/>
    <cellStyle name="Output 4 4 6" xfId="45903"/>
    <cellStyle name="Output 4 4 7" xfId="45904"/>
    <cellStyle name="Output 4 4 8" xfId="45905"/>
    <cellStyle name="Output 4 5" xfId="45906"/>
    <cellStyle name="Output 4 5 2" xfId="45907"/>
    <cellStyle name="Output 4 5 2 2" xfId="45908"/>
    <cellStyle name="Output 4 5 2 2 2" xfId="45909"/>
    <cellStyle name="Output 4 5 2 3" xfId="45910"/>
    <cellStyle name="Output 4 5 2 3 2" xfId="45911"/>
    <cellStyle name="Output 4 5 2 4" xfId="45912"/>
    <cellStyle name="Output 4 5 2 5" xfId="45913"/>
    <cellStyle name="Output 4 5 2 6" xfId="45914"/>
    <cellStyle name="Output 4 5 3" xfId="45915"/>
    <cellStyle name="Output 4 5 3 2" xfId="45916"/>
    <cellStyle name="Output 4 5 4" xfId="45917"/>
    <cellStyle name="Output 4 5 4 2" xfId="45918"/>
    <cellStyle name="Output 4 5 5" xfId="45919"/>
    <cellStyle name="Output 4 5 6" xfId="45920"/>
    <cellStyle name="Output 4 5 7" xfId="45921"/>
    <cellStyle name="Output 4 6" xfId="45922"/>
    <cellStyle name="Output 4 6 2" xfId="45923"/>
    <cellStyle name="Output 4 6 2 2" xfId="45924"/>
    <cellStyle name="Output 4 6 3" xfId="45925"/>
    <cellStyle name="Output 4 6 3 2" xfId="45926"/>
    <cellStyle name="Output 4 6 4" xfId="45927"/>
    <cellStyle name="Output 4 6 5" xfId="45928"/>
    <cellStyle name="Output 4 6 6" xfId="45929"/>
    <cellStyle name="Output 4 7" xfId="45930"/>
    <cellStyle name="Output 4 7 2" xfId="45931"/>
    <cellStyle name="Output 4 8" xfId="45932"/>
    <cellStyle name="Output 4 8 2" xfId="45933"/>
    <cellStyle name="Output 4 9" xfId="45934"/>
    <cellStyle name="Output 5" xfId="45935"/>
    <cellStyle name="Output 5 10" xfId="45936"/>
    <cellStyle name="Output 5 2" xfId="45937"/>
    <cellStyle name="Output 5 2 2" xfId="45938"/>
    <cellStyle name="Output 5 2 2 2" xfId="45939"/>
    <cellStyle name="Output 5 2 2 2 2" xfId="45940"/>
    <cellStyle name="Output 5 2 2 2 2 2" xfId="45941"/>
    <cellStyle name="Output 5 2 2 2 2 2 2" xfId="45942"/>
    <cellStyle name="Output 5 2 2 2 2 3" xfId="45943"/>
    <cellStyle name="Output 5 2 2 2 2 3 2" xfId="45944"/>
    <cellStyle name="Output 5 2 2 2 2 4" xfId="45945"/>
    <cellStyle name="Output 5 2 2 2 2 5" xfId="45946"/>
    <cellStyle name="Output 5 2 2 2 2 6" xfId="45947"/>
    <cellStyle name="Output 5 2 2 2 3" xfId="45948"/>
    <cellStyle name="Output 5 2 2 2 3 2" xfId="45949"/>
    <cellStyle name="Output 5 2 2 2 4" xfId="45950"/>
    <cellStyle name="Output 5 2 2 2 4 2" xfId="45951"/>
    <cellStyle name="Output 5 2 2 2 5" xfId="45952"/>
    <cellStyle name="Output 5 2 2 2 6" xfId="45953"/>
    <cellStyle name="Output 5 2 2 2 7" xfId="45954"/>
    <cellStyle name="Output 5 2 2 3" xfId="45955"/>
    <cellStyle name="Output 5 2 2 3 2" xfId="45956"/>
    <cellStyle name="Output 5 2 2 3 2 2" xfId="45957"/>
    <cellStyle name="Output 5 2 2 3 3" xfId="45958"/>
    <cellStyle name="Output 5 2 2 3 3 2" xfId="45959"/>
    <cellStyle name="Output 5 2 2 3 4" xfId="45960"/>
    <cellStyle name="Output 5 2 2 3 5" xfId="45961"/>
    <cellStyle name="Output 5 2 2 3 6" xfId="45962"/>
    <cellStyle name="Output 5 2 2 4" xfId="45963"/>
    <cellStyle name="Output 5 2 2 4 2" xfId="45964"/>
    <cellStyle name="Output 5 2 2 5" xfId="45965"/>
    <cellStyle name="Output 5 2 2 5 2" xfId="45966"/>
    <cellStyle name="Output 5 2 2 6" xfId="45967"/>
    <cellStyle name="Output 5 2 2 7" xfId="45968"/>
    <cellStyle name="Output 5 2 2 8" xfId="45969"/>
    <cellStyle name="Output 5 2 3" xfId="45970"/>
    <cellStyle name="Output 5 2 3 2" xfId="45971"/>
    <cellStyle name="Output 5 2 3 2 2" xfId="45972"/>
    <cellStyle name="Output 5 2 3 2 2 2" xfId="45973"/>
    <cellStyle name="Output 5 2 3 2 3" xfId="45974"/>
    <cellStyle name="Output 5 2 3 2 3 2" xfId="45975"/>
    <cellStyle name="Output 5 2 3 2 4" xfId="45976"/>
    <cellStyle name="Output 5 2 3 2 5" xfId="45977"/>
    <cellStyle name="Output 5 2 3 2 6" xfId="45978"/>
    <cellStyle name="Output 5 2 3 3" xfId="45979"/>
    <cellStyle name="Output 5 2 3 3 2" xfId="45980"/>
    <cellStyle name="Output 5 2 3 4" xfId="45981"/>
    <cellStyle name="Output 5 2 3 4 2" xfId="45982"/>
    <cellStyle name="Output 5 2 3 5" xfId="45983"/>
    <cellStyle name="Output 5 2 3 6" xfId="45984"/>
    <cellStyle name="Output 5 2 3 7" xfId="45985"/>
    <cellStyle name="Output 5 2 4" xfId="45986"/>
    <cellStyle name="Output 5 2 4 2" xfId="45987"/>
    <cellStyle name="Output 5 2 4 2 2" xfId="45988"/>
    <cellStyle name="Output 5 2 4 3" xfId="45989"/>
    <cellStyle name="Output 5 2 4 3 2" xfId="45990"/>
    <cellStyle name="Output 5 2 4 4" xfId="45991"/>
    <cellStyle name="Output 5 2 4 5" xfId="45992"/>
    <cellStyle name="Output 5 2 4 6" xfId="45993"/>
    <cellStyle name="Output 5 2 5" xfId="45994"/>
    <cellStyle name="Output 5 2 5 2" xfId="45995"/>
    <cellStyle name="Output 5 2 6" xfId="45996"/>
    <cellStyle name="Output 5 2 6 2" xfId="45997"/>
    <cellStyle name="Output 5 2 7" xfId="45998"/>
    <cellStyle name="Output 5 2 8" xfId="45999"/>
    <cellStyle name="Output 5 2 9" xfId="46000"/>
    <cellStyle name="Output 5 3" xfId="46001"/>
    <cellStyle name="Output 5 3 2" xfId="46002"/>
    <cellStyle name="Output 5 3 2 2" xfId="46003"/>
    <cellStyle name="Output 5 3 2 2 2" xfId="46004"/>
    <cellStyle name="Output 5 3 2 2 2 2" xfId="46005"/>
    <cellStyle name="Output 5 3 2 2 3" xfId="46006"/>
    <cellStyle name="Output 5 3 2 2 3 2" xfId="46007"/>
    <cellStyle name="Output 5 3 2 2 4" xfId="46008"/>
    <cellStyle name="Output 5 3 2 2 5" xfId="46009"/>
    <cellStyle name="Output 5 3 2 2 6" xfId="46010"/>
    <cellStyle name="Output 5 3 2 3" xfId="46011"/>
    <cellStyle name="Output 5 3 2 3 2" xfId="46012"/>
    <cellStyle name="Output 5 3 2 4" xfId="46013"/>
    <cellStyle name="Output 5 3 2 4 2" xfId="46014"/>
    <cellStyle name="Output 5 3 2 5" xfId="46015"/>
    <cellStyle name="Output 5 3 2 6" xfId="46016"/>
    <cellStyle name="Output 5 3 2 7" xfId="46017"/>
    <cellStyle name="Output 5 3 3" xfId="46018"/>
    <cellStyle name="Output 5 3 3 2" xfId="46019"/>
    <cellStyle name="Output 5 3 3 2 2" xfId="46020"/>
    <cellStyle name="Output 5 3 3 3" xfId="46021"/>
    <cellStyle name="Output 5 3 3 3 2" xfId="46022"/>
    <cellStyle name="Output 5 3 3 4" xfId="46023"/>
    <cellStyle name="Output 5 3 3 5" xfId="46024"/>
    <cellStyle name="Output 5 3 3 6" xfId="46025"/>
    <cellStyle name="Output 5 3 4" xfId="46026"/>
    <cellStyle name="Output 5 3 4 2" xfId="46027"/>
    <cellStyle name="Output 5 3 5" xfId="46028"/>
    <cellStyle name="Output 5 3 5 2" xfId="46029"/>
    <cellStyle name="Output 5 3 6" xfId="46030"/>
    <cellStyle name="Output 5 3 7" xfId="46031"/>
    <cellStyle name="Output 5 3 8" xfId="46032"/>
    <cellStyle name="Output 5 4" xfId="46033"/>
    <cellStyle name="Output 5 4 2" xfId="46034"/>
    <cellStyle name="Output 5 4 2 2" xfId="46035"/>
    <cellStyle name="Output 5 4 2 2 2" xfId="46036"/>
    <cellStyle name="Output 5 4 2 3" xfId="46037"/>
    <cellStyle name="Output 5 4 2 3 2" xfId="46038"/>
    <cellStyle name="Output 5 4 2 4" xfId="46039"/>
    <cellStyle name="Output 5 4 2 5" xfId="46040"/>
    <cellStyle name="Output 5 4 2 6" xfId="46041"/>
    <cellStyle name="Output 5 4 3" xfId="46042"/>
    <cellStyle name="Output 5 4 3 2" xfId="46043"/>
    <cellStyle name="Output 5 4 4" xfId="46044"/>
    <cellStyle name="Output 5 4 4 2" xfId="46045"/>
    <cellStyle name="Output 5 4 5" xfId="46046"/>
    <cellStyle name="Output 5 4 6" xfId="46047"/>
    <cellStyle name="Output 5 4 7" xfId="46048"/>
    <cellStyle name="Output 5 5" xfId="46049"/>
    <cellStyle name="Output 5 5 2" xfId="46050"/>
    <cellStyle name="Output 5 5 2 2" xfId="46051"/>
    <cellStyle name="Output 5 5 3" xfId="46052"/>
    <cellStyle name="Output 5 5 3 2" xfId="46053"/>
    <cellStyle name="Output 5 5 4" xfId="46054"/>
    <cellStyle name="Output 5 5 5" xfId="46055"/>
    <cellStyle name="Output 5 5 6" xfId="46056"/>
    <cellStyle name="Output 5 6" xfId="46057"/>
    <cellStyle name="Output 5 6 2" xfId="46058"/>
    <cellStyle name="Output 5 7" xfId="46059"/>
    <cellStyle name="Output 5 7 2" xfId="46060"/>
    <cellStyle name="Output 5 8" xfId="46061"/>
    <cellStyle name="Output 5 9" xfId="46062"/>
    <cellStyle name="Output 6" xfId="46063"/>
    <cellStyle name="Output 6 2" xfId="46064"/>
    <cellStyle name="Output 6 2 2" xfId="46065"/>
    <cellStyle name="Output 6 2 2 2" xfId="46066"/>
    <cellStyle name="Output 6 2 2 2 2" xfId="46067"/>
    <cellStyle name="Output 6 2 2 3" xfId="46068"/>
    <cellStyle name="Output 6 2 2 3 2" xfId="46069"/>
    <cellStyle name="Output 6 2 2 4" xfId="46070"/>
    <cellStyle name="Output 6 2 2 5" xfId="46071"/>
    <cellStyle name="Output 6 2 2 6" xfId="46072"/>
    <cellStyle name="Output 6 2 3" xfId="46073"/>
    <cellStyle name="Output 6 2 3 2" xfId="46074"/>
    <cellStyle name="Output 6 2 4" xfId="46075"/>
    <cellStyle name="Output 6 2 4 2" xfId="46076"/>
    <cellStyle name="Output 6 2 5" xfId="46077"/>
    <cellStyle name="Output 6 2 6" xfId="46078"/>
    <cellStyle name="Output 6 2 7" xfId="46079"/>
    <cellStyle name="Output 6 3" xfId="46080"/>
    <cellStyle name="Output 6 3 2" xfId="46081"/>
    <cellStyle name="Output 6 3 2 2" xfId="46082"/>
    <cellStyle name="Output 6 3 3" xfId="46083"/>
    <cellStyle name="Output 6 3 3 2" xfId="46084"/>
    <cellStyle name="Output 6 3 4" xfId="46085"/>
    <cellStyle name="Output 6 3 5" xfId="46086"/>
    <cellStyle name="Output 6 3 6" xfId="46087"/>
    <cellStyle name="Output 6 4" xfId="46088"/>
    <cellStyle name="Output 6 4 2" xfId="46089"/>
    <cellStyle name="Output 6 5" xfId="46090"/>
    <cellStyle name="Output 6 5 2" xfId="46091"/>
    <cellStyle name="Output 6 6" xfId="46092"/>
    <cellStyle name="Output 6 7" xfId="46093"/>
    <cellStyle name="Output 6 8" xfId="46094"/>
    <cellStyle name="Output 7" xfId="46095"/>
    <cellStyle name="Output 7 2" xfId="46096"/>
    <cellStyle name="Output 7 2 2" xfId="46097"/>
    <cellStyle name="Output 7 2 2 2" xfId="46098"/>
    <cellStyle name="Output 7 2 3" xfId="46099"/>
    <cellStyle name="Output 7 2 3 2" xfId="46100"/>
    <cellStyle name="Output 7 2 4" xfId="46101"/>
    <cellStyle name="Output 7 2 5" xfId="46102"/>
    <cellStyle name="Output 7 2 6" xfId="46103"/>
    <cellStyle name="Output 7 3" xfId="46104"/>
    <cellStyle name="Output 7 3 2" xfId="46105"/>
    <cellStyle name="Output 7 4" xfId="46106"/>
    <cellStyle name="Output 7 4 2" xfId="46107"/>
    <cellStyle name="Output 7 5" xfId="46108"/>
    <cellStyle name="Output 7 6" xfId="46109"/>
    <cellStyle name="Output 7 7" xfId="46110"/>
    <cellStyle name="Output 8" xfId="46111"/>
    <cellStyle name="Output 8 2" xfId="46112"/>
    <cellStyle name="Output 9" xfId="46113"/>
    <cellStyle name="Output 9 2" xfId="46114"/>
    <cellStyle name="Percent" xfId="46115"/>
    <cellStyle name="Percent [2]" xfId="46116"/>
    <cellStyle name="Percent [2] 2" xfId="46117"/>
    <cellStyle name="Percent [2] 3" xfId="46118"/>
    <cellStyle name="Percent [2] 4" xfId="46119"/>
    <cellStyle name="Percent [2] 5" xfId="46120"/>
    <cellStyle name="Percent 2" xfId="46121"/>
    <cellStyle name="Percent 2 2" xfId="46122"/>
    <cellStyle name="Percent 2 2 10" xfId="46123"/>
    <cellStyle name="Percent 2 2 11" xfId="46124"/>
    <cellStyle name="Percent 2 2 12" xfId="46125"/>
    <cellStyle name="Percent 2 2 13" xfId="46126"/>
    <cellStyle name="Percent 2 2 14" xfId="46127"/>
    <cellStyle name="Percent 2 2 15" xfId="46128"/>
    <cellStyle name="Percent 2 2 16" xfId="46129"/>
    <cellStyle name="Percent 2 2 17" xfId="46130"/>
    <cellStyle name="Percent 2 2 18" xfId="46131"/>
    <cellStyle name="Percent 2 2 19" xfId="46132"/>
    <cellStyle name="Percent 2 2 2" xfId="46133"/>
    <cellStyle name="Percent 2 2 20" xfId="46134"/>
    <cellStyle name="Percent 2 2 21" xfId="46135"/>
    <cellStyle name="Percent 2 2 22" xfId="46136"/>
    <cellStyle name="Percent 2 2 23" xfId="46137"/>
    <cellStyle name="Percent 2 2 24" xfId="46138"/>
    <cellStyle name="Percent 2 2 25" xfId="46139"/>
    <cellStyle name="Percent 2 2 3" xfId="46140"/>
    <cellStyle name="Percent 2 2 4" xfId="46141"/>
    <cellStyle name="Percent 2 2 5" xfId="46142"/>
    <cellStyle name="Percent 2 2 6" xfId="46143"/>
    <cellStyle name="Percent 2 2 7" xfId="46144"/>
    <cellStyle name="Percent 2 2 8" xfId="46145"/>
    <cellStyle name="Percent 2 2 9" xfId="46146"/>
    <cellStyle name="Percent 3" xfId="46147"/>
    <cellStyle name="Percent 4" xfId="46148"/>
    <cellStyle name="Percent 5" xfId="46149"/>
    <cellStyle name="Percent 6" xfId="46150"/>
    <cellStyle name="Percent 7" xfId="46151"/>
    <cellStyle name="Percent 8" xfId="46152"/>
    <cellStyle name="Percent 9" xfId="46153"/>
    <cellStyle name="Percent_05-Z01-SHH Desuperheater" xfId="46154"/>
    <cellStyle name="req" xfId="46155"/>
    <cellStyle name="req 10" xfId="46156"/>
    <cellStyle name="req 2" xfId="46157"/>
    <cellStyle name="req 2 10" xfId="46158"/>
    <cellStyle name="req 2 10 2" xfId="46159"/>
    <cellStyle name="req 2 11" xfId="46160"/>
    <cellStyle name="req 2 11 2" xfId="46161"/>
    <cellStyle name="req 2 12" xfId="46162"/>
    <cellStyle name="req 2 13" xfId="46163"/>
    <cellStyle name="req 2 2" xfId="46164"/>
    <cellStyle name="req 2 2 10" xfId="46165"/>
    <cellStyle name="req 2 2 10 2" xfId="46166"/>
    <cellStyle name="req 2 2 11" xfId="46167"/>
    <cellStyle name="req 2 2 11 2" xfId="46168"/>
    <cellStyle name="req 2 2 12" xfId="46169"/>
    <cellStyle name="req 2 2 13" xfId="46170"/>
    <cellStyle name="req 2 2 2" xfId="46171"/>
    <cellStyle name="req 2 2 2 2" xfId="46172"/>
    <cellStyle name="req 2 2 2 2 2" xfId="46173"/>
    <cellStyle name="req 2 2 2 2 2 2" xfId="46174"/>
    <cellStyle name="req 2 2 2 2 2 2 2" xfId="46175"/>
    <cellStyle name="req 2 2 2 2 2 2 2 2" xfId="46176"/>
    <cellStyle name="req 2 2 2 2 2 2 2 2 2" xfId="46177"/>
    <cellStyle name="req 2 2 2 2 2 2 2 3" xfId="46178"/>
    <cellStyle name="req 2 2 2 2 2 2 2 3 2" xfId="46179"/>
    <cellStyle name="req 2 2 2 2 2 2 2 4" xfId="46180"/>
    <cellStyle name="req 2 2 2 2 2 2 2 5" xfId="46181"/>
    <cellStyle name="req 2 2 2 2 2 2 3" xfId="46182"/>
    <cellStyle name="req 2 2 2 2 2 2 3 2" xfId="46183"/>
    <cellStyle name="req 2 2 2 2 2 2 4" xfId="46184"/>
    <cellStyle name="req 2 2 2 2 2 2 4 2" xfId="46185"/>
    <cellStyle name="req 2 2 2 2 2 2 5" xfId="46186"/>
    <cellStyle name="req 2 2 2 2 2 2 6" xfId="46187"/>
    <cellStyle name="req 2 2 2 2 2 3" xfId="46188"/>
    <cellStyle name="req 2 2 2 2 2 3 2" xfId="46189"/>
    <cellStyle name="req 2 2 2 2 2 3 2 2" xfId="46190"/>
    <cellStyle name="req 2 2 2 2 2 3 3" xfId="46191"/>
    <cellStyle name="req 2 2 2 2 2 3 3 2" xfId="46192"/>
    <cellStyle name="req 2 2 2 2 2 3 4" xfId="46193"/>
    <cellStyle name="req 2 2 2 2 2 3 5" xfId="46194"/>
    <cellStyle name="req 2 2 2 2 2 4" xfId="46195"/>
    <cellStyle name="req 2 2 2 2 2 4 2" xfId="46196"/>
    <cellStyle name="req 2 2 2 2 2 5" xfId="46197"/>
    <cellStyle name="req 2 2 2 2 2 5 2" xfId="46198"/>
    <cellStyle name="req 2 2 2 2 2 6" xfId="46199"/>
    <cellStyle name="req 2 2 2 2 2 7" xfId="46200"/>
    <cellStyle name="req 2 2 2 2 3" xfId="46201"/>
    <cellStyle name="req 2 2 2 2 3 2" xfId="46202"/>
    <cellStyle name="req 2 2 2 2 3 2 2" xfId="46203"/>
    <cellStyle name="req 2 2 2 2 3 2 2 2" xfId="46204"/>
    <cellStyle name="req 2 2 2 2 3 2 3" xfId="46205"/>
    <cellStyle name="req 2 2 2 2 3 2 3 2" xfId="46206"/>
    <cellStyle name="req 2 2 2 2 3 2 4" xfId="46207"/>
    <cellStyle name="req 2 2 2 2 3 2 5" xfId="46208"/>
    <cellStyle name="req 2 2 2 2 3 3" xfId="46209"/>
    <cellStyle name="req 2 2 2 2 3 3 2" xfId="46210"/>
    <cellStyle name="req 2 2 2 2 3 4" xfId="46211"/>
    <cellStyle name="req 2 2 2 2 3 4 2" xfId="46212"/>
    <cellStyle name="req 2 2 2 2 3 5" xfId="46213"/>
    <cellStyle name="req 2 2 2 2 3 6" xfId="46214"/>
    <cellStyle name="req 2 2 2 2 4" xfId="46215"/>
    <cellStyle name="req 2 2 2 2 4 2" xfId="46216"/>
    <cellStyle name="req 2 2 2 2 4 2 2" xfId="46217"/>
    <cellStyle name="req 2 2 2 2 4 3" xfId="46218"/>
    <cellStyle name="req 2 2 2 2 4 3 2" xfId="46219"/>
    <cellStyle name="req 2 2 2 2 4 4" xfId="46220"/>
    <cellStyle name="req 2 2 2 2 4 5" xfId="46221"/>
    <cellStyle name="req 2 2 2 2 5" xfId="46222"/>
    <cellStyle name="req 2 2 2 2 5 2" xfId="46223"/>
    <cellStyle name="req 2 2 2 2 6" xfId="46224"/>
    <cellStyle name="req 2 2 2 2 6 2" xfId="46225"/>
    <cellStyle name="req 2 2 2 2 7" xfId="46226"/>
    <cellStyle name="req 2 2 2 2 8" xfId="46227"/>
    <cellStyle name="req 2 2 2 3" xfId="46228"/>
    <cellStyle name="req 2 2 2 3 2" xfId="46229"/>
    <cellStyle name="req 2 2 2 3 2 2" xfId="46230"/>
    <cellStyle name="req 2 2 2 3 2 2 2" xfId="46231"/>
    <cellStyle name="req 2 2 2 3 2 2 2 2" xfId="46232"/>
    <cellStyle name="req 2 2 2 3 2 2 3" xfId="46233"/>
    <cellStyle name="req 2 2 2 3 2 2 3 2" xfId="46234"/>
    <cellStyle name="req 2 2 2 3 2 2 4" xfId="46235"/>
    <cellStyle name="req 2 2 2 3 2 2 5" xfId="46236"/>
    <cellStyle name="req 2 2 2 3 2 3" xfId="46237"/>
    <cellStyle name="req 2 2 2 3 2 3 2" xfId="46238"/>
    <cellStyle name="req 2 2 2 3 2 4" xfId="46239"/>
    <cellStyle name="req 2 2 2 3 2 4 2" xfId="46240"/>
    <cellStyle name="req 2 2 2 3 2 5" xfId="46241"/>
    <cellStyle name="req 2 2 2 3 2 6" xfId="46242"/>
    <cellStyle name="req 2 2 2 3 3" xfId="46243"/>
    <cellStyle name="req 2 2 2 3 3 2" xfId="46244"/>
    <cellStyle name="req 2 2 2 3 3 2 2" xfId="46245"/>
    <cellStyle name="req 2 2 2 3 3 3" xfId="46246"/>
    <cellStyle name="req 2 2 2 3 3 3 2" xfId="46247"/>
    <cellStyle name="req 2 2 2 3 3 4" xfId="46248"/>
    <cellStyle name="req 2 2 2 3 3 5" xfId="46249"/>
    <cellStyle name="req 2 2 2 3 4" xfId="46250"/>
    <cellStyle name="req 2 2 2 3 4 2" xfId="46251"/>
    <cellStyle name="req 2 2 2 3 5" xfId="46252"/>
    <cellStyle name="req 2 2 2 3 5 2" xfId="46253"/>
    <cellStyle name="req 2 2 2 3 6" xfId="46254"/>
    <cellStyle name="req 2 2 2 3 7" xfId="46255"/>
    <cellStyle name="req 2 2 2 4" xfId="46256"/>
    <cellStyle name="req 2 2 2 4 2" xfId="46257"/>
    <cellStyle name="req 2 2 2 4 2 2" xfId="46258"/>
    <cellStyle name="req 2 2 2 4 2 2 2" xfId="46259"/>
    <cellStyle name="req 2 2 2 4 2 3" xfId="46260"/>
    <cellStyle name="req 2 2 2 4 2 3 2" xfId="46261"/>
    <cellStyle name="req 2 2 2 4 2 4" xfId="46262"/>
    <cellStyle name="req 2 2 2 4 2 5" xfId="46263"/>
    <cellStyle name="req 2 2 2 4 3" xfId="46264"/>
    <cellStyle name="req 2 2 2 4 3 2" xfId="46265"/>
    <cellStyle name="req 2 2 2 4 4" xfId="46266"/>
    <cellStyle name="req 2 2 2 4 4 2" xfId="46267"/>
    <cellStyle name="req 2 2 2 4 5" xfId="46268"/>
    <cellStyle name="req 2 2 2 4 6" xfId="46269"/>
    <cellStyle name="req 2 2 2 5" xfId="46270"/>
    <cellStyle name="req 2 2 2 5 2" xfId="46271"/>
    <cellStyle name="req 2 2 2 5 2 2" xfId="46272"/>
    <cellStyle name="req 2 2 2 5 3" xfId="46273"/>
    <cellStyle name="req 2 2 2 5 3 2" xfId="46274"/>
    <cellStyle name="req 2 2 2 5 4" xfId="46275"/>
    <cellStyle name="req 2 2 2 5 5" xfId="46276"/>
    <cellStyle name="req 2 2 2 6" xfId="46277"/>
    <cellStyle name="req 2 2 2 6 2" xfId="46278"/>
    <cellStyle name="req 2 2 2 7" xfId="46279"/>
    <cellStyle name="req 2 2 2 7 2" xfId="46280"/>
    <cellStyle name="req 2 2 2 8" xfId="46281"/>
    <cellStyle name="req 2 2 2 9" xfId="46282"/>
    <cellStyle name="req 2 2 3" xfId="46283"/>
    <cellStyle name="req 2 2 3 2" xfId="46284"/>
    <cellStyle name="req 2 2 3 2 2" xfId="46285"/>
    <cellStyle name="req 2 2 3 2 2 2" xfId="46286"/>
    <cellStyle name="req 2 2 3 2 2 2 2" xfId="46287"/>
    <cellStyle name="req 2 2 3 2 2 2 2 2" xfId="46288"/>
    <cellStyle name="req 2 2 3 2 2 2 2 2 2" xfId="46289"/>
    <cellStyle name="req 2 2 3 2 2 2 2 3" xfId="46290"/>
    <cellStyle name="req 2 2 3 2 2 2 2 3 2" xfId="46291"/>
    <cellStyle name="req 2 2 3 2 2 2 2 4" xfId="46292"/>
    <cellStyle name="req 2 2 3 2 2 2 2 5" xfId="46293"/>
    <cellStyle name="req 2 2 3 2 2 2 3" xfId="46294"/>
    <cellStyle name="req 2 2 3 2 2 2 3 2" xfId="46295"/>
    <cellStyle name="req 2 2 3 2 2 2 4" xfId="46296"/>
    <cellStyle name="req 2 2 3 2 2 2 4 2" xfId="46297"/>
    <cellStyle name="req 2 2 3 2 2 2 5" xfId="46298"/>
    <cellStyle name="req 2 2 3 2 2 2 6" xfId="46299"/>
    <cellStyle name="req 2 2 3 2 2 3" xfId="46300"/>
    <cellStyle name="req 2 2 3 2 2 3 2" xfId="46301"/>
    <cellStyle name="req 2 2 3 2 2 3 2 2" xfId="46302"/>
    <cellStyle name="req 2 2 3 2 2 3 3" xfId="46303"/>
    <cellStyle name="req 2 2 3 2 2 3 3 2" xfId="46304"/>
    <cellStyle name="req 2 2 3 2 2 3 4" xfId="46305"/>
    <cellStyle name="req 2 2 3 2 2 3 5" xfId="46306"/>
    <cellStyle name="req 2 2 3 2 2 4" xfId="46307"/>
    <cellStyle name="req 2 2 3 2 2 4 2" xfId="46308"/>
    <cellStyle name="req 2 2 3 2 2 5" xfId="46309"/>
    <cellStyle name="req 2 2 3 2 2 5 2" xfId="46310"/>
    <cellStyle name="req 2 2 3 2 2 6" xfId="46311"/>
    <cellStyle name="req 2 2 3 2 2 7" xfId="46312"/>
    <cellStyle name="req 2 2 3 2 3" xfId="46313"/>
    <cellStyle name="req 2 2 3 2 3 2" xfId="46314"/>
    <cellStyle name="req 2 2 3 2 3 2 2" xfId="46315"/>
    <cellStyle name="req 2 2 3 2 3 2 2 2" xfId="46316"/>
    <cellStyle name="req 2 2 3 2 3 2 3" xfId="46317"/>
    <cellStyle name="req 2 2 3 2 3 2 3 2" xfId="46318"/>
    <cellStyle name="req 2 2 3 2 3 2 4" xfId="46319"/>
    <cellStyle name="req 2 2 3 2 3 2 5" xfId="46320"/>
    <cellStyle name="req 2 2 3 2 3 3" xfId="46321"/>
    <cellStyle name="req 2 2 3 2 3 3 2" xfId="46322"/>
    <cellStyle name="req 2 2 3 2 3 4" xfId="46323"/>
    <cellStyle name="req 2 2 3 2 3 4 2" xfId="46324"/>
    <cellStyle name="req 2 2 3 2 3 5" xfId="46325"/>
    <cellStyle name="req 2 2 3 2 3 6" xfId="46326"/>
    <cellStyle name="req 2 2 3 2 4" xfId="46327"/>
    <cellStyle name="req 2 2 3 2 4 2" xfId="46328"/>
    <cellStyle name="req 2 2 3 2 4 2 2" xfId="46329"/>
    <cellStyle name="req 2 2 3 2 4 3" xfId="46330"/>
    <cellStyle name="req 2 2 3 2 4 3 2" xfId="46331"/>
    <cellStyle name="req 2 2 3 2 4 4" xfId="46332"/>
    <cellStyle name="req 2 2 3 2 4 5" xfId="46333"/>
    <cellStyle name="req 2 2 3 2 5" xfId="46334"/>
    <cellStyle name="req 2 2 3 2 5 2" xfId="46335"/>
    <cellStyle name="req 2 2 3 2 6" xfId="46336"/>
    <cellStyle name="req 2 2 3 2 6 2" xfId="46337"/>
    <cellStyle name="req 2 2 3 2 7" xfId="46338"/>
    <cellStyle name="req 2 2 3 2 8" xfId="46339"/>
    <cellStyle name="req 2 2 3 3" xfId="46340"/>
    <cellStyle name="req 2 2 3 3 2" xfId="46341"/>
    <cellStyle name="req 2 2 3 3 2 2" xfId="46342"/>
    <cellStyle name="req 2 2 3 3 2 2 2" xfId="46343"/>
    <cellStyle name="req 2 2 3 3 2 2 2 2" xfId="46344"/>
    <cellStyle name="req 2 2 3 3 2 2 3" xfId="46345"/>
    <cellStyle name="req 2 2 3 3 2 2 3 2" xfId="46346"/>
    <cellStyle name="req 2 2 3 3 2 2 4" xfId="46347"/>
    <cellStyle name="req 2 2 3 3 2 2 5" xfId="46348"/>
    <cellStyle name="req 2 2 3 3 2 3" xfId="46349"/>
    <cellStyle name="req 2 2 3 3 2 3 2" xfId="46350"/>
    <cellStyle name="req 2 2 3 3 2 4" xfId="46351"/>
    <cellStyle name="req 2 2 3 3 2 4 2" xfId="46352"/>
    <cellStyle name="req 2 2 3 3 2 5" xfId="46353"/>
    <cellStyle name="req 2 2 3 3 2 6" xfId="46354"/>
    <cellStyle name="req 2 2 3 3 3" xfId="46355"/>
    <cellStyle name="req 2 2 3 3 3 2" xfId="46356"/>
    <cellStyle name="req 2 2 3 3 3 2 2" xfId="46357"/>
    <cellStyle name="req 2 2 3 3 3 3" xfId="46358"/>
    <cellStyle name="req 2 2 3 3 3 3 2" xfId="46359"/>
    <cellStyle name="req 2 2 3 3 3 4" xfId="46360"/>
    <cellStyle name="req 2 2 3 3 3 5" xfId="46361"/>
    <cellStyle name="req 2 2 3 3 4" xfId="46362"/>
    <cellStyle name="req 2 2 3 3 4 2" xfId="46363"/>
    <cellStyle name="req 2 2 3 3 5" xfId="46364"/>
    <cellStyle name="req 2 2 3 3 5 2" xfId="46365"/>
    <cellStyle name="req 2 2 3 3 6" xfId="46366"/>
    <cellStyle name="req 2 2 3 3 7" xfId="46367"/>
    <cellStyle name="req 2 2 3 4" xfId="46368"/>
    <cellStyle name="req 2 2 3 4 2" xfId="46369"/>
    <cellStyle name="req 2 2 3 4 2 2" xfId="46370"/>
    <cellStyle name="req 2 2 3 4 2 2 2" xfId="46371"/>
    <cellStyle name="req 2 2 3 4 2 3" xfId="46372"/>
    <cellStyle name="req 2 2 3 4 2 3 2" xfId="46373"/>
    <cellStyle name="req 2 2 3 4 2 4" xfId="46374"/>
    <cellStyle name="req 2 2 3 4 2 5" xfId="46375"/>
    <cellStyle name="req 2 2 3 4 3" xfId="46376"/>
    <cellStyle name="req 2 2 3 4 3 2" xfId="46377"/>
    <cellStyle name="req 2 2 3 4 4" xfId="46378"/>
    <cellStyle name="req 2 2 3 4 4 2" xfId="46379"/>
    <cellStyle name="req 2 2 3 4 5" xfId="46380"/>
    <cellStyle name="req 2 2 3 4 6" xfId="46381"/>
    <cellStyle name="req 2 2 3 5" xfId="46382"/>
    <cellStyle name="req 2 2 3 5 2" xfId="46383"/>
    <cellStyle name="req 2 2 3 5 2 2" xfId="46384"/>
    <cellStyle name="req 2 2 3 5 3" xfId="46385"/>
    <cellStyle name="req 2 2 3 5 3 2" xfId="46386"/>
    <cellStyle name="req 2 2 3 5 4" xfId="46387"/>
    <cellStyle name="req 2 2 3 5 5" xfId="46388"/>
    <cellStyle name="req 2 2 3 6" xfId="46389"/>
    <cellStyle name="req 2 2 3 6 2" xfId="46390"/>
    <cellStyle name="req 2 2 3 7" xfId="46391"/>
    <cellStyle name="req 2 2 3 7 2" xfId="46392"/>
    <cellStyle name="req 2 2 3 8" xfId="46393"/>
    <cellStyle name="req 2 2 3 9" xfId="46394"/>
    <cellStyle name="req 2 2 4" xfId="46395"/>
    <cellStyle name="req 2 2 4 2" xfId="46396"/>
    <cellStyle name="req 2 2 4 2 2" xfId="46397"/>
    <cellStyle name="req 2 2 4 2 2 2" xfId="46398"/>
    <cellStyle name="req 2 2 4 2 2 2 2" xfId="46399"/>
    <cellStyle name="req 2 2 4 2 2 2 2 2" xfId="46400"/>
    <cellStyle name="req 2 2 4 2 2 2 2 2 2" xfId="46401"/>
    <cellStyle name="req 2 2 4 2 2 2 2 3" xfId="46402"/>
    <cellStyle name="req 2 2 4 2 2 2 2 3 2" xfId="46403"/>
    <cellStyle name="req 2 2 4 2 2 2 2 4" xfId="46404"/>
    <cellStyle name="req 2 2 4 2 2 2 2 5" xfId="46405"/>
    <cellStyle name="req 2 2 4 2 2 2 3" xfId="46406"/>
    <cellStyle name="req 2 2 4 2 2 2 3 2" xfId="46407"/>
    <cellStyle name="req 2 2 4 2 2 2 4" xfId="46408"/>
    <cellStyle name="req 2 2 4 2 2 2 4 2" xfId="46409"/>
    <cellStyle name="req 2 2 4 2 2 2 5" xfId="46410"/>
    <cellStyle name="req 2 2 4 2 2 2 6" xfId="46411"/>
    <cellStyle name="req 2 2 4 2 2 3" xfId="46412"/>
    <cellStyle name="req 2 2 4 2 2 3 2" xfId="46413"/>
    <cellStyle name="req 2 2 4 2 2 3 2 2" xfId="46414"/>
    <cellStyle name="req 2 2 4 2 2 3 3" xfId="46415"/>
    <cellStyle name="req 2 2 4 2 2 3 3 2" xfId="46416"/>
    <cellStyle name="req 2 2 4 2 2 3 4" xfId="46417"/>
    <cellStyle name="req 2 2 4 2 2 3 5" xfId="46418"/>
    <cellStyle name="req 2 2 4 2 2 4" xfId="46419"/>
    <cellStyle name="req 2 2 4 2 2 4 2" xfId="46420"/>
    <cellStyle name="req 2 2 4 2 2 5" xfId="46421"/>
    <cellStyle name="req 2 2 4 2 2 5 2" xfId="46422"/>
    <cellStyle name="req 2 2 4 2 2 6" xfId="46423"/>
    <cellStyle name="req 2 2 4 2 2 7" xfId="46424"/>
    <cellStyle name="req 2 2 4 2 3" xfId="46425"/>
    <cellStyle name="req 2 2 4 2 3 2" xfId="46426"/>
    <cellStyle name="req 2 2 4 2 3 2 2" xfId="46427"/>
    <cellStyle name="req 2 2 4 2 3 2 2 2" xfId="46428"/>
    <cellStyle name="req 2 2 4 2 3 2 3" xfId="46429"/>
    <cellStyle name="req 2 2 4 2 3 2 3 2" xfId="46430"/>
    <cellStyle name="req 2 2 4 2 3 2 4" xfId="46431"/>
    <cellStyle name="req 2 2 4 2 3 2 5" xfId="46432"/>
    <cellStyle name="req 2 2 4 2 3 3" xfId="46433"/>
    <cellStyle name="req 2 2 4 2 3 3 2" xfId="46434"/>
    <cellStyle name="req 2 2 4 2 3 4" xfId="46435"/>
    <cellStyle name="req 2 2 4 2 3 4 2" xfId="46436"/>
    <cellStyle name="req 2 2 4 2 3 5" xfId="46437"/>
    <cellStyle name="req 2 2 4 2 3 6" xfId="46438"/>
    <cellStyle name="req 2 2 4 2 4" xfId="46439"/>
    <cellStyle name="req 2 2 4 2 4 2" xfId="46440"/>
    <cellStyle name="req 2 2 4 2 4 2 2" xfId="46441"/>
    <cellStyle name="req 2 2 4 2 4 3" xfId="46442"/>
    <cellStyle name="req 2 2 4 2 4 3 2" xfId="46443"/>
    <cellStyle name="req 2 2 4 2 4 4" xfId="46444"/>
    <cellStyle name="req 2 2 4 2 4 5" xfId="46445"/>
    <cellStyle name="req 2 2 4 2 5" xfId="46446"/>
    <cellStyle name="req 2 2 4 2 5 2" xfId="46447"/>
    <cellStyle name="req 2 2 4 2 6" xfId="46448"/>
    <cellStyle name="req 2 2 4 2 6 2" xfId="46449"/>
    <cellStyle name="req 2 2 4 2 7" xfId="46450"/>
    <cellStyle name="req 2 2 4 2 8" xfId="46451"/>
    <cellStyle name="req 2 2 4 3" xfId="46452"/>
    <cellStyle name="req 2 2 4 3 2" xfId="46453"/>
    <cellStyle name="req 2 2 4 3 2 2" xfId="46454"/>
    <cellStyle name="req 2 2 4 3 2 2 2" xfId="46455"/>
    <cellStyle name="req 2 2 4 3 2 2 2 2" xfId="46456"/>
    <cellStyle name="req 2 2 4 3 2 2 3" xfId="46457"/>
    <cellStyle name="req 2 2 4 3 2 2 3 2" xfId="46458"/>
    <cellStyle name="req 2 2 4 3 2 2 4" xfId="46459"/>
    <cellStyle name="req 2 2 4 3 2 2 5" xfId="46460"/>
    <cellStyle name="req 2 2 4 3 2 3" xfId="46461"/>
    <cellStyle name="req 2 2 4 3 2 3 2" xfId="46462"/>
    <cellStyle name="req 2 2 4 3 2 4" xfId="46463"/>
    <cellStyle name="req 2 2 4 3 2 4 2" xfId="46464"/>
    <cellStyle name="req 2 2 4 3 2 5" xfId="46465"/>
    <cellStyle name="req 2 2 4 3 2 6" xfId="46466"/>
    <cellStyle name="req 2 2 4 3 3" xfId="46467"/>
    <cellStyle name="req 2 2 4 3 3 2" xfId="46468"/>
    <cellStyle name="req 2 2 4 3 3 2 2" xfId="46469"/>
    <cellStyle name="req 2 2 4 3 3 3" xfId="46470"/>
    <cellStyle name="req 2 2 4 3 3 3 2" xfId="46471"/>
    <cellStyle name="req 2 2 4 3 3 4" xfId="46472"/>
    <cellStyle name="req 2 2 4 3 3 5" xfId="46473"/>
    <cellStyle name="req 2 2 4 3 4" xfId="46474"/>
    <cellStyle name="req 2 2 4 3 4 2" xfId="46475"/>
    <cellStyle name="req 2 2 4 3 5" xfId="46476"/>
    <cellStyle name="req 2 2 4 3 5 2" xfId="46477"/>
    <cellStyle name="req 2 2 4 3 6" xfId="46478"/>
    <cellStyle name="req 2 2 4 3 7" xfId="46479"/>
    <cellStyle name="req 2 2 4 4" xfId="46480"/>
    <cellStyle name="req 2 2 4 4 2" xfId="46481"/>
    <cellStyle name="req 2 2 4 4 2 2" xfId="46482"/>
    <cellStyle name="req 2 2 4 4 2 2 2" xfId="46483"/>
    <cellStyle name="req 2 2 4 4 2 3" xfId="46484"/>
    <cellStyle name="req 2 2 4 4 2 3 2" xfId="46485"/>
    <cellStyle name="req 2 2 4 4 2 4" xfId="46486"/>
    <cellStyle name="req 2 2 4 4 2 5" xfId="46487"/>
    <cellStyle name="req 2 2 4 4 3" xfId="46488"/>
    <cellStyle name="req 2 2 4 4 3 2" xfId="46489"/>
    <cellStyle name="req 2 2 4 4 4" xfId="46490"/>
    <cellStyle name="req 2 2 4 4 4 2" xfId="46491"/>
    <cellStyle name="req 2 2 4 4 5" xfId="46492"/>
    <cellStyle name="req 2 2 4 4 6" xfId="46493"/>
    <cellStyle name="req 2 2 4 5" xfId="46494"/>
    <cellStyle name="req 2 2 4 5 2" xfId="46495"/>
    <cellStyle name="req 2 2 4 5 2 2" xfId="46496"/>
    <cellStyle name="req 2 2 4 5 3" xfId="46497"/>
    <cellStyle name="req 2 2 4 5 3 2" xfId="46498"/>
    <cellStyle name="req 2 2 4 5 4" xfId="46499"/>
    <cellStyle name="req 2 2 4 5 5" xfId="46500"/>
    <cellStyle name="req 2 2 4 6" xfId="46501"/>
    <cellStyle name="req 2 2 4 6 2" xfId="46502"/>
    <cellStyle name="req 2 2 4 7" xfId="46503"/>
    <cellStyle name="req 2 2 4 7 2" xfId="46504"/>
    <cellStyle name="req 2 2 4 8" xfId="46505"/>
    <cellStyle name="req 2 2 4 9" xfId="46506"/>
    <cellStyle name="req 2 2 5" xfId="46507"/>
    <cellStyle name="req 2 2 5 2" xfId="46508"/>
    <cellStyle name="req 2 2 5 2 2" xfId="46509"/>
    <cellStyle name="req 2 2 5 2 2 2" xfId="46510"/>
    <cellStyle name="req 2 2 5 2 2 2 2" xfId="46511"/>
    <cellStyle name="req 2 2 5 2 2 2 2 2" xfId="46512"/>
    <cellStyle name="req 2 2 5 2 2 2 2 2 2" xfId="46513"/>
    <cellStyle name="req 2 2 5 2 2 2 2 3" xfId="46514"/>
    <cellStyle name="req 2 2 5 2 2 2 2 3 2" xfId="46515"/>
    <cellStyle name="req 2 2 5 2 2 2 2 4" xfId="46516"/>
    <cellStyle name="req 2 2 5 2 2 2 2 5" xfId="46517"/>
    <cellStyle name="req 2 2 5 2 2 2 3" xfId="46518"/>
    <cellStyle name="req 2 2 5 2 2 2 3 2" xfId="46519"/>
    <cellStyle name="req 2 2 5 2 2 2 4" xfId="46520"/>
    <cellStyle name="req 2 2 5 2 2 2 4 2" xfId="46521"/>
    <cellStyle name="req 2 2 5 2 2 2 5" xfId="46522"/>
    <cellStyle name="req 2 2 5 2 2 2 6" xfId="46523"/>
    <cellStyle name="req 2 2 5 2 2 3" xfId="46524"/>
    <cellStyle name="req 2 2 5 2 2 3 2" xfId="46525"/>
    <cellStyle name="req 2 2 5 2 2 3 2 2" xfId="46526"/>
    <cellStyle name="req 2 2 5 2 2 3 3" xfId="46527"/>
    <cellStyle name="req 2 2 5 2 2 3 3 2" xfId="46528"/>
    <cellStyle name="req 2 2 5 2 2 3 4" xfId="46529"/>
    <cellStyle name="req 2 2 5 2 2 3 5" xfId="46530"/>
    <cellStyle name="req 2 2 5 2 2 4" xfId="46531"/>
    <cellStyle name="req 2 2 5 2 2 4 2" xfId="46532"/>
    <cellStyle name="req 2 2 5 2 2 5" xfId="46533"/>
    <cellStyle name="req 2 2 5 2 2 5 2" xfId="46534"/>
    <cellStyle name="req 2 2 5 2 2 6" xfId="46535"/>
    <cellStyle name="req 2 2 5 2 2 7" xfId="46536"/>
    <cellStyle name="req 2 2 5 2 3" xfId="46537"/>
    <cellStyle name="req 2 2 5 2 3 2" xfId="46538"/>
    <cellStyle name="req 2 2 5 2 3 2 2" xfId="46539"/>
    <cellStyle name="req 2 2 5 2 3 2 2 2" xfId="46540"/>
    <cellStyle name="req 2 2 5 2 3 2 3" xfId="46541"/>
    <cellStyle name="req 2 2 5 2 3 2 3 2" xfId="46542"/>
    <cellStyle name="req 2 2 5 2 3 2 4" xfId="46543"/>
    <cellStyle name="req 2 2 5 2 3 2 5" xfId="46544"/>
    <cellStyle name="req 2 2 5 2 3 3" xfId="46545"/>
    <cellStyle name="req 2 2 5 2 3 3 2" xfId="46546"/>
    <cellStyle name="req 2 2 5 2 3 4" xfId="46547"/>
    <cellStyle name="req 2 2 5 2 3 4 2" xfId="46548"/>
    <cellStyle name="req 2 2 5 2 3 5" xfId="46549"/>
    <cellStyle name="req 2 2 5 2 3 6" xfId="46550"/>
    <cellStyle name="req 2 2 5 2 4" xfId="46551"/>
    <cellStyle name="req 2 2 5 2 4 2" xfId="46552"/>
    <cellStyle name="req 2 2 5 2 4 2 2" xfId="46553"/>
    <cellStyle name="req 2 2 5 2 4 3" xfId="46554"/>
    <cellStyle name="req 2 2 5 2 4 3 2" xfId="46555"/>
    <cellStyle name="req 2 2 5 2 4 4" xfId="46556"/>
    <cellStyle name="req 2 2 5 2 4 5" xfId="46557"/>
    <cellStyle name="req 2 2 5 2 5" xfId="46558"/>
    <cellStyle name="req 2 2 5 2 5 2" xfId="46559"/>
    <cellStyle name="req 2 2 5 2 6" xfId="46560"/>
    <cellStyle name="req 2 2 5 2 6 2" xfId="46561"/>
    <cellStyle name="req 2 2 5 2 7" xfId="46562"/>
    <cellStyle name="req 2 2 5 2 8" xfId="46563"/>
    <cellStyle name="req 2 2 5 3" xfId="46564"/>
    <cellStyle name="req 2 2 5 3 2" xfId="46565"/>
    <cellStyle name="req 2 2 5 3 2 2" xfId="46566"/>
    <cellStyle name="req 2 2 5 3 2 2 2" xfId="46567"/>
    <cellStyle name="req 2 2 5 3 2 2 2 2" xfId="46568"/>
    <cellStyle name="req 2 2 5 3 2 2 3" xfId="46569"/>
    <cellStyle name="req 2 2 5 3 2 2 3 2" xfId="46570"/>
    <cellStyle name="req 2 2 5 3 2 2 4" xfId="46571"/>
    <cellStyle name="req 2 2 5 3 2 2 5" xfId="46572"/>
    <cellStyle name="req 2 2 5 3 2 3" xfId="46573"/>
    <cellStyle name="req 2 2 5 3 2 3 2" xfId="46574"/>
    <cellStyle name="req 2 2 5 3 2 4" xfId="46575"/>
    <cellStyle name="req 2 2 5 3 2 4 2" xfId="46576"/>
    <cellStyle name="req 2 2 5 3 2 5" xfId="46577"/>
    <cellStyle name="req 2 2 5 3 2 6" xfId="46578"/>
    <cellStyle name="req 2 2 5 3 3" xfId="46579"/>
    <cellStyle name="req 2 2 5 3 3 2" xfId="46580"/>
    <cellStyle name="req 2 2 5 3 3 2 2" xfId="46581"/>
    <cellStyle name="req 2 2 5 3 3 3" xfId="46582"/>
    <cellStyle name="req 2 2 5 3 3 3 2" xfId="46583"/>
    <cellStyle name="req 2 2 5 3 3 4" xfId="46584"/>
    <cellStyle name="req 2 2 5 3 3 5" xfId="46585"/>
    <cellStyle name="req 2 2 5 3 4" xfId="46586"/>
    <cellStyle name="req 2 2 5 3 4 2" xfId="46587"/>
    <cellStyle name="req 2 2 5 3 5" xfId="46588"/>
    <cellStyle name="req 2 2 5 3 5 2" xfId="46589"/>
    <cellStyle name="req 2 2 5 3 6" xfId="46590"/>
    <cellStyle name="req 2 2 5 3 7" xfId="46591"/>
    <cellStyle name="req 2 2 5 4" xfId="46592"/>
    <cellStyle name="req 2 2 5 4 2" xfId="46593"/>
    <cellStyle name="req 2 2 5 4 2 2" xfId="46594"/>
    <cellStyle name="req 2 2 5 4 2 2 2" xfId="46595"/>
    <cellStyle name="req 2 2 5 4 2 3" xfId="46596"/>
    <cellStyle name="req 2 2 5 4 2 3 2" xfId="46597"/>
    <cellStyle name="req 2 2 5 4 2 4" xfId="46598"/>
    <cellStyle name="req 2 2 5 4 2 5" xfId="46599"/>
    <cellStyle name="req 2 2 5 4 3" xfId="46600"/>
    <cellStyle name="req 2 2 5 4 3 2" xfId="46601"/>
    <cellStyle name="req 2 2 5 4 4" xfId="46602"/>
    <cellStyle name="req 2 2 5 4 4 2" xfId="46603"/>
    <cellStyle name="req 2 2 5 4 5" xfId="46604"/>
    <cellStyle name="req 2 2 5 4 6" xfId="46605"/>
    <cellStyle name="req 2 2 5 5" xfId="46606"/>
    <cellStyle name="req 2 2 5 5 2" xfId="46607"/>
    <cellStyle name="req 2 2 5 5 2 2" xfId="46608"/>
    <cellStyle name="req 2 2 5 5 3" xfId="46609"/>
    <cellStyle name="req 2 2 5 5 3 2" xfId="46610"/>
    <cellStyle name="req 2 2 5 5 4" xfId="46611"/>
    <cellStyle name="req 2 2 5 5 5" xfId="46612"/>
    <cellStyle name="req 2 2 5 6" xfId="46613"/>
    <cellStyle name="req 2 2 5 6 2" xfId="46614"/>
    <cellStyle name="req 2 2 5 7" xfId="46615"/>
    <cellStyle name="req 2 2 5 7 2" xfId="46616"/>
    <cellStyle name="req 2 2 5 8" xfId="46617"/>
    <cellStyle name="req 2 2 5 9" xfId="46618"/>
    <cellStyle name="req 2 2 6" xfId="46619"/>
    <cellStyle name="req 2 2 6 2" xfId="46620"/>
    <cellStyle name="req 2 2 6 2 2" xfId="46621"/>
    <cellStyle name="req 2 2 6 2 2 2" xfId="46622"/>
    <cellStyle name="req 2 2 6 2 2 2 2" xfId="46623"/>
    <cellStyle name="req 2 2 6 2 2 2 2 2" xfId="46624"/>
    <cellStyle name="req 2 2 6 2 2 2 3" xfId="46625"/>
    <cellStyle name="req 2 2 6 2 2 2 3 2" xfId="46626"/>
    <cellStyle name="req 2 2 6 2 2 2 4" xfId="46627"/>
    <cellStyle name="req 2 2 6 2 2 2 5" xfId="46628"/>
    <cellStyle name="req 2 2 6 2 2 3" xfId="46629"/>
    <cellStyle name="req 2 2 6 2 2 3 2" xfId="46630"/>
    <cellStyle name="req 2 2 6 2 2 4" xfId="46631"/>
    <cellStyle name="req 2 2 6 2 2 4 2" xfId="46632"/>
    <cellStyle name="req 2 2 6 2 2 5" xfId="46633"/>
    <cellStyle name="req 2 2 6 2 2 6" xfId="46634"/>
    <cellStyle name="req 2 2 6 2 3" xfId="46635"/>
    <cellStyle name="req 2 2 6 2 3 2" xfId="46636"/>
    <cellStyle name="req 2 2 6 2 3 2 2" xfId="46637"/>
    <cellStyle name="req 2 2 6 2 3 3" xfId="46638"/>
    <cellStyle name="req 2 2 6 2 3 3 2" xfId="46639"/>
    <cellStyle name="req 2 2 6 2 3 4" xfId="46640"/>
    <cellStyle name="req 2 2 6 2 3 5" xfId="46641"/>
    <cellStyle name="req 2 2 6 2 4" xfId="46642"/>
    <cellStyle name="req 2 2 6 2 4 2" xfId="46643"/>
    <cellStyle name="req 2 2 6 2 5" xfId="46644"/>
    <cellStyle name="req 2 2 6 2 5 2" xfId="46645"/>
    <cellStyle name="req 2 2 6 2 6" xfId="46646"/>
    <cellStyle name="req 2 2 6 2 7" xfId="46647"/>
    <cellStyle name="req 2 2 6 3" xfId="46648"/>
    <cellStyle name="req 2 2 6 3 2" xfId="46649"/>
    <cellStyle name="req 2 2 6 3 2 2" xfId="46650"/>
    <cellStyle name="req 2 2 6 3 2 2 2" xfId="46651"/>
    <cellStyle name="req 2 2 6 3 2 3" xfId="46652"/>
    <cellStyle name="req 2 2 6 3 2 3 2" xfId="46653"/>
    <cellStyle name="req 2 2 6 3 2 4" xfId="46654"/>
    <cellStyle name="req 2 2 6 3 2 5" xfId="46655"/>
    <cellStyle name="req 2 2 6 3 3" xfId="46656"/>
    <cellStyle name="req 2 2 6 3 3 2" xfId="46657"/>
    <cellStyle name="req 2 2 6 3 4" xfId="46658"/>
    <cellStyle name="req 2 2 6 3 4 2" xfId="46659"/>
    <cellStyle name="req 2 2 6 3 5" xfId="46660"/>
    <cellStyle name="req 2 2 6 3 6" xfId="46661"/>
    <cellStyle name="req 2 2 6 4" xfId="46662"/>
    <cellStyle name="req 2 2 6 4 2" xfId="46663"/>
    <cellStyle name="req 2 2 6 4 2 2" xfId="46664"/>
    <cellStyle name="req 2 2 6 4 3" xfId="46665"/>
    <cellStyle name="req 2 2 6 4 3 2" xfId="46666"/>
    <cellStyle name="req 2 2 6 4 4" xfId="46667"/>
    <cellStyle name="req 2 2 6 4 5" xfId="46668"/>
    <cellStyle name="req 2 2 6 5" xfId="46669"/>
    <cellStyle name="req 2 2 6 5 2" xfId="46670"/>
    <cellStyle name="req 2 2 6 6" xfId="46671"/>
    <cellStyle name="req 2 2 6 6 2" xfId="46672"/>
    <cellStyle name="req 2 2 6 7" xfId="46673"/>
    <cellStyle name="req 2 2 6 8" xfId="46674"/>
    <cellStyle name="req 2 2 7" xfId="46675"/>
    <cellStyle name="req 2 2 7 2" xfId="46676"/>
    <cellStyle name="req 2 2 7 2 2" xfId="46677"/>
    <cellStyle name="req 2 2 7 2 2 2" xfId="46678"/>
    <cellStyle name="req 2 2 7 2 2 2 2" xfId="46679"/>
    <cellStyle name="req 2 2 7 2 2 3" xfId="46680"/>
    <cellStyle name="req 2 2 7 2 2 3 2" xfId="46681"/>
    <cellStyle name="req 2 2 7 2 2 4" xfId="46682"/>
    <cellStyle name="req 2 2 7 2 2 5" xfId="46683"/>
    <cellStyle name="req 2 2 7 2 3" xfId="46684"/>
    <cellStyle name="req 2 2 7 2 3 2" xfId="46685"/>
    <cellStyle name="req 2 2 7 2 4" xfId="46686"/>
    <cellStyle name="req 2 2 7 2 4 2" xfId="46687"/>
    <cellStyle name="req 2 2 7 2 5" xfId="46688"/>
    <cellStyle name="req 2 2 7 2 6" xfId="46689"/>
    <cellStyle name="req 2 2 7 3" xfId="46690"/>
    <cellStyle name="req 2 2 7 3 2" xfId="46691"/>
    <cellStyle name="req 2 2 7 3 2 2" xfId="46692"/>
    <cellStyle name="req 2 2 7 3 3" xfId="46693"/>
    <cellStyle name="req 2 2 7 3 3 2" xfId="46694"/>
    <cellStyle name="req 2 2 7 3 4" xfId="46695"/>
    <cellStyle name="req 2 2 7 3 5" xfId="46696"/>
    <cellStyle name="req 2 2 7 4" xfId="46697"/>
    <cellStyle name="req 2 2 7 4 2" xfId="46698"/>
    <cellStyle name="req 2 2 7 5" xfId="46699"/>
    <cellStyle name="req 2 2 7 5 2" xfId="46700"/>
    <cellStyle name="req 2 2 7 6" xfId="46701"/>
    <cellStyle name="req 2 2 7 7" xfId="46702"/>
    <cellStyle name="req 2 2 8" xfId="46703"/>
    <cellStyle name="req 2 2 8 2" xfId="46704"/>
    <cellStyle name="req 2 2 8 2 2" xfId="46705"/>
    <cellStyle name="req 2 2 8 2 2 2" xfId="46706"/>
    <cellStyle name="req 2 2 8 2 3" xfId="46707"/>
    <cellStyle name="req 2 2 8 2 3 2" xfId="46708"/>
    <cellStyle name="req 2 2 8 2 4" xfId="46709"/>
    <cellStyle name="req 2 2 8 2 5" xfId="46710"/>
    <cellStyle name="req 2 2 8 3" xfId="46711"/>
    <cellStyle name="req 2 2 8 3 2" xfId="46712"/>
    <cellStyle name="req 2 2 8 4" xfId="46713"/>
    <cellStyle name="req 2 2 8 4 2" xfId="46714"/>
    <cellStyle name="req 2 2 8 5" xfId="46715"/>
    <cellStyle name="req 2 2 8 6" xfId="46716"/>
    <cellStyle name="req 2 2 9" xfId="46717"/>
    <cellStyle name="req 2 2 9 2" xfId="46718"/>
    <cellStyle name="req 2 2 9 2 2" xfId="46719"/>
    <cellStyle name="req 2 2 9 3" xfId="46720"/>
    <cellStyle name="req 2 2 9 3 2" xfId="46721"/>
    <cellStyle name="req 2 2 9 4" xfId="46722"/>
    <cellStyle name="req 2 2 9 5" xfId="46723"/>
    <cellStyle name="req 2 3" xfId="46724"/>
    <cellStyle name="req 2 3 10" xfId="46725"/>
    <cellStyle name="req 2 3 10 2" xfId="46726"/>
    <cellStyle name="req 2 3 11" xfId="46727"/>
    <cellStyle name="req 2 3 11 2" xfId="46728"/>
    <cellStyle name="req 2 3 12" xfId="46729"/>
    <cellStyle name="req 2 3 13" xfId="46730"/>
    <cellStyle name="req 2 3 2" xfId="46731"/>
    <cellStyle name="req 2 3 2 2" xfId="46732"/>
    <cellStyle name="req 2 3 2 2 2" xfId="46733"/>
    <cellStyle name="req 2 3 2 2 2 2" xfId="46734"/>
    <cellStyle name="req 2 3 2 2 2 2 2" xfId="46735"/>
    <cellStyle name="req 2 3 2 2 2 2 2 2" xfId="46736"/>
    <cellStyle name="req 2 3 2 2 2 2 2 2 2" xfId="46737"/>
    <cellStyle name="req 2 3 2 2 2 2 2 3" xfId="46738"/>
    <cellStyle name="req 2 3 2 2 2 2 2 3 2" xfId="46739"/>
    <cellStyle name="req 2 3 2 2 2 2 2 4" xfId="46740"/>
    <cellStyle name="req 2 3 2 2 2 2 2 5" xfId="46741"/>
    <cellStyle name="req 2 3 2 2 2 2 3" xfId="46742"/>
    <cellStyle name="req 2 3 2 2 2 2 3 2" xfId="46743"/>
    <cellStyle name="req 2 3 2 2 2 2 4" xfId="46744"/>
    <cellStyle name="req 2 3 2 2 2 2 4 2" xfId="46745"/>
    <cellStyle name="req 2 3 2 2 2 2 5" xfId="46746"/>
    <cellStyle name="req 2 3 2 2 2 2 6" xfId="46747"/>
    <cellStyle name="req 2 3 2 2 2 3" xfId="46748"/>
    <cellStyle name="req 2 3 2 2 2 3 2" xfId="46749"/>
    <cellStyle name="req 2 3 2 2 2 3 2 2" xfId="46750"/>
    <cellStyle name="req 2 3 2 2 2 3 3" xfId="46751"/>
    <cellStyle name="req 2 3 2 2 2 3 3 2" xfId="46752"/>
    <cellStyle name="req 2 3 2 2 2 3 4" xfId="46753"/>
    <cellStyle name="req 2 3 2 2 2 3 5" xfId="46754"/>
    <cellStyle name="req 2 3 2 2 2 4" xfId="46755"/>
    <cellStyle name="req 2 3 2 2 2 4 2" xfId="46756"/>
    <cellStyle name="req 2 3 2 2 2 5" xfId="46757"/>
    <cellStyle name="req 2 3 2 2 2 5 2" xfId="46758"/>
    <cellStyle name="req 2 3 2 2 2 6" xfId="46759"/>
    <cellStyle name="req 2 3 2 2 2 7" xfId="46760"/>
    <cellStyle name="req 2 3 2 2 3" xfId="46761"/>
    <cellStyle name="req 2 3 2 2 3 2" xfId="46762"/>
    <cellStyle name="req 2 3 2 2 3 2 2" xfId="46763"/>
    <cellStyle name="req 2 3 2 2 3 2 2 2" xfId="46764"/>
    <cellStyle name="req 2 3 2 2 3 2 3" xfId="46765"/>
    <cellStyle name="req 2 3 2 2 3 2 3 2" xfId="46766"/>
    <cellStyle name="req 2 3 2 2 3 2 4" xfId="46767"/>
    <cellStyle name="req 2 3 2 2 3 2 5" xfId="46768"/>
    <cellStyle name="req 2 3 2 2 3 3" xfId="46769"/>
    <cellStyle name="req 2 3 2 2 3 3 2" xfId="46770"/>
    <cellStyle name="req 2 3 2 2 3 4" xfId="46771"/>
    <cellStyle name="req 2 3 2 2 3 4 2" xfId="46772"/>
    <cellStyle name="req 2 3 2 2 3 5" xfId="46773"/>
    <cellStyle name="req 2 3 2 2 3 6" xfId="46774"/>
    <cellStyle name="req 2 3 2 2 4" xfId="46775"/>
    <cellStyle name="req 2 3 2 2 4 2" xfId="46776"/>
    <cellStyle name="req 2 3 2 2 4 2 2" xfId="46777"/>
    <cellStyle name="req 2 3 2 2 4 3" xfId="46778"/>
    <cellStyle name="req 2 3 2 2 4 3 2" xfId="46779"/>
    <cellStyle name="req 2 3 2 2 4 4" xfId="46780"/>
    <cellStyle name="req 2 3 2 2 4 5" xfId="46781"/>
    <cellStyle name="req 2 3 2 2 5" xfId="46782"/>
    <cellStyle name="req 2 3 2 2 5 2" xfId="46783"/>
    <cellStyle name="req 2 3 2 2 6" xfId="46784"/>
    <cellStyle name="req 2 3 2 2 6 2" xfId="46785"/>
    <cellStyle name="req 2 3 2 2 7" xfId="46786"/>
    <cellStyle name="req 2 3 2 2 8" xfId="46787"/>
    <cellStyle name="req 2 3 2 3" xfId="46788"/>
    <cellStyle name="req 2 3 2 3 2" xfId="46789"/>
    <cellStyle name="req 2 3 2 3 2 2" xfId="46790"/>
    <cellStyle name="req 2 3 2 3 2 2 2" xfId="46791"/>
    <cellStyle name="req 2 3 2 3 2 2 2 2" xfId="46792"/>
    <cellStyle name="req 2 3 2 3 2 2 3" xfId="46793"/>
    <cellStyle name="req 2 3 2 3 2 2 3 2" xfId="46794"/>
    <cellStyle name="req 2 3 2 3 2 2 4" xfId="46795"/>
    <cellStyle name="req 2 3 2 3 2 2 5" xfId="46796"/>
    <cellStyle name="req 2 3 2 3 2 3" xfId="46797"/>
    <cellStyle name="req 2 3 2 3 2 3 2" xfId="46798"/>
    <cellStyle name="req 2 3 2 3 2 4" xfId="46799"/>
    <cellStyle name="req 2 3 2 3 2 4 2" xfId="46800"/>
    <cellStyle name="req 2 3 2 3 2 5" xfId="46801"/>
    <cellStyle name="req 2 3 2 3 2 6" xfId="46802"/>
    <cellStyle name="req 2 3 2 3 3" xfId="46803"/>
    <cellStyle name="req 2 3 2 3 3 2" xfId="46804"/>
    <cellStyle name="req 2 3 2 3 3 2 2" xfId="46805"/>
    <cellStyle name="req 2 3 2 3 3 3" xfId="46806"/>
    <cellStyle name="req 2 3 2 3 3 3 2" xfId="46807"/>
    <cellStyle name="req 2 3 2 3 3 4" xfId="46808"/>
    <cellStyle name="req 2 3 2 3 3 5" xfId="46809"/>
    <cellStyle name="req 2 3 2 3 4" xfId="46810"/>
    <cellStyle name="req 2 3 2 3 4 2" xfId="46811"/>
    <cellStyle name="req 2 3 2 3 5" xfId="46812"/>
    <cellStyle name="req 2 3 2 3 5 2" xfId="46813"/>
    <cellStyle name="req 2 3 2 3 6" xfId="46814"/>
    <cellStyle name="req 2 3 2 3 7" xfId="46815"/>
    <cellStyle name="req 2 3 2 4" xfId="46816"/>
    <cellStyle name="req 2 3 2 4 2" xfId="46817"/>
    <cellStyle name="req 2 3 2 4 2 2" xfId="46818"/>
    <cellStyle name="req 2 3 2 4 2 2 2" xfId="46819"/>
    <cellStyle name="req 2 3 2 4 2 3" xfId="46820"/>
    <cellStyle name="req 2 3 2 4 2 3 2" xfId="46821"/>
    <cellStyle name="req 2 3 2 4 2 4" xfId="46822"/>
    <cellStyle name="req 2 3 2 4 2 5" xfId="46823"/>
    <cellStyle name="req 2 3 2 4 3" xfId="46824"/>
    <cellStyle name="req 2 3 2 4 3 2" xfId="46825"/>
    <cellStyle name="req 2 3 2 4 4" xfId="46826"/>
    <cellStyle name="req 2 3 2 4 4 2" xfId="46827"/>
    <cellStyle name="req 2 3 2 4 5" xfId="46828"/>
    <cellStyle name="req 2 3 2 4 6" xfId="46829"/>
    <cellStyle name="req 2 3 2 5" xfId="46830"/>
    <cellStyle name="req 2 3 2 5 2" xfId="46831"/>
    <cellStyle name="req 2 3 2 5 2 2" xfId="46832"/>
    <cellStyle name="req 2 3 2 5 3" xfId="46833"/>
    <cellStyle name="req 2 3 2 5 3 2" xfId="46834"/>
    <cellStyle name="req 2 3 2 5 4" xfId="46835"/>
    <cellStyle name="req 2 3 2 5 5" xfId="46836"/>
    <cellStyle name="req 2 3 2 6" xfId="46837"/>
    <cellStyle name="req 2 3 2 6 2" xfId="46838"/>
    <cellStyle name="req 2 3 2 7" xfId="46839"/>
    <cellStyle name="req 2 3 2 7 2" xfId="46840"/>
    <cellStyle name="req 2 3 2 8" xfId="46841"/>
    <cellStyle name="req 2 3 2 9" xfId="46842"/>
    <cellStyle name="req 2 3 3" xfId="46843"/>
    <cellStyle name="req 2 3 3 2" xfId="46844"/>
    <cellStyle name="req 2 3 3 2 2" xfId="46845"/>
    <cellStyle name="req 2 3 3 2 2 2" xfId="46846"/>
    <cellStyle name="req 2 3 3 2 2 2 2" xfId="46847"/>
    <cellStyle name="req 2 3 3 2 2 2 2 2" xfId="46848"/>
    <cellStyle name="req 2 3 3 2 2 2 2 2 2" xfId="46849"/>
    <cellStyle name="req 2 3 3 2 2 2 2 3" xfId="46850"/>
    <cellStyle name="req 2 3 3 2 2 2 2 3 2" xfId="46851"/>
    <cellStyle name="req 2 3 3 2 2 2 2 4" xfId="46852"/>
    <cellStyle name="req 2 3 3 2 2 2 2 5" xfId="46853"/>
    <cellStyle name="req 2 3 3 2 2 2 3" xfId="46854"/>
    <cellStyle name="req 2 3 3 2 2 2 3 2" xfId="46855"/>
    <cellStyle name="req 2 3 3 2 2 2 4" xfId="46856"/>
    <cellStyle name="req 2 3 3 2 2 2 4 2" xfId="46857"/>
    <cellStyle name="req 2 3 3 2 2 2 5" xfId="46858"/>
    <cellStyle name="req 2 3 3 2 2 2 6" xfId="46859"/>
    <cellStyle name="req 2 3 3 2 2 3" xfId="46860"/>
    <cellStyle name="req 2 3 3 2 2 3 2" xfId="46861"/>
    <cellStyle name="req 2 3 3 2 2 3 2 2" xfId="46862"/>
    <cellStyle name="req 2 3 3 2 2 3 3" xfId="46863"/>
    <cellStyle name="req 2 3 3 2 2 3 3 2" xfId="46864"/>
    <cellStyle name="req 2 3 3 2 2 3 4" xfId="46865"/>
    <cellStyle name="req 2 3 3 2 2 3 5" xfId="46866"/>
    <cellStyle name="req 2 3 3 2 2 4" xfId="46867"/>
    <cellStyle name="req 2 3 3 2 2 4 2" xfId="46868"/>
    <cellStyle name="req 2 3 3 2 2 5" xfId="46869"/>
    <cellStyle name="req 2 3 3 2 2 5 2" xfId="46870"/>
    <cellStyle name="req 2 3 3 2 2 6" xfId="46871"/>
    <cellStyle name="req 2 3 3 2 2 7" xfId="46872"/>
    <cellStyle name="req 2 3 3 2 3" xfId="46873"/>
    <cellStyle name="req 2 3 3 2 3 2" xfId="46874"/>
    <cellStyle name="req 2 3 3 2 3 2 2" xfId="46875"/>
    <cellStyle name="req 2 3 3 2 3 2 2 2" xfId="46876"/>
    <cellStyle name="req 2 3 3 2 3 2 3" xfId="46877"/>
    <cellStyle name="req 2 3 3 2 3 2 3 2" xfId="46878"/>
    <cellStyle name="req 2 3 3 2 3 2 4" xfId="46879"/>
    <cellStyle name="req 2 3 3 2 3 2 5" xfId="46880"/>
    <cellStyle name="req 2 3 3 2 3 3" xfId="46881"/>
    <cellStyle name="req 2 3 3 2 3 3 2" xfId="46882"/>
    <cellStyle name="req 2 3 3 2 3 4" xfId="46883"/>
    <cellStyle name="req 2 3 3 2 3 4 2" xfId="46884"/>
    <cellStyle name="req 2 3 3 2 3 5" xfId="46885"/>
    <cellStyle name="req 2 3 3 2 3 6" xfId="46886"/>
    <cellStyle name="req 2 3 3 2 4" xfId="46887"/>
    <cellStyle name="req 2 3 3 2 4 2" xfId="46888"/>
    <cellStyle name="req 2 3 3 2 4 2 2" xfId="46889"/>
    <cellStyle name="req 2 3 3 2 4 3" xfId="46890"/>
    <cellStyle name="req 2 3 3 2 4 3 2" xfId="46891"/>
    <cellStyle name="req 2 3 3 2 4 4" xfId="46892"/>
    <cellStyle name="req 2 3 3 2 4 5" xfId="46893"/>
    <cellStyle name="req 2 3 3 2 5" xfId="46894"/>
    <cellStyle name="req 2 3 3 2 5 2" xfId="46895"/>
    <cellStyle name="req 2 3 3 2 6" xfId="46896"/>
    <cellStyle name="req 2 3 3 2 6 2" xfId="46897"/>
    <cellStyle name="req 2 3 3 2 7" xfId="46898"/>
    <cellStyle name="req 2 3 3 2 8" xfId="46899"/>
    <cellStyle name="req 2 3 3 3" xfId="46900"/>
    <cellStyle name="req 2 3 3 3 2" xfId="46901"/>
    <cellStyle name="req 2 3 3 3 2 2" xfId="46902"/>
    <cellStyle name="req 2 3 3 3 2 2 2" xfId="46903"/>
    <cellStyle name="req 2 3 3 3 2 2 2 2" xfId="46904"/>
    <cellStyle name="req 2 3 3 3 2 2 3" xfId="46905"/>
    <cellStyle name="req 2 3 3 3 2 2 3 2" xfId="46906"/>
    <cellStyle name="req 2 3 3 3 2 2 4" xfId="46907"/>
    <cellStyle name="req 2 3 3 3 2 2 5" xfId="46908"/>
    <cellStyle name="req 2 3 3 3 2 3" xfId="46909"/>
    <cellStyle name="req 2 3 3 3 2 3 2" xfId="46910"/>
    <cellStyle name="req 2 3 3 3 2 4" xfId="46911"/>
    <cellStyle name="req 2 3 3 3 2 4 2" xfId="46912"/>
    <cellStyle name="req 2 3 3 3 2 5" xfId="46913"/>
    <cellStyle name="req 2 3 3 3 2 6" xfId="46914"/>
    <cellStyle name="req 2 3 3 3 3" xfId="46915"/>
    <cellStyle name="req 2 3 3 3 3 2" xfId="46916"/>
    <cellStyle name="req 2 3 3 3 3 2 2" xfId="46917"/>
    <cellStyle name="req 2 3 3 3 3 3" xfId="46918"/>
    <cellStyle name="req 2 3 3 3 3 3 2" xfId="46919"/>
    <cellStyle name="req 2 3 3 3 3 4" xfId="46920"/>
    <cellStyle name="req 2 3 3 3 3 5" xfId="46921"/>
    <cellStyle name="req 2 3 3 3 4" xfId="46922"/>
    <cellStyle name="req 2 3 3 3 4 2" xfId="46923"/>
    <cellStyle name="req 2 3 3 3 5" xfId="46924"/>
    <cellStyle name="req 2 3 3 3 5 2" xfId="46925"/>
    <cellStyle name="req 2 3 3 3 6" xfId="46926"/>
    <cellStyle name="req 2 3 3 3 7" xfId="46927"/>
    <cellStyle name="req 2 3 3 4" xfId="46928"/>
    <cellStyle name="req 2 3 3 4 2" xfId="46929"/>
    <cellStyle name="req 2 3 3 4 2 2" xfId="46930"/>
    <cellStyle name="req 2 3 3 4 2 2 2" xfId="46931"/>
    <cellStyle name="req 2 3 3 4 2 3" xfId="46932"/>
    <cellStyle name="req 2 3 3 4 2 3 2" xfId="46933"/>
    <cellStyle name="req 2 3 3 4 2 4" xfId="46934"/>
    <cellStyle name="req 2 3 3 4 2 5" xfId="46935"/>
    <cellStyle name="req 2 3 3 4 3" xfId="46936"/>
    <cellStyle name="req 2 3 3 4 3 2" xfId="46937"/>
    <cellStyle name="req 2 3 3 4 4" xfId="46938"/>
    <cellStyle name="req 2 3 3 4 4 2" xfId="46939"/>
    <cellStyle name="req 2 3 3 4 5" xfId="46940"/>
    <cellStyle name="req 2 3 3 4 6" xfId="46941"/>
    <cellStyle name="req 2 3 3 5" xfId="46942"/>
    <cellStyle name="req 2 3 3 5 2" xfId="46943"/>
    <cellStyle name="req 2 3 3 5 2 2" xfId="46944"/>
    <cellStyle name="req 2 3 3 5 3" xfId="46945"/>
    <cellStyle name="req 2 3 3 5 3 2" xfId="46946"/>
    <cellStyle name="req 2 3 3 5 4" xfId="46947"/>
    <cellStyle name="req 2 3 3 5 5" xfId="46948"/>
    <cellStyle name="req 2 3 3 6" xfId="46949"/>
    <cellStyle name="req 2 3 3 6 2" xfId="46950"/>
    <cellStyle name="req 2 3 3 7" xfId="46951"/>
    <cellStyle name="req 2 3 3 7 2" xfId="46952"/>
    <cellStyle name="req 2 3 3 8" xfId="46953"/>
    <cellStyle name="req 2 3 3 9" xfId="46954"/>
    <cellStyle name="req 2 3 4" xfId="46955"/>
    <cellStyle name="req 2 3 4 2" xfId="46956"/>
    <cellStyle name="req 2 3 4 2 2" xfId="46957"/>
    <cellStyle name="req 2 3 4 2 2 2" xfId="46958"/>
    <cellStyle name="req 2 3 4 2 2 2 2" xfId="46959"/>
    <cellStyle name="req 2 3 4 2 2 2 2 2" xfId="46960"/>
    <cellStyle name="req 2 3 4 2 2 2 2 2 2" xfId="46961"/>
    <cellStyle name="req 2 3 4 2 2 2 2 3" xfId="46962"/>
    <cellStyle name="req 2 3 4 2 2 2 2 3 2" xfId="46963"/>
    <cellStyle name="req 2 3 4 2 2 2 2 4" xfId="46964"/>
    <cellStyle name="req 2 3 4 2 2 2 2 5" xfId="46965"/>
    <cellStyle name="req 2 3 4 2 2 2 3" xfId="46966"/>
    <cellStyle name="req 2 3 4 2 2 2 3 2" xfId="46967"/>
    <cellStyle name="req 2 3 4 2 2 2 4" xfId="46968"/>
    <cellStyle name="req 2 3 4 2 2 2 4 2" xfId="46969"/>
    <cellStyle name="req 2 3 4 2 2 2 5" xfId="46970"/>
    <cellStyle name="req 2 3 4 2 2 2 6" xfId="46971"/>
    <cellStyle name="req 2 3 4 2 2 3" xfId="46972"/>
    <cellStyle name="req 2 3 4 2 2 3 2" xfId="46973"/>
    <cellStyle name="req 2 3 4 2 2 3 2 2" xfId="46974"/>
    <cellStyle name="req 2 3 4 2 2 3 3" xfId="46975"/>
    <cellStyle name="req 2 3 4 2 2 3 3 2" xfId="46976"/>
    <cellStyle name="req 2 3 4 2 2 3 4" xfId="46977"/>
    <cellStyle name="req 2 3 4 2 2 3 5" xfId="46978"/>
    <cellStyle name="req 2 3 4 2 2 4" xfId="46979"/>
    <cellStyle name="req 2 3 4 2 2 4 2" xfId="46980"/>
    <cellStyle name="req 2 3 4 2 2 5" xfId="46981"/>
    <cellStyle name="req 2 3 4 2 2 5 2" xfId="46982"/>
    <cellStyle name="req 2 3 4 2 2 6" xfId="46983"/>
    <cellStyle name="req 2 3 4 2 2 7" xfId="46984"/>
    <cellStyle name="req 2 3 4 2 3" xfId="46985"/>
    <cellStyle name="req 2 3 4 2 3 2" xfId="46986"/>
    <cellStyle name="req 2 3 4 2 3 2 2" xfId="46987"/>
    <cellStyle name="req 2 3 4 2 3 2 2 2" xfId="46988"/>
    <cellStyle name="req 2 3 4 2 3 2 3" xfId="46989"/>
    <cellStyle name="req 2 3 4 2 3 2 3 2" xfId="46990"/>
    <cellStyle name="req 2 3 4 2 3 2 4" xfId="46991"/>
    <cellStyle name="req 2 3 4 2 3 2 5" xfId="46992"/>
    <cellStyle name="req 2 3 4 2 3 3" xfId="46993"/>
    <cellStyle name="req 2 3 4 2 3 3 2" xfId="46994"/>
    <cellStyle name="req 2 3 4 2 3 4" xfId="46995"/>
    <cellStyle name="req 2 3 4 2 3 4 2" xfId="46996"/>
    <cellStyle name="req 2 3 4 2 3 5" xfId="46997"/>
    <cellStyle name="req 2 3 4 2 3 6" xfId="46998"/>
    <cellStyle name="req 2 3 4 2 4" xfId="46999"/>
    <cellStyle name="req 2 3 4 2 4 2" xfId="47000"/>
    <cellStyle name="req 2 3 4 2 4 2 2" xfId="47001"/>
    <cellStyle name="req 2 3 4 2 4 3" xfId="47002"/>
    <cellStyle name="req 2 3 4 2 4 3 2" xfId="47003"/>
    <cellStyle name="req 2 3 4 2 4 4" xfId="47004"/>
    <cellStyle name="req 2 3 4 2 4 5" xfId="47005"/>
    <cellStyle name="req 2 3 4 2 5" xfId="47006"/>
    <cellStyle name="req 2 3 4 2 5 2" xfId="47007"/>
    <cellStyle name="req 2 3 4 2 6" xfId="47008"/>
    <cellStyle name="req 2 3 4 2 6 2" xfId="47009"/>
    <cellStyle name="req 2 3 4 2 7" xfId="47010"/>
    <cellStyle name="req 2 3 4 2 8" xfId="47011"/>
    <cellStyle name="req 2 3 4 3" xfId="47012"/>
    <cellStyle name="req 2 3 4 3 2" xfId="47013"/>
    <cellStyle name="req 2 3 4 3 2 2" xfId="47014"/>
    <cellStyle name="req 2 3 4 3 2 2 2" xfId="47015"/>
    <cellStyle name="req 2 3 4 3 2 2 2 2" xfId="47016"/>
    <cellStyle name="req 2 3 4 3 2 2 3" xfId="47017"/>
    <cellStyle name="req 2 3 4 3 2 2 3 2" xfId="47018"/>
    <cellStyle name="req 2 3 4 3 2 2 4" xfId="47019"/>
    <cellStyle name="req 2 3 4 3 2 2 5" xfId="47020"/>
    <cellStyle name="req 2 3 4 3 2 3" xfId="47021"/>
    <cellStyle name="req 2 3 4 3 2 3 2" xfId="47022"/>
    <cellStyle name="req 2 3 4 3 2 4" xfId="47023"/>
    <cellStyle name="req 2 3 4 3 2 4 2" xfId="47024"/>
    <cellStyle name="req 2 3 4 3 2 5" xfId="47025"/>
    <cellStyle name="req 2 3 4 3 2 6" xfId="47026"/>
    <cellStyle name="req 2 3 4 3 3" xfId="47027"/>
    <cellStyle name="req 2 3 4 3 3 2" xfId="47028"/>
    <cellStyle name="req 2 3 4 3 3 2 2" xfId="47029"/>
    <cellStyle name="req 2 3 4 3 3 3" xfId="47030"/>
    <cellStyle name="req 2 3 4 3 3 3 2" xfId="47031"/>
    <cellStyle name="req 2 3 4 3 3 4" xfId="47032"/>
    <cellStyle name="req 2 3 4 3 3 5" xfId="47033"/>
    <cellStyle name="req 2 3 4 3 4" xfId="47034"/>
    <cellStyle name="req 2 3 4 3 4 2" xfId="47035"/>
    <cellStyle name="req 2 3 4 3 5" xfId="47036"/>
    <cellStyle name="req 2 3 4 3 5 2" xfId="47037"/>
    <cellStyle name="req 2 3 4 3 6" xfId="47038"/>
    <cellStyle name="req 2 3 4 3 7" xfId="47039"/>
    <cellStyle name="req 2 3 4 4" xfId="47040"/>
    <cellStyle name="req 2 3 4 4 2" xfId="47041"/>
    <cellStyle name="req 2 3 4 4 2 2" xfId="47042"/>
    <cellStyle name="req 2 3 4 4 2 2 2" xfId="47043"/>
    <cellStyle name="req 2 3 4 4 2 3" xfId="47044"/>
    <cellStyle name="req 2 3 4 4 2 3 2" xfId="47045"/>
    <cellStyle name="req 2 3 4 4 2 4" xfId="47046"/>
    <cellStyle name="req 2 3 4 4 2 5" xfId="47047"/>
    <cellStyle name="req 2 3 4 4 3" xfId="47048"/>
    <cellStyle name="req 2 3 4 4 3 2" xfId="47049"/>
    <cellStyle name="req 2 3 4 4 4" xfId="47050"/>
    <cellStyle name="req 2 3 4 4 4 2" xfId="47051"/>
    <cellStyle name="req 2 3 4 4 5" xfId="47052"/>
    <cellStyle name="req 2 3 4 4 6" xfId="47053"/>
    <cellStyle name="req 2 3 4 5" xfId="47054"/>
    <cellStyle name="req 2 3 4 5 2" xfId="47055"/>
    <cellStyle name="req 2 3 4 5 2 2" xfId="47056"/>
    <cellStyle name="req 2 3 4 5 3" xfId="47057"/>
    <cellStyle name="req 2 3 4 5 3 2" xfId="47058"/>
    <cellStyle name="req 2 3 4 5 4" xfId="47059"/>
    <cellStyle name="req 2 3 4 5 5" xfId="47060"/>
    <cellStyle name="req 2 3 4 6" xfId="47061"/>
    <cellStyle name="req 2 3 4 6 2" xfId="47062"/>
    <cellStyle name="req 2 3 4 7" xfId="47063"/>
    <cellStyle name="req 2 3 4 7 2" xfId="47064"/>
    <cellStyle name="req 2 3 4 8" xfId="47065"/>
    <cellStyle name="req 2 3 4 9" xfId="47066"/>
    <cellStyle name="req 2 3 5" xfId="47067"/>
    <cellStyle name="req 2 3 5 2" xfId="47068"/>
    <cellStyle name="req 2 3 5 2 2" xfId="47069"/>
    <cellStyle name="req 2 3 5 2 2 2" xfId="47070"/>
    <cellStyle name="req 2 3 5 2 2 2 2" xfId="47071"/>
    <cellStyle name="req 2 3 5 2 2 2 2 2" xfId="47072"/>
    <cellStyle name="req 2 3 5 2 2 2 2 2 2" xfId="47073"/>
    <cellStyle name="req 2 3 5 2 2 2 2 3" xfId="47074"/>
    <cellStyle name="req 2 3 5 2 2 2 2 3 2" xfId="47075"/>
    <cellStyle name="req 2 3 5 2 2 2 2 4" xfId="47076"/>
    <cellStyle name="req 2 3 5 2 2 2 2 5" xfId="47077"/>
    <cellStyle name="req 2 3 5 2 2 2 3" xfId="47078"/>
    <cellStyle name="req 2 3 5 2 2 2 3 2" xfId="47079"/>
    <cellStyle name="req 2 3 5 2 2 2 4" xfId="47080"/>
    <cellStyle name="req 2 3 5 2 2 2 4 2" xfId="47081"/>
    <cellStyle name="req 2 3 5 2 2 2 5" xfId="47082"/>
    <cellStyle name="req 2 3 5 2 2 2 6" xfId="47083"/>
    <cellStyle name="req 2 3 5 2 2 3" xfId="47084"/>
    <cellStyle name="req 2 3 5 2 2 3 2" xfId="47085"/>
    <cellStyle name="req 2 3 5 2 2 3 2 2" xfId="47086"/>
    <cellStyle name="req 2 3 5 2 2 3 3" xfId="47087"/>
    <cellStyle name="req 2 3 5 2 2 3 3 2" xfId="47088"/>
    <cellStyle name="req 2 3 5 2 2 3 4" xfId="47089"/>
    <cellStyle name="req 2 3 5 2 2 3 5" xfId="47090"/>
    <cellStyle name="req 2 3 5 2 2 4" xfId="47091"/>
    <cellStyle name="req 2 3 5 2 2 4 2" xfId="47092"/>
    <cellStyle name="req 2 3 5 2 2 5" xfId="47093"/>
    <cellStyle name="req 2 3 5 2 2 5 2" xfId="47094"/>
    <cellStyle name="req 2 3 5 2 2 6" xfId="47095"/>
    <cellStyle name="req 2 3 5 2 2 7" xfId="47096"/>
    <cellStyle name="req 2 3 5 2 3" xfId="47097"/>
    <cellStyle name="req 2 3 5 2 3 2" xfId="47098"/>
    <cellStyle name="req 2 3 5 2 3 2 2" xfId="47099"/>
    <cellStyle name="req 2 3 5 2 3 2 2 2" xfId="47100"/>
    <cellStyle name="req 2 3 5 2 3 2 3" xfId="47101"/>
    <cellStyle name="req 2 3 5 2 3 2 3 2" xfId="47102"/>
    <cellStyle name="req 2 3 5 2 3 2 4" xfId="47103"/>
    <cellStyle name="req 2 3 5 2 3 2 5" xfId="47104"/>
    <cellStyle name="req 2 3 5 2 3 3" xfId="47105"/>
    <cellStyle name="req 2 3 5 2 3 3 2" xfId="47106"/>
    <cellStyle name="req 2 3 5 2 3 4" xfId="47107"/>
    <cellStyle name="req 2 3 5 2 3 4 2" xfId="47108"/>
    <cellStyle name="req 2 3 5 2 3 5" xfId="47109"/>
    <cellStyle name="req 2 3 5 2 3 6" xfId="47110"/>
    <cellStyle name="req 2 3 5 2 4" xfId="47111"/>
    <cellStyle name="req 2 3 5 2 4 2" xfId="47112"/>
    <cellStyle name="req 2 3 5 2 4 2 2" xfId="47113"/>
    <cellStyle name="req 2 3 5 2 4 3" xfId="47114"/>
    <cellStyle name="req 2 3 5 2 4 3 2" xfId="47115"/>
    <cellStyle name="req 2 3 5 2 4 4" xfId="47116"/>
    <cellStyle name="req 2 3 5 2 4 5" xfId="47117"/>
    <cellStyle name="req 2 3 5 2 5" xfId="47118"/>
    <cellStyle name="req 2 3 5 2 5 2" xfId="47119"/>
    <cellStyle name="req 2 3 5 2 6" xfId="47120"/>
    <cellStyle name="req 2 3 5 2 6 2" xfId="47121"/>
    <cellStyle name="req 2 3 5 2 7" xfId="47122"/>
    <cellStyle name="req 2 3 5 2 8" xfId="47123"/>
    <cellStyle name="req 2 3 5 3" xfId="47124"/>
    <cellStyle name="req 2 3 5 3 2" xfId="47125"/>
    <cellStyle name="req 2 3 5 3 2 2" xfId="47126"/>
    <cellStyle name="req 2 3 5 3 2 2 2" xfId="47127"/>
    <cellStyle name="req 2 3 5 3 2 2 2 2" xfId="47128"/>
    <cellStyle name="req 2 3 5 3 2 2 3" xfId="47129"/>
    <cellStyle name="req 2 3 5 3 2 2 3 2" xfId="47130"/>
    <cellStyle name="req 2 3 5 3 2 2 4" xfId="47131"/>
    <cellStyle name="req 2 3 5 3 2 2 5" xfId="47132"/>
    <cellStyle name="req 2 3 5 3 2 3" xfId="47133"/>
    <cellStyle name="req 2 3 5 3 2 3 2" xfId="47134"/>
    <cellStyle name="req 2 3 5 3 2 4" xfId="47135"/>
    <cellStyle name="req 2 3 5 3 2 4 2" xfId="47136"/>
    <cellStyle name="req 2 3 5 3 2 5" xfId="47137"/>
    <cellStyle name="req 2 3 5 3 2 6" xfId="47138"/>
    <cellStyle name="req 2 3 5 3 3" xfId="47139"/>
    <cellStyle name="req 2 3 5 3 3 2" xfId="47140"/>
    <cellStyle name="req 2 3 5 3 3 2 2" xfId="47141"/>
    <cellStyle name="req 2 3 5 3 3 3" xfId="47142"/>
    <cellStyle name="req 2 3 5 3 3 3 2" xfId="47143"/>
    <cellStyle name="req 2 3 5 3 3 4" xfId="47144"/>
    <cellStyle name="req 2 3 5 3 3 5" xfId="47145"/>
    <cellStyle name="req 2 3 5 3 4" xfId="47146"/>
    <cellStyle name="req 2 3 5 3 4 2" xfId="47147"/>
    <cellStyle name="req 2 3 5 3 5" xfId="47148"/>
    <cellStyle name="req 2 3 5 3 5 2" xfId="47149"/>
    <cellStyle name="req 2 3 5 3 6" xfId="47150"/>
    <cellStyle name="req 2 3 5 3 7" xfId="47151"/>
    <cellStyle name="req 2 3 5 4" xfId="47152"/>
    <cellStyle name="req 2 3 5 4 2" xfId="47153"/>
    <cellStyle name="req 2 3 5 4 2 2" xfId="47154"/>
    <cellStyle name="req 2 3 5 4 2 2 2" xfId="47155"/>
    <cellStyle name="req 2 3 5 4 2 3" xfId="47156"/>
    <cellStyle name="req 2 3 5 4 2 3 2" xfId="47157"/>
    <cellStyle name="req 2 3 5 4 2 4" xfId="47158"/>
    <cellStyle name="req 2 3 5 4 2 5" xfId="47159"/>
    <cellStyle name="req 2 3 5 4 3" xfId="47160"/>
    <cellStyle name="req 2 3 5 4 3 2" xfId="47161"/>
    <cellStyle name="req 2 3 5 4 4" xfId="47162"/>
    <cellStyle name="req 2 3 5 4 4 2" xfId="47163"/>
    <cellStyle name="req 2 3 5 4 5" xfId="47164"/>
    <cellStyle name="req 2 3 5 4 6" xfId="47165"/>
    <cellStyle name="req 2 3 5 5" xfId="47166"/>
    <cellStyle name="req 2 3 5 5 2" xfId="47167"/>
    <cellStyle name="req 2 3 5 5 2 2" xfId="47168"/>
    <cellStyle name="req 2 3 5 5 3" xfId="47169"/>
    <cellStyle name="req 2 3 5 5 3 2" xfId="47170"/>
    <cellStyle name="req 2 3 5 5 4" xfId="47171"/>
    <cellStyle name="req 2 3 5 5 5" xfId="47172"/>
    <cellStyle name="req 2 3 5 6" xfId="47173"/>
    <cellStyle name="req 2 3 5 6 2" xfId="47174"/>
    <cellStyle name="req 2 3 5 7" xfId="47175"/>
    <cellStyle name="req 2 3 5 7 2" xfId="47176"/>
    <cellStyle name="req 2 3 5 8" xfId="47177"/>
    <cellStyle name="req 2 3 5 9" xfId="47178"/>
    <cellStyle name="req 2 3 6" xfId="47179"/>
    <cellStyle name="req 2 3 6 2" xfId="47180"/>
    <cellStyle name="req 2 3 6 2 2" xfId="47181"/>
    <cellStyle name="req 2 3 6 2 2 2" xfId="47182"/>
    <cellStyle name="req 2 3 6 2 2 2 2" xfId="47183"/>
    <cellStyle name="req 2 3 6 2 2 2 2 2" xfId="47184"/>
    <cellStyle name="req 2 3 6 2 2 2 3" xfId="47185"/>
    <cellStyle name="req 2 3 6 2 2 2 3 2" xfId="47186"/>
    <cellStyle name="req 2 3 6 2 2 2 4" xfId="47187"/>
    <cellStyle name="req 2 3 6 2 2 2 5" xfId="47188"/>
    <cellStyle name="req 2 3 6 2 2 3" xfId="47189"/>
    <cellStyle name="req 2 3 6 2 2 3 2" xfId="47190"/>
    <cellStyle name="req 2 3 6 2 2 4" xfId="47191"/>
    <cellStyle name="req 2 3 6 2 2 4 2" xfId="47192"/>
    <cellStyle name="req 2 3 6 2 2 5" xfId="47193"/>
    <cellStyle name="req 2 3 6 2 2 6" xfId="47194"/>
    <cellStyle name="req 2 3 6 2 3" xfId="47195"/>
    <cellStyle name="req 2 3 6 2 3 2" xfId="47196"/>
    <cellStyle name="req 2 3 6 2 3 2 2" xfId="47197"/>
    <cellStyle name="req 2 3 6 2 3 3" xfId="47198"/>
    <cellStyle name="req 2 3 6 2 3 3 2" xfId="47199"/>
    <cellStyle name="req 2 3 6 2 3 4" xfId="47200"/>
    <cellStyle name="req 2 3 6 2 3 5" xfId="47201"/>
    <cellStyle name="req 2 3 6 2 4" xfId="47202"/>
    <cellStyle name="req 2 3 6 2 4 2" xfId="47203"/>
    <cellStyle name="req 2 3 6 2 5" xfId="47204"/>
    <cellStyle name="req 2 3 6 2 5 2" xfId="47205"/>
    <cellStyle name="req 2 3 6 2 6" xfId="47206"/>
    <cellStyle name="req 2 3 6 2 7" xfId="47207"/>
    <cellStyle name="req 2 3 6 3" xfId="47208"/>
    <cellStyle name="req 2 3 6 3 2" xfId="47209"/>
    <cellStyle name="req 2 3 6 3 2 2" xfId="47210"/>
    <cellStyle name="req 2 3 6 3 2 2 2" xfId="47211"/>
    <cellStyle name="req 2 3 6 3 2 3" xfId="47212"/>
    <cellStyle name="req 2 3 6 3 2 3 2" xfId="47213"/>
    <cellStyle name="req 2 3 6 3 2 4" xfId="47214"/>
    <cellStyle name="req 2 3 6 3 2 5" xfId="47215"/>
    <cellStyle name="req 2 3 6 3 3" xfId="47216"/>
    <cellStyle name="req 2 3 6 3 3 2" xfId="47217"/>
    <cellStyle name="req 2 3 6 3 4" xfId="47218"/>
    <cellStyle name="req 2 3 6 3 4 2" xfId="47219"/>
    <cellStyle name="req 2 3 6 3 5" xfId="47220"/>
    <cellStyle name="req 2 3 6 3 6" xfId="47221"/>
    <cellStyle name="req 2 3 6 4" xfId="47222"/>
    <cellStyle name="req 2 3 6 4 2" xfId="47223"/>
    <cellStyle name="req 2 3 6 4 2 2" xfId="47224"/>
    <cellStyle name="req 2 3 6 4 3" xfId="47225"/>
    <cellStyle name="req 2 3 6 4 3 2" xfId="47226"/>
    <cellStyle name="req 2 3 6 4 4" xfId="47227"/>
    <cellStyle name="req 2 3 6 4 5" xfId="47228"/>
    <cellStyle name="req 2 3 6 5" xfId="47229"/>
    <cellStyle name="req 2 3 6 5 2" xfId="47230"/>
    <cellStyle name="req 2 3 6 6" xfId="47231"/>
    <cellStyle name="req 2 3 6 6 2" xfId="47232"/>
    <cellStyle name="req 2 3 6 7" xfId="47233"/>
    <cellStyle name="req 2 3 6 8" xfId="47234"/>
    <cellStyle name="req 2 3 7" xfId="47235"/>
    <cellStyle name="req 2 3 7 2" xfId="47236"/>
    <cellStyle name="req 2 3 7 2 2" xfId="47237"/>
    <cellStyle name="req 2 3 7 2 2 2" xfId="47238"/>
    <cellStyle name="req 2 3 7 2 2 2 2" xfId="47239"/>
    <cellStyle name="req 2 3 7 2 2 3" xfId="47240"/>
    <cellStyle name="req 2 3 7 2 2 3 2" xfId="47241"/>
    <cellStyle name="req 2 3 7 2 2 4" xfId="47242"/>
    <cellStyle name="req 2 3 7 2 2 5" xfId="47243"/>
    <cellStyle name="req 2 3 7 2 3" xfId="47244"/>
    <cellStyle name="req 2 3 7 2 3 2" xfId="47245"/>
    <cellStyle name="req 2 3 7 2 4" xfId="47246"/>
    <cellStyle name="req 2 3 7 2 4 2" xfId="47247"/>
    <cellStyle name="req 2 3 7 2 5" xfId="47248"/>
    <cellStyle name="req 2 3 7 2 6" xfId="47249"/>
    <cellStyle name="req 2 3 7 3" xfId="47250"/>
    <cellStyle name="req 2 3 7 3 2" xfId="47251"/>
    <cellStyle name="req 2 3 7 3 2 2" xfId="47252"/>
    <cellStyle name="req 2 3 7 3 3" xfId="47253"/>
    <cellStyle name="req 2 3 7 3 3 2" xfId="47254"/>
    <cellStyle name="req 2 3 7 3 4" xfId="47255"/>
    <cellStyle name="req 2 3 7 3 5" xfId="47256"/>
    <cellStyle name="req 2 3 7 4" xfId="47257"/>
    <cellStyle name="req 2 3 7 4 2" xfId="47258"/>
    <cellStyle name="req 2 3 7 5" xfId="47259"/>
    <cellStyle name="req 2 3 7 5 2" xfId="47260"/>
    <cellStyle name="req 2 3 7 6" xfId="47261"/>
    <cellStyle name="req 2 3 7 7" xfId="47262"/>
    <cellStyle name="req 2 3 8" xfId="47263"/>
    <cellStyle name="req 2 3 8 2" xfId="47264"/>
    <cellStyle name="req 2 3 8 2 2" xfId="47265"/>
    <cellStyle name="req 2 3 8 2 2 2" xfId="47266"/>
    <cellStyle name="req 2 3 8 2 3" xfId="47267"/>
    <cellStyle name="req 2 3 8 2 3 2" xfId="47268"/>
    <cellStyle name="req 2 3 8 2 4" xfId="47269"/>
    <cellStyle name="req 2 3 8 2 5" xfId="47270"/>
    <cellStyle name="req 2 3 8 3" xfId="47271"/>
    <cellStyle name="req 2 3 8 3 2" xfId="47272"/>
    <cellStyle name="req 2 3 8 4" xfId="47273"/>
    <cellStyle name="req 2 3 8 4 2" xfId="47274"/>
    <cellStyle name="req 2 3 8 5" xfId="47275"/>
    <cellStyle name="req 2 3 8 6" xfId="47276"/>
    <cellStyle name="req 2 3 9" xfId="47277"/>
    <cellStyle name="req 2 3 9 2" xfId="47278"/>
    <cellStyle name="req 2 3 9 2 2" xfId="47279"/>
    <cellStyle name="req 2 3 9 3" xfId="47280"/>
    <cellStyle name="req 2 3 9 3 2" xfId="47281"/>
    <cellStyle name="req 2 3 9 4" xfId="47282"/>
    <cellStyle name="req 2 3 9 5" xfId="47283"/>
    <cellStyle name="req 2 4" xfId="47284"/>
    <cellStyle name="req 2 4 10" xfId="47285"/>
    <cellStyle name="req 2 4 10 2" xfId="47286"/>
    <cellStyle name="req 2 4 11" xfId="47287"/>
    <cellStyle name="req 2 4 12" xfId="47288"/>
    <cellStyle name="req 2 4 2" xfId="47289"/>
    <cellStyle name="req 2 4 2 2" xfId="47290"/>
    <cellStyle name="req 2 4 2 2 2" xfId="47291"/>
    <cellStyle name="req 2 4 2 2 2 2" xfId="47292"/>
    <cellStyle name="req 2 4 2 2 2 2 2" xfId="47293"/>
    <cellStyle name="req 2 4 2 2 2 2 2 2" xfId="47294"/>
    <cellStyle name="req 2 4 2 2 2 2 2 2 2" xfId="47295"/>
    <cellStyle name="req 2 4 2 2 2 2 2 3" xfId="47296"/>
    <cellStyle name="req 2 4 2 2 2 2 2 3 2" xfId="47297"/>
    <cellStyle name="req 2 4 2 2 2 2 2 4" xfId="47298"/>
    <cellStyle name="req 2 4 2 2 2 2 2 5" xfId="47299"/>
    <cellStyle name="req 2 4 2 2 2 2 3" xfId="47300"/>
    <cellStyle name="req 2 4 2 2 2 2 3 2" xfId="47301"/>
    <cellStyle name="req 2 4 2 2 2 2 4" xfId="47302"/>
    <cellStyle name="req 2 4 2 2 2 2 4 2" xfId="47303"/>
    <cellStyle name="req 2 4 2 2 2 2 5" xfId="47304"/>
    <cellStyle name="req 2 4 2 2 2 2 6" xfId="47305"/>
    <cellStyle name="req 2 4 2 2 2 3" xfId="47306"/>
    <cellStyle name="req 2 4 2 2 2 3 2" xfId="47307"/>
    <cellStyle name="req 2 4 2 2 2 3 2 2" xfId="47308"/>
    <cellStyle name="req 2 4 2 2 2 3 3" xfId="47309"/>
    <cellStyle name="req 2 4 2 2 2 3 3 2" xfId="47310"/>
    <cellStyle name="req 2 4 2 2 2 3 4" xfId="47311"/>
    <cellStyle name="req 2 4 2 2 2 3 5" xfId="47312"/>
    <cellStyle name="req 2 4 2 2 2 4" xfId="47313"/>
    <cellStyle name="req 2 4 2 2 2 4 2" xfId="47314"/>
    <cellStyle name="req 2 4 2 2 2 5" xfId="47315"/>
    <cellStyle name="req 2 4 2 2 2 5 2" xfId="47316"/>
    <cellStyle name="req 2 4 2 2 2 6" xfId="47317"/>
    <cellStyle name="req 2 4 2 2 2 7" xfId="47318"/>
    <cellStyle name="req 2 4 2 2 3" xfId="47319"/>
    <cellStyle name="req 2 4 2 2 3 2" xfId="47320"/>
    <cellStyle name="req 2 4 2 2 3 2 2" xfId="47321"/>
    <cellStyle name="req 2 4 2 2 3 2 2 2" xfId="47322"/>
    <cellStyle name="req 2 4 2 2 3 2 3" xfId="47323"/>
    <cellStyle name="req 2 4 2 2 3 2 3 2" xfId="47324"/>
    <cellStyle name="req 2 4 2 2 3 2 4" xfId="47325"/>
    <cellStyle name="req 2 4 2 2 3 2 5" xfId="47326"/>
    <cellStyle name="req 2 4 2 2 3 3" xfId="47327"/>
    <cellStyle name="req 2 4 2 2 3 3 2" xfId="47328"/>
    <cellStyle name="req 2 4 2 2 3 4" xfId="47329"/>
    <cellStyle name="req 2 4 2 2 3 4 2" xfId="47330"/>
    <cellStyle name="req 2 4 2 2 3 5" xfId="47331"/>
    <cellStyle name="req 2 4 2 2 3 6" xfId="47332"/>
    <cellStyle name="req 2 4 2 2 4" xfId="47333"/>
    <cellStyle name="req 2 4 2 2 4 2" xfId="47334"/>
    <cellStyle name="req 2 4 2 2 4 2 2" xfId="47335"/>
    <cellStyle name="req 2 4 2 2 4 3" xfId="47336"/>
    <cellStyle name="req 2 4 2 2 4 3 2" xfId="47337"/>
    <cellStyle name="req 2 4 2 2 4 4" xfId="47338"/>
    <cellStyle name="req 2 4 2 2 4 5" xfId="47339"/>
    <cellStyle name="req 2 4 2 2 5" xfId="47340"/>
    <cellStyle name="req 2 4 2 2 5 2" xfId="47341"/>
    <cellStyle name="req 2 4 2 2 6" xfId="47342"/>
    <cellStyle name="req 2 4 2 2 6 2" xfId="47343"/>
    <cellStyle name="req 2 4 2 2 7" xfId="47344"/>
    <cellStyle name="req 2 4 2 2 8" xfId="47345"/>
    <cellStyle name="req 2 4 2 3" xfId="47346"/>
    <cellStyle name="req 2 4 2 3 2" xfId="47347"/>
    <cellStyle name="req 2 4 2 3 2 2" xfId="47348"/>
    <cellStyle name="req 2 4 2 3 2 2 2" xfId="47349"/>
    <cellStyle name="req 2 4 2 3 2 2 2 2" xfId="47350"/>
    <cellStyle name="req 2 4 2 3 2 2 3" xfId="47351"/>
    <cellStyle name="req 2 4 2 3 2 2 3 2" xfId="47352"/>
    <cellStyle name="req 2 4 2 3 2 2 4" xfId="47353"/>
    <cellStyle name="req 2 4 2 3 2 2 5" xfId="47354"/>
    <cellStyle name="req 2 4 2 3 2 3" xfId="47355"/>
    <cellStyle name="req 2 4 2 3 2 3 2" xfId="47356"/>
    <cellStyle name="req 2 4 2 3 2 4" xfId="47357"/>
    <cellStyle name="req 2 4 2 3 2 4 2" xfId="47358"/>
    <cellStyle name="req 2 4 2 3 2 5" xfId="47359"/>
    <cellStyle name="req 2 4 2 3 2 6" xfId="47360"/>
    <cellStyle name="req 2 4 2 3 3" xfId="47361"/>
    <cellStyle name="req 2 4 2 3 3 2" xfId="47362"/>
    <cellStyle name="req 2 4 2 3 3 2 2" xfId="47363"/>
    <cellStyle name="req 2 4 2 3 3 3" xfId="47364"/>
    <cellStyle name="req 2 4 2 3 3 3 2" xfId="47365"/>
    <cellStyle name="req 2 4 2 3 3 4" xfId="47366"/>
    <cellStyle name="req 2 4 2 3 3 5" xfId="47367"/>
    <cellStyle name="req 2 4 2 3 4" xfId="47368"/>
    <cellStyle name="req 2 4 2 3 4 2" xfId="47369"/>
    <cellStyle name="req 2 4 2 3 5" xfId="47370"/>
    <cellStyle name="req 2 4 2 3 5 2" xfId="47371"/>
    <cellStyle name="req 2 4 2 3 6" xfId="47372"/>
    <cellStyle name="req 2 4 2 3 7" xfId="47373"/>
    <cellStyle name="req 2 4 2 4" xfId="47374"/>
    <cellStyle name="req 2 4 2 4 2" xfId="47375"/>
    <cellStyle name="req 2 4 2 4 2 2" xfId="47376"/>
    <cellStyle name="req 2 4 2 4 2 2 2" xfId="47377"/>
    <cellStyle name="req 2 4 2 4 2 3" xfId="47378"/>
    <cellStyle name="req 2 4 2 4 2 3 2" xfId="47379"/>
    <cellStyle name="req 2 4 2 4 2 4" xfId="47380"/>
    <cellStyle name="req 2 4 2 4 2 5" xfId="47381"/>
    <cellStyle name="req 2 4 2 4 3" xfId="47382"/>
    <cellStyle name="req 2 4 2 4 3 2" xfId="47383"/>
    <cellStyle name="req 2 4 2 4 4" xfId="47384"/>
    <cellStyle name="req 2 4 2 4 4 2" xfId="47385"/>
    <cellStyle name="req 2 4 2 4 5" xfId="47386"/>
    <cellStyle name="req 2 4 2 4 6" xfId="47387"/>
    <cellStyle name="req 2 4 2 5" xfId="47388"/>
    <cellStyle name="req 2 4 2 5 2" xfId="47389"/>
    <cellStyle name="req 2 4 2 5 2 2" xfId="47390"/>
    <cellStyle name="req 2 4 2 5 3" xfId="47391"/>
    <cellStyle name="req 2 4 2 5 3 2" xfId="47392"/>
    <cellStyle name="req 2 4 2 5 4" xfId="47393"/>
    <cellStyle name="req 2 4 2 5 5" xfId="47394"/>
    <cellStyle name="req 2 4 2 6" xfId="47395"/>
    <cellStyle name="req 2 4 2 6 2" xfId="47396"/>
    <cellStyle name="req 2 4 2 7" xfId="47397"/>
    <cellStyle name="req 2 4 2 7 2" xfId="47398"/>
    <cellStyle name="req 2 4 2 8" xfId="47399"/>
    <cellStyle name="req 2 4 2 9" xfId="47400"/>
    <cellStyle name="req 2 4 3" xfId="47401"/>
    <cellStyle name="req 2 4 3 2" xfId="47402"/>
    <cellStyle name="req 2 4 3 2 2" xfId="47403"/>
    <cellStyle name="req 2 4 3 2 2 2" xfId="47404"/>
    <cellStyle name="req 2 4 3 2 2 2 2" xfId="47405"/>
    <cellStyle name="req 2 4 3 2 2 2 2 2" xfId="47406"/>
    <cellStyle name="req 2 4 3 2 2 2 2 2 2" xfId="47407"/>
    <cellStyle name="req 2 4 3 2 2 2 2 3" xfId="47408"/>
    <cellStyle name="req 2 4 3 2 2 2 2 3 2" xfId="47409"/>
    <cellStyle name="req 2 4 3 2 2 2 2 4" xfId="47410"/>
    <cellStyle name="req 2 4 3 2 2 2 2 5" xfId="47411"/>
    <cellStyle name="req 2 4 3 2 2 2 3" xfId="47412"/>
    <cellStyle name="req 2 4 3 2 2 2 3 2" xfId="47413"/>
    <cellStyle name="req 2 4 3 2 2 2 4" xfId="47414"/>
    <cellStyle name="req 2 4 3 2 2 2 4 2" xfId="47415"/>
    <cellStyle name="req 2 4 3 2 2 2 5" xfId="47416"/>
    <cellStyle name="req 2 4 3 2 2 2 6" xfId="47417"/>
    <cellStyle name="req 2 4 3 2 2 3" xfId="47418"/>
    <cellStyle name="req 2 4 3 2 2 3 2" xfId="47419"/>
    <cellStyle name="req 2 4 3 2 2 3 2 2" xfId="47420"/>
    <cellStyle name="req 2 4 3 2 2 3 3" xfId="47421"/>
    <cellStyle name="req 2 4 3 2 2 3 3 2" xfId="47422"/>
    <cellStyle name="req 2 4 3 2 2 3 4" xfId="47423"/>
    <cellStyle name="req 2 4 3 2 2 3 5" xfId="47424"/>
    <cellStyle name="req 2 4 3 2 2 4" xfId="47425"/>
    <cellStyle name="req 2 4 3 2 2 4 2" xfId="47426"/>
    <cellStyle name="req 2 4 3 2 2 5" xfId="47427"/>
    <cellStyle name="req 2 4 3 2 2 5 2" xfId="47428"/>
    <cellStyle name="req 2 4 3 2 2 6" xfId="47429"/>
    <cellStyle name="req 2 4 3 2 2 7" xfId="47430"/>
    <cellStyle name="req 2 4 3 2 3" xfId="47431"/>
    <cellStyle name="req 2 4 3 2 3 2" xfId="47432"/>
    <cellStyle name="req 2 4 3 2 3 2 2" xfId="47433"/>
    <cellStyle name="req 2 4 3 2 3 2 2 2" xfId="47434"/>
    <cellStyle name="req 2 4 3 2 3 2 3" xfId="47435"/>
    <cellStyle name="req 2 4 3 2 3 2 3 2" xfId="47436"/>
    <cellStyle name="req 2 4 3 2 3 2 4" xfId="47437"/>
    <cellStyle name="req 2 4 3 2 3 2 5" xfId="47438"/>
    <cellStyle name="req 2 4 3 2 3 3" xfId="47439"/>
    <cellStyle name="req 2 4 3 2 3 3 2" xfId="47440"/>
    <cellStyle name="req 2 4 3 2 3 4" xfId="47441"/>
    <cellStyle name="req 2 4 3 2 3 4 2" xfId="47442"/>
    <cellStyle name="req 2 4 3 2 3 5" xfId="47443"/>
    <cellStyle name="req 2 4 3 2 3 6" xfId="47444"/>
    <cellStyle name="req 2 4 3 2 4" xfId="47445"/>
    <cellStyle name="req 2 4 3 2 4 2" xfId="47446"/>
    <cellStyle name="req 2 4 3 2 4 2 2" xfId="47447"/>
    <cellStyle name="req 2 4 3 2 4 3" xfId="47448"/>
    <cellStyle name="req 2 4 3 2 4 3 2" xfId="47449"/>
    <cellStyle name="req 2 4 3 2 4 4" xfId="47450"/>
    <cellStyle name="req 2 4 3 2 4 5" xfId="47451"/>
    <cellStyle name="req 2 4 3 2 5" xfId="47452"/>
    <cellStyle name="req 2 4 3 2 5 2" xfId="47453"/>
    <cellStyle name="req 2 4 3 2 6" xfId="47454"/>
    <cellStyle name="req 2 4 3 2 6 2" xfId="47455"/>
    <cellStyle name="req 2 4 3 2 7" xfId="47456"/>
    <cellStyle name="req 2 4 3 2 8" xfId="47457"/>
    <cellStyle name="req 2 4 3 3" xfId="47458"/>
    <cellStyle name="req 2 4 3 3 2" xfId="47459"/>
    <cellStyle name="req 2 4 3 3 2 2" xfId="47460"/>
    <cellStyle name="req 2 4 3 3 2 2 2" xfId="47461"/>
    <cellStyle name="req 2 4 3 3 2 2 2 2" xfId="47462"/>
    <cellStyle name="req 2 4 3 3 2 2 3" xfId="47463"/>
    <cellStyle name="req 2 4 3 3 2 2 3 2" xfId="47464"/>
    <cellStyle name="req 2 4 3 3 2 2 4" xfId="47465"/>
    <cellStyle name="req 2 4 3 3 2 2 5" xfId="47466"/>
    <cellStyle name="req 2 4 3 3 2 3" xfId="47467"/>
    <cellStyle name="req 2 4 3 3 2 3 2" xfId="47468"/>
    <cellStyle name="req 2 4 3 3 2 4" xfId="47469"/>
    <cellStyle name="req 2 4 3 3 2 4 2" xfId="47470"/>
    <cellStyle name="req 2 4 3 3 2 5" xfId="47471"/>
    <cellStyle name="req 2 4 3 3 2 6" xfId="47472"/>
    <cellStyle name="req 2 4 3 3 3" xfId="47473"/>
    <cellStyle name="req 2 4 3 3 3 2" xfId="47474"/>
    <cellStyle name="req 2 4 3 3 3 2 2" xfId="47475"/>
    <cellStyle name="req 2 4 3 3 3 3" xfId="47476"/>
    <cellStyle name="req 2 4 3 3 3 3 2" xfId="47477"/>
    <cellStyle name="req 2 4 3 3 3 4" xfId="47478"/>
    <cellStyle name="req 2 4 3 3 3 5" xfId="47479"/>
    <cellStyle name="req 2 4 3 3 4" xfId="47480"/>
    <cellStyle name="req 2 4 3 3 4 2" xfId="47481"/>
    <cellStyle name="req 2 4 3 3 5" xfId="47482"/>
    <cellStyle name="req 2 4 3 3 5 2" xfId="47483"/>
    <cellStyle name="req 2 4 3 3 6" xfId="47484"/>
    <cellStyle name="req 2 4 3 3 7" xfId="47485"/>
    <cellStyle name="req 2 4 3 4" xfId="47486"/>
    <cellStyle name="req 2 4 3 4 2" xfId="47487"/>
    <cellStyle name="req 2 4 3 4 2 2" xfId="47488"/>
    <cellStyle name="req 2 4 3 4 2 2 2" xfId="47489"/>
    <cellStyle name="req 2 4 3 4 2 3" xfId="47490"/>
    <cellStyle name="req 2 4 3 4 2 3 2" xfId="47491"/>
    <cellStyle name="req 2 4 3 4 2 4" xfId="47492"/>
    <cellStyle name="req 2 4 3 4 2 5" xfId="47493"/>
    <cellStyle name="req 2 4 3 4 3" xfId="47494"/>
    <cellStyle name="req 2 4 3 4 3 2" xfId="47495"/>
    <cellStyle name="req 2 4 3 4 4" xfId="47496"/>
    <cellStyle name="req 2 4 3 4 4 2" xfId="47497"/>
    <cellStyle name="req 2 4 3 4 5" xfId="47498"/>
    <cellStyle name="req 2 4 3 4 6" xfId="47499"/>
    <cellStyle name="req 2 4 3 5" xfId="47500"/>
    <cellStyle name="req 2 4 3 5 2" xfId="47501"/>
    <cellStyle name="req 2 4 3 5 2 2" xfId="47502"/>
    <cellStyle name="req 2 4 3 5 3" xfId="47503"/>
    <cellStyle name="req 2 4 3 5 3 2" xfId="47504"/>
    <cellStyle name="req 2 4 3 5 4" xfId="47505"/>
    <cellStyle name="req 2 4 3 5 5" xfId="47506"/>
    <cellStyle name="req 2 4 3 6" xfId="47507"/>
    <cellStyle name="req 2 4 3 6 2" xfId="47508"/>
    <cellStyle name="req 2 4 3 7" xfId="47509"/>
    <cellStyle name="req 2 4 3 7 2" xfId="47510"/>
    <cellStyle name="req 2 4 3 8" xfId="47511"/>
    <cellStyle name="req 2 4 3 9" xfId="47512"/>
    <cellStyle name="req 2 4 4" xfId="47513"/>
    <cellStyle name="req 2 4 4 2" xfId="47514"/>
    <cellStyle name="req 2 4 4 2 2" xfId="47515"/>
    <cellStyle name="req 2 4 4 2 2 2" xfId="47516"/>
    <cellStyle name="req 2 4 4 2 2 2 2" xfId="47517"/>
    <cellStyle name="req 2 4 4 2 2 2 2 2" xfId="47518"/>
    <cellStyle name="req 2 4 4 2 2 2 2 2 2" xfId="47519"/>
    <cellStyle name="req 2 4 4 2 2 2 2 3" xfId="47520"/>
    <cellStyle name="req 2 4 4 2 2 2 2 3 2" xfId="47521"/>
    <cellStyle name="req 2 4 4 2 2 2 2 4" xfId="47522"/>
    <cellStyle name="req 2 4 4 2 2 2 2 5" xfId="47523"/>
    <cellStyle name="req 2 4 4 2 2 2 3" xfId="47524"/>
    <cellStyle name="req 2 4 4 2 2 2 3 2" xfId="47525"/>
    <cellStyle name="req 2 4 4 2 2 2 4" xfId="47526"/>
    <cellStyle name="req 2 4 4 2 2 2 4 2" xfId="47527"/>
    <cellStyle name="req 2 4 4 2 2 2 5" xfId="47528"/>
    <cellStyle name="req 2 4 4 2 2 2 6" xfId="47529"/>
    <cellStyle name="req 2 4 4 2 2 3" xfId="47530"/>
    <cellStyle name="req 2 4 4 2 2 3 2" xfId="47531"/>
    <cellStyle name="req 2 4 4 2 2 3 2 2" xfId="47532"/>
    <cellStyle name="req 2 4 4 2 2 3 3" xfId="47533"/>
    <cellStyle name="req 2 4 4 2 2 3 3 2" xfId="47534"/>
    <cellStyle name="req 2 4 4 2 2 3 4" xfId="47535"/>
    <cellStyle name="req 2 4 4 2 2 3 5" xfId="47536"/>
    <cellStyle name="req 2 4 4 2 2 4" xfId="47537"/>
    <cellStyle name="req 2 4 4 2 2 4 2" xfId="47538"/>
    <cellStyle name="req 2 4 4 2 2 5" xfId="47539"/>
    <cellStyle name="req 2 4 4 2 2 5 2" xfId="47540"/>
    <cellStyle name="req 2 4 4 2 2 6" xfId="47541"/>
    <cellStyle name="req 2 4 4 2 2 7" xfId="47542"/>
    <cellStyle name="req 2 4 4 2 3" xfId="47543"/>
    <cellStyle name="req 2 4 4 2 3 2" xfId="47544"/>
    <cellStyle name="req 2 4 4 2 3 2 2" xfId="47545"/>
    <cellStyle name="req 2 4 4 2 3 2 2 2" xfId="47546"/>
    <cellStyle name="req 2 4 4 2 3 2 3" xfId="47547"/>
    <cellStyle name="req 2 4 4 2 3 2 3 2" xfId="47548"/>
    <cellStyle name="req 2 4 4 2 3 2 4" xfId="47549"/>
    <cellStyle name="req 2 4 4 2 3 2 5" xfId="47550"/>
    <cellStyle name="req 2 4 4 2 3 3" xfId="47551"/>
    <cellStyle name="req 2 4 4 2 3 3 2" xfId="47552"/>
    <cellStyle name="req 2 4 4 2 3 4" xfId="47553"/>
    <cellStyle name="req 2 4 4 2 3 4 2" xfId="47554"/>
    <cellStyle name="req 2 4 4 2 3 5" xfId="47555"/>
    <cellStyle name="req 2 4 4 2 3 6" xfId="47556"/>
    <cellStyle name="req 2 4 4 2 4" xfId="47557"/>
    <cellStyle name="req 2 4 4 2 4 2" xfId="47558"/>
    <cellStyle name="req 2 4 4 2 4 2 2" xfId="47559"/>
    <cellStyle name="req 2 4 4 2 4 3" xfId="47560"/>
    <cellStyle name="req 2 4 4 2 4 3 2" xfId="47561"/>
    <cellStyle name="req 2 4 4 2 4 4" xfId="47562"/>
    <cellStyle name="req 2 4 4 2 4 5" xfId="47563"/>
    <cellStyle name="req 2 4 4 2 5" xfId="47564"/>
    <cellStyle name="req 2 4 4 2 5 2" xfId="47565"/>
    <cellStyle name="req 2 4 4 2 6" xfId="47566"/>
    <cellStyle name="req 2 4 4 2 6 2" xfId="47567"/>
    <cellStyle name="req 2 4 4 2 7" xfId="47568"/>
    <cellStyle name="req 2 4 4 2 8" xfId="47569"/>
    <cellStyle name="req 2 4 4 3" xfId="47570"/>
    <cellStyle name="req 2 4 4 3 2" xfId="47571"/>
    <cellStyle name="req 2 4 4 3 2 2" xfId="47572"/>
    <cellStyle name="req 2 4 4 3 2 2 2" xfId="47573"/>
    <cellStyle name="req 2 4 4 3 2 2 2 2" xfId="47574"/>
    <cellStyle name="req 2 4 4 3 2 2 3" xfId="47575"/>
    <cellStyle name="req 2 4 4 3 2 2 3 2" xfId="47576"/>
    <cellStyle name="req 2 4 4 3 2 2 4" xfId="47577"/>
    <cellStyle name="req 2 4 4 3 2 2 5" xfId="47578"/>
    <cellStyle name="req 2 4 4 3 2 3" xfId="47579"/>
    <cellStyle name="req 2 4 4 3 2 3 2" xfId="47580"/>
    <cellStyle name="req 2 4 4 3 2 4" xfId="47581"/>
    <cellStyle name="req 2 4 4 3 2 4 2" xfId="47582"/>
    <cellStyle name="req 2 4 4 3 2 5" xfId="47583"/>
    <cellStyle name="req 2 4 4 3 2 6" xfId="47584"/>
    <cellStyle name="req 2 4 4 3 3" xfId="47585"/>
    <cellStyle name="req 2 4 4 3 3 2" xfId="47586"/>
    <cellStyle name="req 2 4 4 3 3 2 2" xfId="47587"/>
    <cellStyle name="req 2 4 4 3 3 3" xfId="47588"/>
    <cellStyle name="req 2 4 4 3 3 3 2" xfId="47589"/>
    <cellStyle name="req 2 4 4 3 3 4" xfId="47590"/>
    <cellStyle name="req 2 4 4 3 3 5" xfId="47591"/>
    <cellStyle name="req 2 4 4 3 4" xfId="47592"/>
    <cellStyle name="req 2 4 4 3 4 2" xfId="47593"/>
    <cellStyle name="req 2 4 4 3 5" xfId="47594"/>
    <cellStyle name="req 2 4 4 3 5 2" xfId="47595"/>
    <cellStyle name="req 2 4 4 3 6" xfId="47596"/>
    <cellStyle name="req 2 4 4 3 7" xfId="47597"/>
    <cellStyle name="req 2 4 4 4" xfId="47598"/>
    <cellStyle name="req 2 4 4 4 2" xfId="47599"/>
    <cellStyle name="req 2 4 4 4 2 2" xfId="47600"/>
    <cellStyle name="req 2 4 4 4 2 2 2" xfId="47601"/>
    <cellStyle name="req 2 4 4 4 2 3" xfId="47602"/>
    <cellStyle name="req 2 4 4 4 2 3 2" xfId="47603"/>
    <cellStyle name="req 2 4 4 4 2 4" xfId="47604"/>
    <cellStyle name="req 2 4 4 4 2 5" xfId="47605"/>
    <cellStyle name="req 2 4 4 4 3" xfId="47606"/>
    <cellStyle name="req 2 4 4 4 3 2" xfId="47607"/>
    <cellStyle name="req 2 4 4 4 4" xfId="47608"/>
    <cellStyle name="req 2 4 4 4 4 2" xfId="47609"/>
    <cellStyle name="req 2 4 4 4 5" xfId="47610"/>
    <cellStyle name="req 2 4 4 4 6" xfId="47611"/>
    <cellStyle name="req 2 4 4 5" xfId="47612"/>
    <cellStyle name="req 2 4 4 5 2" xfId="47613"/>
    <cellStyle name="req 2 4 4 5 2 2" xfId="47614"/>
    <cellStyle name="req 2 4 4 5 3" xfId="47615"/>
    <cellStyle name="req 2 4 4 5 3 2" xfId="47616"/>
    <cellStyle name="req 2 4 4 5 4" xfId="47617"/>
    <cellStyle name="req 2 4 4 5 5" xfId="47618"/>
    <cellStyle name="req 2 4 4 6" xfId="47619"/>
    <cellStyle name="req 2 4 4 6 2" xfId="47620"/>
    <cellStyle name="req 2 4 4 7" xfId="47621"/>
    <cellStyle name="req 2 4 4 7 2" xfId="47622"/>
    <cellStyle name="req 2 4 4 8" xfId="47623"/>
    <cellStyle name="req 2 4 4 9" xfId="47624"/>
    <cellStyle name="req 2 4 5" xfId="47625"/>
    <cellStyle name="req 2 4 5 2" xfId="47626"/>
    <cellStyle name="req 2 4 5 2 2" xfId="47627"/>
    <cellStyle name="req 2 4 5 2 2 2" xfId="47628"/>
    <cellStyle name="req 2 4 5 2 2 2 2" xfId="47629"/>
    <cellStyle name="req 2 4 5 2 2 2 2 2" xfId="47630"/>
    <cellStyle name="req 2 4 5 2 2 2 3" xfId="47631"/>
    <cellStyle name="req 2 4 5 2 2 2 3 2" xfId="47632"/>
    <cellStyle name="req 2 4 5 2 2 2 4" xfId="47633"/>
    <cellStyle name="req 2 4 5 2 2 2 5" xfId="47634"/>
    <cellStyle name="req 2 4 5 2 2 3" xfId="47635"/>
    <cellStyle name="req 2 4 5 2 2 3 2" xfId="47636"/>
    <cellStyle name="req 2 4 5 2 2 4" xfId="47637"/>
    <cellStyle name="req 2 4 5 2 2 4 2" xfId="47638"/>
    <cellStyle name="req 2 4 5 2 2 5" xfId="47639"/>
    <cellStyle name="req 2 4 5 2 2 6" xfId="47640"/>
    <cellStyle name="req 2 4 5 2 3" xfId="47641"/>
    <cellStyle name="req 2 4 5 2 3 2" xfId="47642"/>
    <cellStyle name="req 2 4 5 2 3 2 2" xfId="47643"/>
    <cellStyle name="req 2 4 5 2 3 3" xfId="47644"/>
    <cellStyle name="req 2 4 5 2 3 3 2" xfId="47645"/>
    <cellStyle name="req 2 4 5 2 3 4" xfId="47646"/>
    <cellStyle name="req 2 4 5 2 3 5" xfId="47647"/>
    <cellStyle name="req 2 4 5 2 4" xfId="47648"/>
    <cellStyle name="req 2 4 5 2 4 2" xfId="47649"/>
    <cellStyle name="req 2 4 5 2 5" xfId="47650"/>
    <cellStyle name="req 2 4 5 2 5 2" xfId="47651"/>
    <cellStyle name="req 2 4 5 2 6" xfId="47652"/>
    <cellStyle name="req 2 4 5 2 7" xfId="47653"/>
    <cellStyle name="req 2 4 5 3" xfId="47654"/>
    <cellStyle name="req 2 4 5 3 2" xfId="47655"/>
    <cellStyle name="req 2 4 5 3 2 2" xfId="47656"/>
    <cellStyle name="req 2 4 5 3 2 2 2" xfId="47657"/>
    <cellStyle name="req 2 4 5 3 2 3" xfId="47658"/>
    <cellStyle name="req 2 4 5 3 2 3 2" xfId="47659"/>
    <cellStyle name="req 2 4 5 3 2 4" xfId="47660"/>
    <cellStyle name="req 2 4 5 3 2 5" xfId="47661"/>
    <cellStyle name="req 2 4 5 3 3" xfId="47662"/>
    <cellStyle name="req 2 4 5 3 3 2" xfId="47663"/>
    <cellStyle name="req 2 4 5 3 4" xfId="47664"/>
    <cellStyle name="req 2 4 5 3 4 2" xfId="47665"/>
    <cellStyle name="req 2 4 5 3 5" xfId="47666"/>
    <cellStyle name="req 2 4 5 3 6" xfId="47667"/>
    <cellStyle name="req 2 4 5 4" xfId="47668"/>
    <cellStyle name="req 2 4 5 4 2" xfId="47669"/>
    <cellStyle name="req 2 4 5 4 2 2" xfId="47670"/>
    <cellStyle name="req 2 4 5 4 3" xfId="47671"/>
    <cellStyle name="req 2 4 5 4 3 2" xfId="47672"/>
    <cellStyle name="req 2 4 5 4 4" xfId="47673"/>
    <cellStyle name="req 2 4 5 4 5" xfId="47674"/>
    <cellStyle name="req 2 4 5 5" xfId="47675"/>
    <cellStyle name="req 2 4 5 5 2" xfId="47676"/>
    <cellStyle name="req 2 4 5 6" xfId="47677"/>
    <cellStyle name="req 2 4 5 6 2" xfId="47678"/>
    <cellStyle name="req 2 4 5 7" xfId="47679"/>
    <cellStyle name="req 2 4 5 8" xfId="47680"/>
    <cellStyle name="req 2 4 6" xfId="47681"/>
    <cellStyle name="req 2 4 6 2" xfId="47682"/>
    <cellStyle name="req 2 4 6 2 2" xfId="47683"/>
    <cellStyle name="req 2 4 6 2 2 2" xfId="47684"/>
    <cellStyle name="req 2 4 6 2 2 2 2" xfId="47685"/>
    <cellStyle name="req 2 4 6 2 2 3" xfId="47686"/>
    <cellStyle name="req 2 4 6 2 2 3 2" xfId="47687"/>
    <cellStyle name="req 2 4 6 2 2 4" xfId="47688"/>
    <cellStyle name="req 2 4 6 2 2 5" xfId="47689"/>
    <cellStyle name="req 2 4 6 2 3" xfId="47690"/>
    <cellStyle name="req 2 4 6 2 3 2" xfId="47691"/>
    <cellStyle name="req 2 4 6 2 4" xfId="47692"/>
    <cellStyle name="req 2 4 6 2 4 2" xfId="47693"/>
    <cellStyle name="req 2 4 6 2 5" xfId="47694"/>
    <cellStyle name="req 2 4 6 2 6" xfId="47695"/>
    <cellStyle name="req 2 4 6 3" xfId="47696"/>
    <cellStyle name="req 2 4 6 3 2" xfId="47697"/>
    <cellStyle name="req 2 4 6 3 2 2" xfId="47698"/>
    <cellStyle name="req 2 4 6 3 3" xfId="47699"/>
    <cellStyle name="req 2 4 6 3 3 2" xfId="47700"/>
    <cellStyle name="req 2 4 6 3 4" xfId="47701"/>
    <cellStyle name="req 2 4 6 3 5" xfId="47702"/>
    <cellStyle name="req 2 4 6 4" xfId="47703"/>
    <cellStyle name="req 2 4 6 4 2" xfId="47704"/>
    <cellStyle name="req 2 4 6 5" xfId="47705"/>
    <cellStyle name="req 2 4 6 5 2" xfId="47706"/>
    <cellStyle name="req 2 4 6 6" xfId="47707"/>
    <cellStyle name="req 2 4 6 7" xfId="47708"/>
    <cellStyle name="req 2 4 7" xfId="47709"/>
    <cellStyle name="req 2 4 7 2" xfId="47710"/>
    <cellStyle name="req 2 4 7 2 2" xfId="47711"/>
    <cellStyle name="req 2 4 7 2 2 2" xfId="47712"/>
    <cellStyle name="req 2 4 7 2 3" xfId="47713"/>
    <cellStyle name="req 2 4 7 2 3 2" xfId="47714"/>
    <cellStyle name="req 2 4 7 2 4" xfId="47715"/>
    <cellStyle name="req 2 4 7 2 5" xfId="47716"/>
    <cellStyle name="req 2 4 7 3" xfId="47717"/>
    <cellStyle name="req 2 4 7 3 2" xfId="47718"/>
    <cellStyle name="req 2 4 7 4" xfId="47719"/>
    <cellStyle name="req 2 4 7 4 2" xfId="47720"/>
    <cellStyle name="req 2 4 7 5" xfId="47721"/>
    <cellStyle name="req 2 4 7 6" xfId="47722"/>
    <cellStyle name="req 2 4 8" xfId="47723"/>
    <cellStyle name="req 2 4 8 2" xfId="47724"/>
    <cellStyle name="req 2 4 8 2 2" xfId="47725"/>
    <cellStyle name="req 2 4 8 3" xfId="47726"/>
    <cellStyle name="req 2 4 8 3 2" xfId="47727"/>
    <cellStyle name="req 2 4 8 4" xfId="47728"/>
    <cellStyle name="req 2 4 8 5" xfId="47729"/>
    <cellStyle name="req 2 4 9" xfId="47730"/>
    <cellStyle name="req 2 4 9 2" xfId="47731"/>
    <cellStyle name="req 2 5" xfId="47732"/>
    <cellStyle name="req 2 5 2" xfId="47733"/>
    <cellStyle name="req 2 5 2 2" xfId="47734"/>
    <cellStyle name="req 2 5 2 2 2" xfId="47735"/>
    <cellStyle name="req 2 5 2 2 2 2" xfId="47736"/>
    <cellStyle name="req 2 5 2 2 2 2 2" xfId="47737"/>
    <cellStyle name="req 2 5 2 2 2 2 2 2" xfId="47738"/>
    <cellStyle name="req 2 5 2 2 2 2 3" xfId="47739"/>
    <cellStyle name="req 2 5 2 2 2 2 3 2" xfId="47740"/>
    <cellStyle name="req 2 5 2 2 2 2 4" xfId="47741"/>
    <cellStyle name="req 2 5 2 2 2 2 5" xfId="47742"/>
    <cellStyle name="req 2 5 2 2 2 3" xfId="47743"/>
    <cellStyle name="req 2 5 2 2 2 3 2" xfId="47744"/>
    <cellStyle name="req 2 5 2 2 2 4" xfId="47745"/>
    <cellStyle name="req 2 5 2 2 2 4 2" xfId="47746"/>
    <cellStyle name="req 2 5 2 2 2 5" xfId="47747"/>
    <cellStyle name="req 2 5 2 2 2 6" xfId="47748"/>
    <cellStyle name="req 2 5 2 2 3" xfId="47749"/>
    <cellStyle name="req 2 5 2 2 3 2" xfId="47750"/>
    <cellStyle name="req 2 5 2 2 3 2 2" xfId="47751"/>
    <cellStyle name="req 2 5 2 2 3 3" xfId="47752"/>
    <cellStyle name="req 2 5 2 2 3 3 2" xfId="47753"/>
    <cellStyle name="req 2 5 2 2 3 4" xfId="47754"/>
    <cellStyle name="req 2 5 2 2 3 5" xfId="47755"/>
    <cellStyle name="req 2 5 2 2 4" xfId="47756"/>
    <cellStyle name="req 2 5 2 2 4 2" xfId="47757"/>
    <cellStyle name="req 2 5 2 2 5" xfId="47758"/>
    <cellStyle name="req 2 5 2 2 5 2" xfId="47759"/>
    <cellStyle name="req 2 5 2 2 6" xfId="47760"/>
    <cellStyle name="req 2 5 2 2 7" xfId="47761"/>
    <cellStyle name="req 2 5 2 3" xfId="47762"/>
    <cellStyle name="req 2 5 2 3 2" xfId="47763"/>
    <cellStyle name="req 2 5 2 3 2 2" xfId="47764"/>
    <cellStyle name="req 2 5 2 3 2 2 2" xfId="47765"/>
    <cellStyle name="req 2 5 2 3 2 3" xfId="47766"/>
    <cellStyle name="req 2 5 2 3 2 3 2" xfId="47767"/>
    <cellStyle name="req 2 5 2 3 2 4" xfId="47768"/>
    <cellStyle name="req 2 5 2 3 2 5" xfId="47769"/>
    <cellStyle name="req 2 5 2 3 3" xfId="47770"/>
    <cellStyle name="req 2 5 2 3 3 2" xfId="47771"/>
    <cellStyle name="req 2 5 2 3 4" xfId="47772"/>
    <cellStyle name="req 2 5 2 3 4 2" xfId="47773"/>
    <cellStyle name="req 2 5 2 3 5" xfId="47774"/>
    <cellStyle name="req 2 5 2 3 6" xfId="47775"/>
    <cellStyle name="req 2 5 2 4" xfId="47776"/>
    <cellStyle name="req 2 5 2 4 2" xfId="47777"/>
    <cellStyle name="req 2 5 2 4 2 2" xfId="47778"/>
    <cellStyle name="req 2 5 2 4 3" xfId="47779"/>
    <cellStyle name="req 2 5 2 4 3 2" xfId="47780"/>
    <cellStyle name="req 2 5 2 4 4" xfId="47781"/>
    <cellStyle name="req 2 5 2 4 5" xfId="47782"/>
    <cellStyle name="req 2 5 2 5" xfId="47783"/>
    <cellStyle name="req 2 5 2 5 2" xfId="47784"/>
    <cellStyle name="req 2 5 2 6" xfId="47785"/>
    <cellStyle name="req 2 5 2 6 2" xfId="47786"/>
    <cellStyle name="req 2 5 2 7" xfId="47787"/>
    <cellStyle name="req 2 5 2 8" xfId="47788"/>
    <cellStyle name="req 2 5 3" xfId="47789"/>
    <cellStyle name="req 2 5 3 2" xfId="47790"/>
    <cellStyle name="req 2 5 3 2 2" xfId="47791"/>
    <cellStyle name="req 2 5 3 2 2 2" xfId="47792"/>
    <cellStyle name="req 2 5 3 2 2 2 2" xfId="47793"/>
    <cellStyle name="req 2 5 3 2 2 3" xfId="47794"/>
    <cellStyle name="req 2 5 3 2 2 3 2" xfId="47795"/>
    <cellStyle name="req 2 5 3 2 2 4" xfId="47796"/>
    <cellStyle name="req 2 5 3 2 2 5" xfId="47797"/>
    <cellStyle name="req 2 5 3 2 3" xfId="47798"/>
    <cellStyle name="req 2 5 3 2 3 2" xfId="47799"/>
    <cellStyle name="req 2 5 3 2 4" xfId="47800"/>
    <cellStyle name="req 2 5 3 2 4 2" xfId="47801"/>
    <cellStyle name="req 2 5 3 2 5" xfId="47802"/>
    <cellStyle name="req 2 5 3 2 6" xfId="47803"/>
    <cellStyle name="req 2 5 3 3" xfId="47804"/>
    <cellStyle name="req 2 5 3 3 2" xfId="47805"/>
    <cellStyle name="req 2 5 3 3 2 2" xfId="47806"/>
    <cellStyle name="req 2 5 3 3 3" xfId="47807"/>
    <cellStyle name="req 2 5 3 3 3 2" xfId="47808"/>
    <cellStyle name="req 2 5 3 3 4" xfId="47809"/>
    <cellStyle name="req 2 5 3 3 5" xfId="47810"/>
    <cellStyle name="req 2 5 3 4" xfId="47811"/>
    <cellStyle name="req 2 5 3 4 2" xfId="47812"/>
    <cellStyle name="req 2 5 3 5" xfId="47813"/>
    <cellStyle name="req 2 5 3 5 2" xfId="47814"/>
    <cellStyle name="req 2 5 3 6" xfId="47815"/>
    <cellStyle name="req 2 5 3 7" xfId="47816"/>
    <cellStyle name="req 2 5 4" xfId="47817"/>
    <cellStyle name="req 2 5 4 2" xfId="47818"/>
    <cellStyle name="req 2 5 4 2 2" xfId="47819"/>
    <cellStyle name="req 2 5 4 2 2 2" xfId="47820"/>
    <cellStyle name="req 2 5 4 2 3" xfId="47821"/>
    <cellStyle name="req 2 5 4 2 3 2" xfId="47822"/>
    <cellStyle name="req 2 5 4 2 4" xfId="47823"/>
    <cellStyle name="req 2 5 4 2 5" xfId="47824"/>
    <cellStyle name="req 2 5 4 3" xfId="47825"/>
    <cellStyle name="req 2 5 4 3 2" xfId="47826"/>
    <cellStyle name="req 2 5 4 4" xfId="47827"/>
    <cellStyle name="req 2 5 4 4 2" xfId="47828"/>
    <cellStyle name="req 2 5 4 5" xfId="47829"/>
    <cellStyle name="req 2 5 4 6" xfId="47830"/>
    <cellStyle name="req 2 5 5" xfId="47831"/>
    <cellStyle name="req 2 5 5 2" xfId="47832"/>
    <cellStyle name="req 2 5 5 2 2" xfId="47833"/>
    <cellStyle name="req 2 5 5 3" xfId="47834"/>
    <cellStyle name="req 2 5 5 3 2" xfId="47835"/>
    <cellStyle name="req 2 5 5 4" xfId="47836"/>
    <cellStyle name="req 2 5 5 5" xfId="47837"/>
    <cellStyle name="req 2 5 6" xfId="47838"/>
    <cellStyle name="req 2 5 6 2" xfId="47839"/>
    <cellStyle name="req 2 5 7" xfId="47840"/>
    <cellStyle name="req 2 5 7 2" xfId="47841"/>
    <cellStyle name="req 2 5 8" xfId="47842"/>
    <cellStyle name="req 2 5 9" xfId="47843"/>
    <cellStyle name="req 2 6" xfId="47844"/>
    <cellStyle name="req 2 6 2" xfId="47845"/>
    <cellStyle name="req 2 6 2 2" xfId="47846"/>
    <cellStyle name="req 2 6 2 2 2" xfId="47847"/>
    <cellStyle name="req 2 6 2 2 2 2" xfId="47848"/>
    <cellStyle name="req 2 6 2 2 2 2 2" xfId="47849"/>
    <cellStyle name="req 2 6 2 2 2 2 2 2" xfId="47850"/>
    <cellStyle name="req 2 6 2 2 2 2 3" xfId="47851"/>
    <cellStyle name="req 2 6 2 2 2 2 3 2" xfId="47852"/>
    <cellStyle name="req 2 6 2 2 2 2 4" xfId="47853"/>
    <cellStyle name="req 2 6 2 2 2 2 5" xfId="47854"/>
    <cellStyle name="req 2 6 2 2 2 3" xfId="47855"/>
    <cellStyle name="req 2 6 2 2 2 3 2" xfId="47856"/>
    <cellStyle name="req 2 6 2 2 2 4" xfId="47857"/>
    <cellStyle name="req 2 6 2 2 2 4 2" xfId="47858"/>
    <cellStyle name="req 2 6 2 2 2 5" xfId="47859"/>
    <cellStyle name="req 2 6 2 2 2 6" xfId="47860"/>
    <cellStyle name="req 2 6 2 2 3" xfId="47861"/>
    <cellStyle name="req 2 6 2 2 3 2" xfId="47862"/>
    <cellStyle name="req 2 6 2 2 3 2 2" xfId="47863"/>
    <cellStyle name="req 2 6 2 2 3 3" xfId="47864"/>
    <cellStyle name="req 2 6 2 2 3 3 2" xfId="47865"/>
    <cellStyle name="req 2 6 2 2 3 4" xfId="47866"/>
    <cellStyle name="req 2 6 2 2 3 5" xfId="47867"/>
    <cellStyle name="req 2 6 2 2 4" xfId="47868"/>
    <cellStyle name="req 2 6 2 2 4 2" xfId="47869"/>
    <cellStyle name="req 2 6 2 2 5" xfId="47870"/>
    <cellStyle name="req 2 6 2 2 5 2" xfId="47871"/>
    <cellStyle name="req 2 6 2 2 6" xfId="47872"/>
    <cellStyle name="req 2 6 2 2 7" xfId="47873"/>
    <cellStyle name="req 2 6 2 3" xfId="47874"/>
    <cellStyle name="req 2 6 2 3 2" xfId="47875"/>
    <cellStyle name="req 2 6 2 3 2 2" xfId="47876"/>
    <cellStyle name="req 2 6 2 3 2 2 2" xfId="47877"/>
    <cellStyle name="req 2 6 2 3 2 3" xfId="47878"/>
    <cellStyle name="req 2 6 2 3 2 3 2" xfId="47879"/>
    <cellStyle name="req 2 6 2 3 2 4" xfId="47880"/>
    <cellStyle name="req 2 6 2 3 2 5" xfId="47881"/>
    <cellStyle name="req 2 6 2 3 3" xfId="47882"/>
    <cellStyle name="req 2 6 2 3 3 2" xfId="47883"/>
    <cellStyle name="req 2 6 2 3 4" xfId="47884"/>
    <cellStyle name="req 2 6 2 3 4 2" xfId="47885"/>
    <cellStyle name="req 2 6 2 3 5" xfId="47886"/>
    <cellStyle name="req 2 6 2 3 6" xfId="47887"/>
    <cellStyle name="req 2 6 2 4" xfId="47888"/>
    <cellStyle name="req 2 6 2 4 2" xfId="47889"/>
    <cellStyle name="req 2 6 2 4 2 2" xfId="47890"/>
    <cellStyle name="req 2 6 2 4 3" xfId="47891"/>
    <cellStyle name="req 2 6 2 4 3 2" xfId="47892"/>
    <cellStyle name="req 2 6 2 4 4" xfId="47893"/>
    <cellStyle name="req 2 6 2 4 5" xfId="47894"/>
    <cellStyle name="req 2 6 2 5" xfId="47895"/>
    <cellStyle name="req 2 6 2 5 2" xfId="47896"/>
    <cellStyle name="req 2 6 2 6" xfId="47897"/>
    <cellStyle name="req 2 6 2 6 2" xfId="47898"/>
    <cellStyle name="req 2 6 2 7" xfId="47899"/>
    <cellStyle name="req 2 6 2 8" xfId="47900"/>
    <cellStyle name="req 2 6 3" xfId="47901"/>
    <cellStyle name="req 2 6 3 2" xfId="47902"/>
    <cellStyle name="req 2 6 3 2 2" xfId="47903"/>
    <cellStyle name="req 2 6 3 2 2 2" xfId="47904"/>
    <cellStyle name="req 2 6 3 2 2 2 2" xfId="47905"/>
    <cellStyle name="req 2 6 3 2 2 3" xfId="47906"/>
    <cellStyle name="req 2 6 3 2 2 3 2" xfId="47907"/>
    <cellStyle name="req 2 6 3 2 2 4" xfId="47908"/>
    <cellStyle name="req 2 6 3 2 2 5" xfId="47909"/>
    <cellStyle name="req 2 6 3 2 3" xfId="47910"/>
    <cellStyle name="req 2 6 3 2 3 2" xfId="47911"/>
    <cellStyle name="req 2 6 3 2 4" xfId="47912"/>
    <cellStyle name="req 2 6 3 2 4 2" xfId="47913"/>
    <cellStyle name="req 2 6 3 2 5" xfId="47914"/>
    <cellStyle name="req 2 6 3 2 6" xfId="47915"/>
    <cellStyle name="req 2 6 3 3" xfId="47916"/>
    <cellStyle name="req 2 6 3 3 2" xfId="47917"/>
    <cellStyle name="req 2 6 3 3 2 2" xfId="47918"/>
    <cellStyle name="req 2 6 3 3 3" xfId="47919"/>
    <cellStyle name="req 2 6 3 3 3 2" xfId="47920"/>
    <cellStyle name="req 2 6 3 3 4" xfId="47921"/>
    <cellStyle name="req 2 6 3 3 5" xfId="47922"/>
    <cellStyle name="req 2 6 3 4" xfId="47923"/>
    <cellStyle name="req 2 6 3 4 2" xfId="47924"/>
    <cellStyle name="req 2 6 3 5" xfId="47925"/>
    <cellStyle name="req 2 6 3 5 2" xfId="47926"/>
    <cellStyle name="req 2 6 3 6" xfId="47927"/>
    <cellStyle name="req 2 6 3 7" xfId="47928"/>
    <cellStyle name="req 2 6 4" xfId="47929"/>
    <cellStyle name="req 2 6 4 2" xfId="47930"/>
    <cellStyle name="req 2 6 4 2 2" xfId="47931"/>
    <cellStyle name="req 2 6 4 2 2 2" xfId="47932"/>
    <cellStyle name="req 2 6 4 2 3" xfId="47933"/>
    <cellStyle name="req 2 6 4 2 3 2" xfId="47934"/>
    <cellStyle name="req 2 6 4 2 4" xfId="47935"/>
    <cellStyle name="req 2 6 4 2 5" xfId="47936"/>
    <cellStyle name="req 2 6 4 3" xfId="47937"/>
    <cellStyle name="req 2 6 4 3 2" xfId="47938"/>
    <cellStyle name="req 2 6 4 4" xfId="47939"/>
    <cellStyle name="req 2 6 4 4 2" xfId="47940"/>
    <cellStyle name="req 2 6 4 5" xfId="47941"/>
    <cellStyle name="req 2 6 4 6" xfId="47942"/>
    <cellStyle name="req 2 6 5" xfId="47943"/>
    <cellStyle name="req 2 6 5 2" xfId="47944"/>
    <cellStyle name="req 2 6 5 2 2" xfId="47945"/>
    <cellStyle name="req 2 6 5 3" xfId="47946"/>
    <cellStyle name="req 2 6 5 3 2" xfId="47947"/>
    <cellStyle name="req 2 6 5 4" xfId="47948"/>
    <cellStyle name="req 2 6 5 5" xfId="47949"/>
    <cellStyle name="req 2 6 6" xfId="47950"/>
    <cellStyle name="req 2 6 6 2" xfId="47951"/>
    <cellStyle name="req 2 6 7" xfId="47952"/>
    <cellStyle name="req 2 6 7 2" xfId="47953"/>
    <cellStyle name="req 2 6 8" xfId="47954"/>
    <cellStyle name="req 2 6 9" xfId="47955"/>
    <cellStyle name="req 2 7" xfId="47956"/>
    <cellStyle name="req 2 7 2" xfId="47957"/>
    <cellStyle name="req 2 7 2 2" xfId="47958"/>
    <cellStyle name="req 2 7 2 2 2" xfId="47959"/>
    <cellStyle name="req 2 7 2 2 2 2" xfId="47960"/>
    <cellStyle name="req 2 7 2 2 3" xfId="47961"/>
    <cellStyle name="req 2 7 2 2 3 2" xfId="47962"/>
    <cellStyle name="req 2 7 2 2 4" xfId="47963"/>
    <cellStyle name="req 2 7 2 2 5" xfId="47964"/>
    <cellStyle name="req 2 7 2 3" xfId="47965"/>
    <cellStyle name="req 2 7 2 3 2" xfId="47966"/>
    <cellStyle name="req 2 7 2 4" xfId="47967"/>
    <cellStyle name="req 2 7 2 4 2" xfId="47968"/>
    <cellStyle name="req 2 7 2 5" xfId="47969"/>
    <cellStyle name="req 2 7 2 6" xfId="47970"/>
    <cellStyle name="req 2 7 3" xfId="47971"/>
    <cellStyle name="req 2 7 3 2" xfId="47972"/>
    <cellStyle name="req 2 7 3 2 2" xfId="47973"/>
    <cellStyle name="req 2 7 3 3" xfId="47974"/>
    <cellStyle name="req 2 7 3 3 2" xfId="47975"/>
    <cellStyle name="req 2 7 3 4" xfId="47976"/>
    <cellStyle name="req 2 7 3 5" xfId="47977"/>
    <cellStyle name="req 2 7 4" xfId="47978"/>
    <cellStyle name="req 2 7 4 2" xfId="47979"/>
    <cellStyle name="req 2 7 5" xfId="47980"/>
    <cellStyle name="req 2 7 5 2" xfId="47981"/>
    <cellStyle name="req 2 7 6" xfId="47982"/>
    <cellStyle name="req 2 7 7" xfId="47983"/>
    <cellStyle name="req 2 8" xfId="47984"/>
    <cellStyle name="req 2 8 2" xfId="47985"/>
    <cellStyle name="req 2 8 2 2" xfId="47986"/>
    <cellStyle name="req 2 8 2 2 2" xfId="47987"/>
    <cellStyle name="req 2 8 2 3" xfId="47988"/>
    <cellStyle name="req 2 8 2 3 2" xfId="47989"/>
    <cellStyle name="req 2 8 2 4" xfId="47990"/>
    <cellStyle name="req 2 8 2 5" xfId="47991"/>
    <cellStyle name="req 2 8 3" xfId="47992"/>
    <cellStyle name="req 2 8 3 2" xfId="47993"/>
    <cellStyle name="req 2 8 4" xfId="47994"/>
    <cellStyle name="req 2 8 4 2" xfId="47995"/>
    <cellStyle name="req 2 8 5" xfId="47996"/>
    <cellStyle name="req 2 8 6" xfId="47997"/>
    <cellStyle name="req 2 9" xfId="47998"/>
    <cellStyle name="req 2 9 2" xfId="47999"/>
    <cellStyle name="req 2 9 2 2" xfId="48000"/>
    <cellStyle name="req 2 9 3" xfId="48001"/>
    <cellStyle name="req 2 9 3 2" xfId="48002"/>
    <cellStyle name="req 2 9 4" xfId="48003"/>
    <cellStyle name="req 2 9 5" xfId="48004"/>
    <cellStyle name="req 3" xfId="48005"/>
    <cellStyle name="req 3 10" xfId="48006"/>
    <cellStyle name="req 3 10 2" xfId="48007"/>
    <cellStyle name="req 3 11" xfId="48008"/>
    <cellStyle name="req 3 11 2" xfId="48009"/>
    <cellStyle name="req 3 12" xfId="48010"/>
    <cellStyle name="req 3 13" xfId="48011"/>
    <cellStyle name="req 3 2" xfId="48012"/>
    <cellStyle name="req 3 2 2" xfId="48013"/>
    <cellStyle name="req 3 2 2 2" xfId="48014"/>
    <cellStyle name="req 3 2 2 2 2" xfId="48015"/>
    <cellStyle name="req 3 2 2 2 2 2" xfId="48016"/>
    <cellStyle name="req 3 2 2 2 2 2 2" xfId="48017"/>
    <cellStyle name="req 3 2 2 2 2 2 2 2" xfId="48018"/>
    <cellStyle name="req 3 2 2 2 2 2 3" xfId="48019"/>
    <cellStyle name="req 3 2 2 2 2 2 3 2" xfId="48020"/>
    <cellStyle name="req 3 2 2 2 2 2 4" xfId="48021"/>
    <cellStyle name="req 3 2 2 2 2 2 5" xfId="48022"/>
    <cellStyle name="req 3 2 2 2 2 3" xfId="48023"/>
    <cellStyle name="req 3 2 2 2 2 3 2" xfId="48024"/>
    <cellStyle name="req 3 2 2 2 2 4" xfId="48025"/>
    <cellStyle name="req 3 2 2 2 2 4 2" xfId="48026"/>
    <cellStyle name="req 3 2 2 2 2 5" xfId="48027"/>
    <cellStyle name="req 3 2 2 2 2 6" xfId="48028"/>
    <cellStyle name="req 3 2 2 2 3" xfId="48029"/>
    <cellStyle name="req 3 2 2 2 3 2" xfId="48030"/>
    <cellStyle name="req 3 2 2 2 3 2 2" xfId="48031"/>
    <cellStyle name="req 3 2 2 2 3 3" xfId="48032"/>
    <cellStyle name="req 3 2 2 2 3 3 2" xfId="48033"/>
    <cellStyle name="req 3 2 2 2 3 4" xfId="48034"/>
    <cellStyle name="req 3 2 2 2 3 5" xfId="48035"/>
    <cellStyle name="req 3 2 2 2 4" xfId="48036"/>
    <cellStyle name="req 3 2 2 2 4 2" xfId="48037"/>
    <cellStyle name="req 3 2 2 2 5" xfId="48038"/>
    <cellStyle name="req 3 2 2 2 5 2" xfId="48039"/>
    <cellStyle name="req 3 2 2 2 6" xfId="48040"/>
    <cellStyle name="req 3 2 2 2 7" xfId="48041"/>
    <cellStyle name="req 3 2 2 3" xfId="48042"/>
    <cellStyle name="req 3 2 2 3 2" xfId="48043"/>
    <cellStyle name="req 3 2 2 3 2 2" xfId="48044"/>
    <cellStyle name="req 3 2 2 3 2 2 2" xfId="48045"/>
    <cellStyle name="req 3 2 2 3 2 3" xfId="48046"/>
    <cellStyle name="req 3 2 2 3 2 3 2" xfId="48047"/>
    <cellStyle name="req 3 2 2 3 2 4" xfId="48048"/>
    <cellStyle name="req 3 2 2 3 2 5" xfId="48049"/>
    <cellStyle name="req 3 2 2 3 3" xfId="48050"/>
    <cellStyle name="req 3 2 2 3 3 2" xfId="48051"/>
    <cellStyle name="req 3 2 2 3 4" xfId="48052"/>
    <cellStyle name="req 3 2 2 3 4 2" xfId="48053"/>
    <cellStyle name="req 3 2 2 3 5" xfId="48054"/>
    <cellStyle name="req 3 2 2 3 6" xfId="48055"/>
    <cellStyle name="req 3 2 2 4" xfId="48056"/>
    <cellStyle name="req 3 2 2 4 2" xfId="48057"/>
    <cellStyle name="req 3 2 2 4 2 2" xfId="48058"/>
    <cellStyle name="req 3 2 2 4 3" xfId="48059"/>
    <cellStyle name="req 3 2 2 4 3 2" xfId="48060"/>
    <cellStyle name="req 3 2 2 4 4" xfId="48061"/>
    <cellStyle name="req 3 2 2 4 5" xfId="48062"/>
    <cellStyle name="req 3 2 2 5" xfId="48063"/>
    <cellStyle name="req 3 2 2 5 2" xfId="48064"/>
    <cellStyle name="req 3 2 2 6" xfId="48065"/>
    <cellStyle name="req 3 2 2 6 2" xfId="48066"/>
    <cellStyle name="req 3 2 2 7" xfId="48067"/>
    <cellStyle name="req 3 2 2 8" xfId="48068"/>
    <cellStyle name="req 3 2 3" xfId="48069"/>
    <cellStyle name="req 3 2 3 2" xfId="48070"/>
    <cellStyle name="req 3 2 3 2 2" xfId="48071"/>
    <cellStyle name="req 3 2 3 2 2 2" xfId="48072"/>
    <cellStyle name="req 3 2 3 2 2 2 2" xfId="48073"/>
    <cellStyle name="req 3 2 3 2 2 3" xfId="48074"/>
    <cellStyle name="req 3 2 3 2 2 3 2" xfId="48075"/>
    <cellStyle name="req 3 2 3 2 2 4" xfId="48076"/>
    <cellStyle name="req 3 2 3 2 2 5" xfId="48077"/>
    <cellStyle name="req 3 2 3 2 3" xfId="48078"/>
    <cellStyle name="req 3 2 3 2 3 2" xfId="48079"/>
    <cellStyle name="req 3 2 3 2 4" xfId="48080"/>
    <cellStyle name="req 3 2 3 2 4 2" xfId="48081"/>
    <cellStyle name="req 3 2 3 2 5" xfId="48082"/>
    <cellStyle name="req 3 2 3 2 6" xfId="48083"/>
    <cellStyle name="req 3 2 3 3" xfId="48084"/>
    <cellStyle name="req 3 2 3 3 2" xfId="48085"/>
    <cellStyle name="req 3 2 3 3 2 2" xfId="48086"/>
    <cellStyle name="req 3 2 3 3 3" xfId="48087"/>
    <cellStyle name="req 3 2 3 3 3 2" xfId="48088"/>
    <cellStyle name="req 3 2 3 3 4" xfId="48089"/>
    <cellStyle name="req 3 2 3 3 5" xfId="48090"/>
    <cellStyle name="req 3 2 3 4" xfId="48091"/>
    <cellStyle name="req 3 2 3 4 2" xfId="48092"/>
    <cellStyle name="req 3 2 3 5" xfId="48093"/>
    <cellStyle name="req 3 2 3 5 2" xfId="48094"/>
    <cellStyle name="req 3 2 3 6" xfId="48095"/>
    <cellStyle name="req 3 2 3 7" xfId="48096"/>
    <cellStyle name="req 3 2 4" xfId="48097"/>
    <cellStyle name="req 3 2 4 2" xfId="48098"/>
    <cellStyle name="req 3 2 4 2 2" xfId="48099"/>
    <cellStyle name="req 3 2 4 2 2 2" xfId="48100"/>
    <cellStyle name="req 3 2 4 2 3" xfId="48101"/>
    <cellStyle name="req 3 2 4 2 3 2" xfId="48102"/>
    <cellStyle name="req 3 2 4 2 4" xfId="48103"/>
    <cellStyle name="req 3 2 4 2 5" xfId="48104"/>
    <cellStyle name="req 3 2 4 3" xfId="48105"/>
    <cellStyle name="req 3 2 4 3 2" xfId="48106"/>
    <cellStyle name="req 3 2 4 4" xfId="48107"/>
    <cellStyle name="req 3 2 4 4 2" xfId="48108"/>
    <cellStyle name="req 3 2 4 5" xfId="48109"/>
    <cellStyle name="req 3 2 4 6" xfId="48110"/>
    <cellStyle name="req 3 2 5" xfId="48111"/>
    <cellStyle name="req 3 2 5 2" xfId="48112"/>
    <cellStyle name="req 3 2 5 2 2" xfId="48113"/>
    <cellStyle name="req 3 2 5 3" xfId="48114"/>
    <cellStyle name="req 3 2 5 3 2" xfId="48115"/>
    <cellStyle name="req 3 2 5 4" xfId="48116"/>
    <cellStyle name="req 3 2 5 5" xfId="48117"/>
    <cellStyle name="req 3 2 6" xfId="48118"/>
    <cellStyle name="req 3 2 6 2" xfId="48119"/>
    <cellStyle name="req 3 2 7" xfId="48120"/>
    <cellStyle name="req 3 2 7 2" xfId="48121"/>
    <cellStyle name="req 3 2 8" xfId="48122"/>
    <cellStyle name="req 3 2 9" xfId="48123"/>
    <cellStyle name="req 3 3" xfId="48124"/>
    <cellStyle name="req 3 3 2" xfId="48125"/>
    <cellStyle name="req 3 3 2 2" xfId="48126"/>
    <cellStyle name="req 3 3 2 2 2" xfId="48127"/>
    <cellStyle name="req 3 3 2 2 2 2" xfId="48128"/>
    <cellStyle name="req 3 3 2 2 2 2 2" xfId="48129"/>
    <cellStyle name="req 3 3 2 2 2 2 2 2" xfId="48130"/>
    <cellStyle name="req 3 3 2 2 2 2 3" xfId="48131"/>
    <cellStyle name="req 3 3 2 2 2 2 3 2" xfId="48132"/>
    <cellStyle name="req 3 3 2 2 2 2 4" xfId="48133"/>
    <cellStyle name="req 3 3 2 2 2 2 5" xfId="48134"/>
    <cellStyle name="req 3 3 2 2 2 3" xfId="48135"/>
    <cellStyle name="req 3 3 2 2 2 3 2" xfId="48136"/>
    <cellStyle name="req 3 3 2 2 2 4" xfId="48137"/>
    <cellStyle name="req 3 3 2 2 2 4 2" xfId="48138"/>
    <cellStyle name="req 3 3 2 2 2 5" xfId="48139"/>
    <cellStyle name="req 3 3 2 2 2 6" xfId="48140"/>
    <cellStyle name="req 3 3 2 2 3" xfId="48141"/>
    <cellStyle name="req 3 3 2 2 3 2" xfId="48142"/>
    <cellStyle name="req 3 3 2 2 3 2 2" xfId="48143"/>
    <cellStyle name="req 3 3 2 2 3 3" xfId="48144"/>
    <cellStyle name="req 3 3 2 2 3 3 2" xfId="48145"/>
    <cellStyle name="req 3 3 2 2 3 4" xfId="48146"/>
    <cellStyle name="req 3 3 2 2 3 5" xfId="48147"/>
    <cellStyle name="req 3 3 2 2 4" xfId="48148"/>
    <cellStyle name="req 3 3 2 2 4 2" xfId="48149"/>
    <cellStyle name="req 3 3 2 2 5" xfId="48150"/>
    <cellStyle name="req 3 3 2 2 5 2" xfId="48151"/>
    <cellStyle name="req 3 3 2 2 6" xfId="48152"/>
    <cellStyle name="req 3 3 2 2 7" xfId="48153"/>
    <cellStyle name="req 3 3 2 3" xfId="48154"/>
    <cellStyle name="req 3 3 2 3 2" xfId="48155"/>
    <cellStyle name="req 3 3 2 3 2 2" xfId="48156"/>
    <cellStyle name="req 3 3 2 3 2 2 2" xfId="48157"/>
    <cellStyle name="req 3 3 2 3 2 3" xfId="48158"/>
    <cellStyle name="req 3 3 2 3 2 3 2" xfId="48159"/>
    <cellStyle name="req 3 3 2 3 2 4" xfId="48160"/>
    <cellStyle name="req 3 3 2 3 2 5" xfId="48161"/>
    <cellStyle name="req 3 3 2 3 3" xfId="48162"/>
    <cellStyle name="req 3 3 2 3 3 2" xfId="48163"/>
    <cellStyle name="req 3 3 2 3 4" xfId="48164"/>
    <cellStyle name="req 3 3 2 3 4 2" xfId="48165"/>
    <cellStyle name="req 3 3 2 3 5" xfId="48166"/>
    <cellStyle name="req 3 3 2 3 6" xfId="48167"/>
    <cellStyle name="req 3 3 2 4" xfId="48168"/>
    <cellStyle name="req 3 3 2 4 2" xfId="48169"/>
    <cellStyle name="req 3 3 2 4 2 2" xfId="48170"/>
    <cellStyle name="req 3 3 2 4 3" xfId="48171"/>
    <cellStyle name="req 3 3 2 4 3 2" xfId="48172"/>
    <cellStyle name="req 3 3 2 4 4" xfId="48173"/>
    <cellStyle name="req 3 3 2 4 5" xfId="48174"/>
    <cellStyle name="req 3 3 2 5" xfId="48175"/>
    <cellStyle name="req 3 3 2 5 2" xfId="48176"/>
    <cellStyle name="req 3 3 2 6" xfId="48177"/>
    <cellStyle name="req 3 3 2 6 2" xfId="48178"/>
    <cellStyle name="req 3 3 2 7" xfId="48179"/>
    <cellStyle name="req 3 3 2 8" xfId="48180"/>
    <cellStyle name="req 3 3 3" xfId="48181"/>
    <cellStyle name="req 3 3 3 2" xfId="48182"/>
    <cellStyle name="req 3 3 3 2 2" xfId="48183"/>
    <cellStyle name="req 3 3 3 2 2 2" xfId="48184"/>
    <cellStyle name="req 3 3 3 2 2 2 2" xfId="48185"/>
    <cellStyle name="req 3 3 3 2 2 3" xfId="48186"/>
    <cellStyle name="req 3 3 3 2 2 3 2" xfId="48187"/>
    <cellStyle name="req 3 3 3 2 2 4" xfId="48188"/>
    <cellStyle name="req 3 3 3 2 2 5" xfId="48189"/>
    <cellStyle name="req 3 3 3 2 3" xfId="48190"/>
    <cellStyle name="req 3 3 3 2 3 2" xfId="48191"/>
    <cellStyle name="req 3 3 3 2 4" xfId="48192"/>
    <cellStyle name="req 3 3 3 2 4 2" xfId="48193"/>
    <cellStyle name="req 3 3 3 2 5" xfId="48194"/>
    <cellStyle name="req 3 3 3 2 6" xfId="48195"/>
    <cellStyle name="req 3 3 3 3" xfId="48196"/>
    <cellStyle name="req 3 3 3 3 2" xfId="48197"/>
    <cellStyle name="req 3 3 3 3 2 2" xfId="48198"/>
    <cellStyle name="req 3 3 3 3 3" xfId="48199"/>
    <cellStyle name="req 3 3 3 3 3 2" xfId="48200"/>
    <cellStyle name="req 3 3 3 3 4" xfId="48201"/>
    <cellStyle name="req 3 3 3 3 5" xfId="48202"/>
    <cellStyle name="req 3 3 3 4" xfId="48203"/>
    <cellStyle name="req 3 3 3 4 2" xfId="48204"/>
    <cellStyle name="req 3 3 3 5" xfId="48205"/>
    <cellStyle name="req 3 3 3 5 2" xfId="48206"/>
    <cellStyle name="req 3 3 3 6" xfId="48207"/>
    <cellStyle name="req 3 3 3 7" xfId="48208"/>
    <cellStyle name="req 3 3 4" xfId="48209"/>
    <cellStyle name="req 3 3 4 2" xfId="48210"/>
    <cellStyle name="req 3 3 4 2 2" xfId="48211"/>
    <cellStyle name="req 3 3 4 2 2 2" xfId="48212"/>
    <cellStyle name="req 3 3 4 2 3" xfId="48213"/>
    <cellStyle name="req 3 3 4 2 3 2" xfId="48214"/>
    <cellStyle name="req 3 3 4 2 4" xfId="48215"/>
    <cellStyle name="req 3 3 4 2 5" xfId="48216"/>
    <cellStyle name="req 3 3 4 3" xfId="48217"/>
    <cellStyle name="req 3 3 4 3 2" xfId="48218"/>
    <cellStyle name="req 3 3 4 4" xfId="48219"/>
    <cellStyle name="req 3 3 4 4 2" xfId="48220"/>
    <cellStyle name="req 3 3 4 5" xfId="48221"/>
    <cellStyle name="req 3 3 4 6" xfId="48222"/>
    <cellStyle name="req 3 3 5" xfId="48223"/>
    <cellStyle name="req 3 3 5 2" xfId="48224"/>
    <cellStyle name="req 3 3 5 2 2" xfId="48225"/>
    <cellStyle name="req 3 3 5 3" xfId="48226"/>
    <cellStyle name="req 3 3 5 3 2" xfId="48227"/>
    <cellStyle name="req 3 3 5 4" xfId="48228"/>
    <cellStyle name="req 3 3 5 5" xfId="48229"/>
    <cellStyle name="req 3 3 6" xfId="48230"/>
    <cellStyle name="req 3 3 6 2" xfId="48231"/>
    <cellStyle name="req 3 3 7" xfId="48232"/>
    <cellStyle name="req 3 3 7 2" xfId="48233"/>
    <cellStyle name="req 3 3 8" xfId="48234"/>
    <cellStyle name="req 3 3 9" xfId="48235"/>
    <cellStyle name="req 3 4" xfId="48236"/>
    <cellStyle name="req 3 4 2" xfId="48237"/>
    <cellStyle name="req 3 4 2 2" xfId="48238"/>
    <cellStyle name="req 3 4 2 2 2" xfId="48239"/>
    <cellStyle name="req 3 4 2 2 2 2" xfId="48240"/>
    <cellStyle name="req 3 4 2 2 2 2 2" xfId="48241"/>
    <cellStyle name="req 3 4 2 2 2 2 2 2" xfId="48242"/>
    <cellStyle name="req 3 4 2 2 2 2 3" xfId="48243"/>
    <cellStyle name="req 3 4 2 2 2 2 3 2" xfId="48244"/>
    <cellStyle name="req 3 4 2 2 2 2 4" xfId="48245"/>
    <cellStyle name="req 3 4 2 2 2 2 5" xfId="48246"/>
    <cellStyle name="req 3 4 2 2 2 3" xfId="48247"/>
    <cellStyle name="req 3 4 2 2 2 3 2" xfId="48248"/>
    <cellStyle name="req 3 4 2 2 2 4" xfId="48249"/>
    <cellStyle name="req 3 4 2 2 2 4 2" xfId="48250"/>
    <cellStyle name="req 3 4 2 2 2 5" xfId="48251"/>
    <cellStyle name="req 3 4 2 2 2 6" xfId="48252"/>
    <cellStyle name="req 3 4 2 2 3" xfId="48253"/>
    <cellStyle name="req 3 4 2 2 3 2" xfId="48254"/>
    <cellStyle name="req 3 4 2 2 3 2 2" xfId="48255"/>
    <cellStyle name="req 3 4 2 2 3 3" xfId="48256"/>
    <cellStyle name="req 3 4 2 2 3 3 2" xfId="48257"/>
    <cellStyle name="req 3 4 2 2 3 4" xfId="48258"/>
    <cellStyle name="req 3 4 2 2 3 5" xfId="48259"/>
    <cellStyle name="req 3 4 2 2 4" xfId="48260"/>
    <cellStyle name="req 3 4 2 2 4 2" xfId="48261"/>
    <cellStyle name="req 3 4 2 2 5" xfId="48262"/>
    <cellStyle name="req 3 4 2 2 5 2" xfId="48263"/>
    <cellStyle name="req 3 4 2 2 6" xfId="48264"/>
    <cellStyle name="req 3 4 2 2 7" xfId="48265"/>
    <cellStyle name="req 3 4 2 3" xfId="48266"/>
    <cellStyle name="req 3 4 2 3 2" xfId="48267"/>
    <cellStyle name="req 3 4 2 3 2 2" xfId="48268"/>
    <cellStyle name="req 3 4 2 3 2 2 2" xfId="48269"/>
    <cellStyle name="req 3 4 2 3 2 3" xfId="48270"/>
    <cellStyle name="req 3 4 2 3 2 3 2" xfId="48271"/>
    <cellStyle name="req 3 4 2 3 2 4" xfId="48272"/>
    <cellStyle name="req 3 4 2 3 2 5" xfId="48273"/>
    <cellStyle name="req 3 4 2 3 3" xfId="48274"/>
    <cellStyle name="req 3 4 2 3 3 2" xfId="48275"/>
    <cellStyle name="req 3 4 2 3 4" xfId="48276"/>
    <cellStyle name="req 3 4 2 3 4 2" xfId="48277"/>
    <cellStyle name="req 3 4 2 3 5" xfId="48278"/>
    <cellStyle name="req 3 4 2 3 6" xfId="48279"/>
    <cellStyle name="req 3 4 2 4" xfId="48280"/>
    <cellStyle name="req 3 4 2 4 2" xfId="48281"/>
    <cellStyle name="req 3 4 2 4 2 2" xfId="48282"/>
    <cellStyle name="req 3 4 2 4 3" xfId="48283"/>
    <cellStyle name="req 3 4 2 4 3 2" xfId="48284"/>
    <cellStyle name="req 3 4 2 4 4" xfId="48285"/>
    <cellStyle name="req 3 4 2 4 5" xfId="48286"/>
    <cellStyle name="req 3 4 2 5" xfId="48287"/>
    <cellStyle name="req 3 4 2 5 2" xfId="48288"/>
    <cellStyle name="req 3 4 2 6" xfId="48289"/>
    <cellStyle name="req 3 4 2 6 2" xfId="48290"/>
    <cellStyle name="req 3 4 2 7" xfId="48291"/>
    <cellStyle name="req 3 4 2 8" xfId="48292"/>
    <cellStyle name="req 3 4 3" xfId="48293"/>
    <cellStyle name="req 3 4 3 2" xfId="48294"/>
    <cellStyle name="req 3 4 3 2 2" xfId="48295"/>
    <cellStyle name="req 3 4 3 2 2 2" xfId="48296"/>
    <cellStyle name="req 3 4 3 2 2 2 2" xfId="48297"/>
    <cellStyle name="req 3 4 3 2 2 3" xfId="48298"/>
    <cellStyle name="req 3 4 3 2 2 3 2" xfId="48299"/>
    <cellStyle name="req 3 4 3 2 2 4" xfId="48300"/>
    <cellStyle name="req 3 4 3 2 2 5" xfId="48301"/>
    <cellStyle name="req 3 4 3 2 3" xfId="48302"/>
    <cellStyle name="req 3 4 3 2 3 2" xfId="48303"/>
    <cellStyle name="req 3 4 3 2 4" xfId="48304"/>
    <cellStyle name="req 3 4 3 2 4 2" xfId="48305"/>
    <cellStyle name="req 3 4 3 2 5" xfId="48306"/>
    <cellStyle name="req 3 4 3 2 6" xfId="48307"/>
    <cellStyle name="req 3 4 3 3" xfId="48308"/>
    <cellStyle name="req 3 4 3 3 2" xfId="48309"/>
    <cellStyle name="req 3 4 3 3 2 2" xfId="48310"/>
    <cellStyle name="req 3 4 3 3 3" xfId="48311"/>
    <cellStyle name="req 3 4 3 3 3 2" xfId="48312"/>
    <cellStyle name="req 3 4 3 3 4" xfId="48313"/>
    <cellStyle name="req 3 4 3 3 5" xfId="48314"/>
    <cellStyle name="req 3 4 3 4" xfId="48315"/>
    <cellStyle name="req 3 4 3 4 2" xfId="48316"/>
    <cellStyle name="req 3 4 3 5" xfId="48317"/>
    <cellStyle name="req 3 4 3 5 2" xfId="48318"/>
    <cellStyle name="req 3 4 3 6" xfId="48319"/>
    <cellStyle name="req 3 4 3 7" xfId="48320"/>
    <cellStyle name="req 3 4 4" xfId="48321"/>
    <cellStyle name="req 3 4 4 2" xfId="48322"/>
    <cellStyle name="req 3 4 4 2 2" xfId="48323"/>
    <cellStyle name="req 3 4 4 2 2 2" xfId="48324"/>
    <cellStyle name="req 3 4 4 2 3" xfId="48325"/>
    <cellStyle name="req 3 4 4 2 3 2" xfId="48326"/>
    <cellStyle name="req 3 4 4 2 4" xfId="48327"/>
    <cellStyle name="req 3 4 4 2 5" xfId="48328"/>
    <cellStyle name="req 3 4 4 3" xfId="48329"/>
    <cellStyle name="req 3 4 4 3 2" xfId="48330"/>
    <cellStyle name="req 3 4 4 4" xfId="48331"/>
    <cellStyle name="req 3 4 4 4 2" xfId="48332"/>
    <cellStyle name="req 3 4 4 5" xfId="48333"/>
    <cellStyle name="req 3 4 4 6" xfId="48334"/>
    <cellStyle name="req 3 4 5" xfId="48335"/>
    <cellStyle name="req 3 4 5 2" xfId="48336"/>
    <cellStyle name="req 3 4 5 2 2" xfId="48337"/>
    <cellStyle name="req 3 4 5 3" xfId="48338"/>
    <cellStyle name="req 3 4 5 3 2" xfId="48339"/>
    <cellStyle name="req 3 4 5 4" xfId="48340"/>
    <cellStyle name="req 3 4 5 5" xfId="48341"/>
    <cellStyle name="req 3 4 6" xfId="48342"/>
    <cellStyle name="req 3 4 6 2" xfId="48343"/>
    <cellStyle name="req 3 4 7" xfId="48344"/>
    <cellStyle name="req 3 4 7 2" xfId="48345"/>
    <cellStyle name="req 3 4 8" xfId="48346"/>
    <cellStyle name="req 3 4 9" xfId="48347"/>
    <cellStyle name="req 3 5" xfId="48348"/>
    <cellStyle name="req 3 5 2" xfId="48349"/>
    <cellStyle name="req 3 5 2 2" xfId="48350"/>
    <cellStyle name="req 3 5 2 2 2" xfId="48351"/>
    <cellStyle name="req 3 5 2 2 2 2" xfId="48352"/>
    <cellStyle name="req 3 5 2 2 2 2 2" xfId="48353"/>
    <cellStyle name="req 3 5 2 2 2 2 2 2" xfId="48354"/>
    <cellStyle name="req 3 5 2 2 2 2 3" xfId="48355"/>
    <cellStyle name="req 3 5 2 2 2 2 3 2" xfId="48356"/>
    <cellStyle name="req 3 5 2 2 2 2 4" xfId="48357"/>
    <cellStyle name="req 3 5 2 2 2 2 5" xfId="48358"/>
    <cellStyle name="req 3 5 2 2 2 3" xfId="48359"/>
    <cellStyle name="req 3 5 2 2 2 3 2" xfId="48360"/>
    <cellStyle name="req 3 5 2 2 2 4" xfId="48361"/>
    <cellStyle name="req 3 5 2 2 2 4 2" xfId="48362"/>
    <cellStyle name="req 3 5 2 2 2 5" xfId="48363"/>
    <cellStyle name="req 3 5 2 2 2 6" xfId="48364"/>
    <cellStyle name="req 3 5 2 2 3" xfId="48365"/>
    <cellStyle name="req 3 5 2 2 3 2" xfId="48366"/>
    <cellStyle name="req 3 5 2 2 3 2 2" xfId="48367"/>
    <cellStyle name="req 3 5 2 2 3 3" xfId="48368"/>
    <cellStyle name="req 3 5 2 2 3 3 2" xfId="48369"/>
    <cellStyle name="req 3 5 2 2 3 4" xfId="48370"/>
    <cellStyle name="req 3 5 2 2 3 5" xfId="48371"/>
    <cellStyle name="req 3 5 2 2 4" xfId="48372"/>
    <cellStyle name="req 3 5 2 2 4 2" xfId="48373"/>
    <cellStyle name="req 3 5 2 2 5" xfId="48374"/>
    <cellStyle name="req 3 5 2 2 5 2" xfId="48375"/>
    <cellStyle name="req 3 5 2 2 6" xfId="48376"/>
    <cellStyle name="req 3 5 2 2 7" xfId="48377"/>
    <cellStyle name="req 3 5 2 3" xfId="48378"/>
    <cellStyle name="req 3 5 2 3 2" xfId="48379"/>
    <cellStyle name="req 3 5 2 3 2 2" xfId="48380"/>
    <cellStyle name="req 3 5 2 3 2 2 2" xfId="48381"/>
    <cellStyle name="req 3 5 2 3 2 3" xfId="48382"/>
    <cellStyle name="req 3 5 2 3 2 3 2" xfId="48383"/>
    <cellStyle name="req 3 5 2 3 2 4" xfId="48384"/>
    <cellStyle name="req 3 5 2 3 2 5" xfId="48385"/>
    <cellStyle name="req 3 5 2 3 3" xfId="48386"/>
    <cellStyle name="req 3 5 2 3 3 2" xfId="48387"/>
    <cellStyle name="req 3 5 2 3 4" xfId="48388"/>
    <cellStyle name="req 3 5 2 3 4 2" xfId="48389"/>
    <cellStyle name="req 3 5 2 3 5" xfId="48390"/>
    <cellStyle name="req 3 5 2 3 6" xfId="48391"/>
    <cellStyle name="req 3 5 2 4" xfId="48392"/>
    <cellStyle name="req 3 5 2 4 2" xfId="48393"/>
    <cellStyle name="req 3 5 2 4 2 2" xfId="48394"/>
    <cellStyle name="req 3 5 2 4 3" xfId="48395"/>
    <cellStyle name="req 3 5 2 4 3 2" xfId="48396"/>
    <cellStyle name="req 3 5 2 4 4" xfId="48397"/>
    <cellStyle name="req 3 5 2 4 5" xfId="48398"/>
    <cellStyle name="req 3 5 2 5" xfId="48399"/>
    <cellStyle name="req 3 5 2 5 2" xfId="48400"/>
    <cellStyle name="req 3 5 2 6" xfId="48401"/>
    <cellStyle name="req 3 5 2 6 2" xfId="48402"/>
    <cellStyle name="req 3 5 2 7" xfId="48403"/>
    <cellStyle name="req 3 5 2 8" xfId="48404"/>
    <cellStyle name="req 3 5 3" xfId="48405"/>
    <cellStyle name="req 3 5 3 2" xfId="48406"/>
    <cellStyle name="req 3 5 3 2 2" xfId="48407"/>
    <cellStyle name="req 3 5 3 2 2 2" xfId="48408"/>
    <cellStyle name="req 3 5 3 2 2 2 2" xfId="48409"/>
    <cellStyle name="req 3 5 3 2 2 3" xfId="48410"/>
    <cellStyle name="req 3 5 3 2 2 3 2" xfId="48411"/>
    <cellStyle name="req 3 5 3 2 2 4" xfId="48412"/>
    <cellStyle name="req 3 5 3 2 2 5" xfId="48413"/>
    <cellStyle name="req 3 5 3 2 3" xfId="48414"/>
    <cellStyle name="req 3 5 3 2 3 2" xfId="48415"/>
    <cellStyle name="req 3 5 3 2 4" xfId="48416"/>
    <cellStyle name="req 3 5 3 2 4 2" xfId="48417"/>
    <cellStyle name="req 3 5 3 2 5" xfId="48418"/>
    <cellStyle name="req 3 5 3 2 6" xfId="48419"/>
    <cellStyle name="req 3 5 3 3" xfId="48420"/>
    <cellStyle name="req 3 5 3 3 2" xfId="48421"/>
    <cellStyle name="req 3 5 3 3 2 2" xfId="48422"/>
    <cellStyle name="req 3 5 3 3 3" xfId="48423"/>
    <cellStyle name="req 3 5 3 3 3 2" xfId="48424"/>
    <cellStyle name="req 3 5 3 3 4" xfId="48425"/>
    <cellStyle name="req 3 5 3 3 5" xfId="48426"/>
    <cellStyle name="req 3 5 3 4" xfId="48427"/>
    <cellStyle name="req 3 5 3 4 2" xfId="48428"/>
    <cellStyle name="req 3 5 3 5" xfId="48429"/>
    <cellStyle name="req 3 5 3 5 2" xfId="48430"/>
    <cellStyle name="req 3 5 3 6" xfId="48431"/>
    <cellStyle name="req 3 5 3 7" xfId="48432"/>
    <cellStyle name="req 3 5 4" xfId="48433"/>
    <cellStyle name="req 3 5 4 2" xfId="48434"/>
    <cellStyle name="req 3 5 4 2 2" xfId="48435"/>
    <cellStyle name="req 3 5 4 2 2 2" xfId="48436"/>
    <cellStyle name="req 3 5 4 2 3" xfId="48437"/>
    <cellStyle name="req 3 5 4 2 3 2" xfId="48438"/>
    <cellStyle name="req 3 5 4 2 4" xfId="48439"/>
    <cellStyle name="req 3 5 4 2 5" xfId="48440"/>
    <cellStyle name="req 3 5 4 3" xfId="48441"/>
    <cellStyle name="req 3 5 4 3 2" xfId="48442"/>
    <cellStyle name="req 3 5 4 4" xfId="48443"/>
    <cellStyle name="req 3 5 4 4 2" xfId="48444"/>
    <cellStyle name="req 3 5 4 5" xfId="48445"/>
    <cellStyle name="req 3 5 4 6" xfId="48446"/>
    <cellStyle name="req 3 5 5" xfId="48447"/>
    <cellStyle name="req 3 5 5 2" xfId="48448"/>
    <cellStyle name="req 3 5 5 2 2" xfId="48449"/>
    <cellStyle name="req 3 5 5 3" xfId="48450"/>
    <cellStyle name="req 3 5 5 3 2" xfId="48451"/>
    <cellStyle name="req 3 5 5 4" xfId="48452"/>
    <cellStyle name="req 3 5 5 5" xfId="48453"/>
    <cellStyle name="req 3 5 6" xfId="48454"/>
    <cellStyle name="req 3 5 6 2" xfId="48455"/>
    <cellStyle name="req 3 5 7" xfId="48456"/>
    <cellStyle name="req 3 5 7 2" xfId="48457"/>
    <cellStyle name="req 3 5 8" xfId="48458"/>
    <cellStyle name="req 3 5 9" xfId="48459"/>
    <cellStyle name="req 3 6" xfId="48460"/>
    <cellStyle name="req 3 6 2" xfId="48461"/>
    <cellStyle name="req 3 6 2 2" xfId="48462"/>
    <cellStyle name="req 3 6 2 2 2" xfId="48463"/>
    <cellStyle name="req 3 6 2 2 2 2" xfId="48464"/>
    <cellStyle name="req 3 6 2 2 2 2 2" xfId="48465"/>
    <cellStyle name="req 3 6 2 2 2 3" xfId="48466"/>
    <cellStyle name="req 3 6 2 2 2 3 2" xfId="48467"/>
    <cellStyle name="req 3 6 2 2 2 4" xfId="48468"/>
    <cellStyle name="req 3 6 2 2 2 5" xfId="48469"/>
    <cellStyle name="req 3 6 2 2 3" xfId="48470"/>
    <cellStyle name="req 3 6 2 2 3 2" xfId="48471"/>
    <cellStyle name="req 3 6 2 2 4" xfId="48472"/>
    <cellStyle name="req 3 6 2 2 4 2" xfId="48473"/>
    <cellStyle name="req 3 6 2 2 5" xfId="48474"/>
    <cellStyle name="req 3 6 2 2 6" xfId="48475"/>
    <cellStyle name="req 3 6 2 3" xfId="48476"/>
    <cellStyle name="req 3 6 2 3 2" xfId="48477"/>
    <cellStyle name="req 3 6 2 3 2 2" xfId="48478"/>
    <cellStyle name="req 3 6 2 3 3" xfId="48479"/>
    <cellStyle name="req 3 6 2 3 3 2" xfId="48480"/>
    <cellStyle name="req 3 6 2 3 4" xfId="48481"/>
    <cellStyle name="req 3 6 2 3 5" xfId="48482"/>
    <cellStyle name="req 3 6 2 4" xfId="48483"/>
    <cellStyle name="req 3 6 2 4 2" xfId="48484"/>
    <cellStyle name="req 3 6 2 5" xfId="48485"/>
    <cellStyle name="req 3 6 2 5 2" xfId="48486"/>
    <cellStyle name="req 3 6 2 6" xfId="48487"/>
    <cellStyle name="req 3 6 2 7" xfId="48488"/>
    <cellStyle name="req 3 6 3" xfId="48489"/>
    <cellStyle name="req 3 6 3 2" xfId="48490"/>
    <cellStyle name="req 3 6 3 2 2" xfId="48491"/>
    <cellStyle name="req 3 6 3 2 2 2" xfId="48492"/>
    <cellStyle name="req 3 6 3 2 3" xfId="48493"/>
    <cellStyle name="req 3 6 3 2 3 2" xfId="48494"/>
    <cellStyle name="req 3 6 3 2 4" xfId="48495"/>
    <cellStyle name="req 3 6 3 2 5" xfId="48496"/>
    <cellStyle name="req 3 6 3 3" xfId="48497"/>
    <cellStyle name="req 3 6 3 3 2" xfId="48498"/>
    <cellStyle name="req 3 6 3 4" xfId="48499"/>
    <cellStyle name="req 3 6 3 4 2" xfId="48500"/>
    <cellStyle name="req 3 6 3 5" xfId="48501"/>
    <cellStyle name="req 3 6 3 6" xfId="48502"/>
    <cellStyle name="req 3 6 4" xfId="48503"/>
    <cellStyle name="req 3 6 4 2" xfId="48504"/>
    <cellStyle name="req 3 6 4 2 2" xfId="48505"/>
    <cellStyle name="req 3 6 4 3" xfId="48506"/>
    <cellStyle name="req 3 6 4 3 2" xfId="48507"/>
    <cellStyle name="req 3 6 4 4" xfId="48508"/>
    <cellStyle name="req 3 6 4 5" xfId="48509"/>
    <cellStyle name="req 3 6 5" xfId="48510"/>
    <cellStyle name="req 3 6 5 2" xfId="48511"/>
    <cellStyle name="req 3 6 6" xfId="48512"/>
    <cellStyle name="req 3 6 6 2" xfId="48513"/>
    <cellStyle name="req 3 6 7" xfId="48514"/>
    <cellStyle name="req 3 6 8" xfId="48515"/>
    <cellStyle name="req 3 7" xfId="48516"/>
    <cellStyle name="req 3 7 2" xfId="48517"/>
    <cellStyle name="req 3 7 2 2" xfId="48518"/>
    <cellStyle name="req 3 7 2 2 2" xfId="48519"/>
    <cellStyle name="req 3 7 2 2 2 2" xfId="48520"/>
    <cellStyle name="req 3 7 2 2 3" xfId="48521"/>
    <cellStyle name="req 3 7 2 2 3 2" xfId="48522"/>
    <cellStyle name="req 3 7 2 2 4" xfId="48523"/>
    <cellStyle name="req 3 7 2 2 5" xfId="48524"/>
    <cellStyle name="req 3 7 2 3" xfId="48525"/>
    <cellStyle name="req 3 7 2 3 2" xfId="48526"/>
    <cellStyle name="req 3 7 2 4" xfId="48527"/>
    <cellStyle name="req 3 7 2 4 2" xfId="48528"/>
    <cellStyle name="req 3 7 2 5" xfId="48529"/>
    <cellStyle name="req 3 7 2 6" xfId="48530"/>
    <cellStyle name="req 3 7 3" xfId="48531"/>
    <cellStyle name="req 3 7 3 2" xfId="48532"/>
    <cellStyle name="req 3 7 3 2 2" xfId="48533"/>
    <cellStyle name="req 3 7 3 3" xfId="48534"/>
    <cellStyle name="req 3 7 3 3 2" xfId="48535"/>
    <cellStyle name="req 3 7 3 4" xfId="48536"/>
    <cellStyle name="req 3 7 3 5" xfId="48537"/>
    <cellStyle name="req 3 7 4" xfId="48538"/>
    <cellStyle name="req 3 7 4 2" xfId="48539"/>
    <cellStyle name="req 3 7 5" xfId="48540"/>
    <cellStyle name="req 3 7 5 2" xfId="48541"/>
    <cellStyle name="req 3 7 6" xfId="48542"/>
    <cellStyle name="req 3 7 7" xfId="48543"/>
    <cellStyle name="req 3 8" xfId="48544"/>
    <cellStyle name="req 3 8 2" xfId="48545"/>
    <cellStyle name="req 3 8 2 2" xfId="48546"/>
    <cellStyle name="req 3 8 2 2 2" xfId="48547"/>
    <cellStyle name="req 3 8 2 3" xfId="48548"/>
    <cellStyle name="req 3 8 2 3 2" xfId="48549"/>
    <cellStyle name="req 3 8 2 4" xfId="48550"/>
    <cellStyle name="req 3 8 2 5" xfId="48551"/>
    <cellStyle name="req 3 8 3" xfId="48552"/>
    <cellStyle name="req 3 8 3 2" xfId="48553"/>
    <cellStyle name="req 3 8 4" xfId="48554"/>
    <cellStyle name="req 3 8 4 2" xfId="48555"/>
    <cellStyle name="req 3 8 5" xfId="48556"/>
    <cellStyle name="req 3 8 6" xfId="48557"/>
    <cellStyle name="req 3 9" xfId="48558"/>
    <cellStyle name="req 3 9 2" xfId="48559"/>
    <cellStyle name="req 3 9 2 2" xfId="48560"/>
    <cellStyle name="req 3 9 3" xfId="48561"/>
    <cellStyle name="req 3 9 3 2" xfId="48562"/>
    <cellStyle name="req 3 9 4" xfId="48563"/>
    <cellStyle name="req 3 9 5" xfId="48564"/>
    <cellStyle name="req 4" xfId="48565"/>
    <cellStyle name="req 4 10" xfId="48566"/>
    <cellStyle name="req 4 10 2" xfId="48567"/>
    <cellStyle name="req 4 11" xfId="48568"/>
    <cellStyle name="req 4 12" xfId="48569"/>
    <cellStyle name="req 4 2" xfId="48570"/>
    <cellStyle name="req 4 2 2" xfId="48571"/>
    <cellStyle name="req 4 2 2 2" xfId="48572"/>
    <cellStyle name="req 4 2 2 2 2" xfId="48573"/>
    <cellStyle name="req 4 2 2 2 2 2" xfId="48574"/>
    <cellStyle name="req 4 2 2 2 2 2 2" xfId="48575"/>
    <cellStyle name="req 4 2 2 2 2 2 2 2" xfId="48576"/>
    <cellStyle name="req 4 2 2 2 2 2 3" xfId="48577"/>
    <cellStyle name="req 4 2 2 2 2 2 3 2" xfId="48578"/>
    <cellStyle name="req 4 2 2 2 2 2 4" xfId="48579"/>
    <cellStyle name="req 4 2 2 2 2 2 5" xfId="48580"/>
    <cellStyle name="req 4 2 2 2 2 3" xfId="48581"/>
    <cellStyle name="req 4 2 2 2 2 3 2" xfId="48582"/>
    <cellStyle name="req 4 2 2 2 2 4" xfId="48583"/>
    <cellStyle name="req 4 2 2 2 2 4 2" xfId="48584"/>
    <cellStyle name="req 4 2 2 2 2 5" xfId="48585"/>
    <cellStyle name="req 4 2 2 2 2 6" xfId="48586"/>
    <cellStyle name="req 4 2 2 2 3" xfId="48587"/>
    <cellStyle name="req 4 2 2 2 3 2" xfId="48588"/>
    <cellStyle name="req 4 2 2 2 3 2 2" xfId="48589"/>
    <cellStyle name="req 4 2 2 2 3 3" xfId="48590"/>
    <cellStyle name="req 4 2 2 2 3 3 2" xfId="48591"/>
    <cellStyle name="req 4 2 2 2 3 4" xfId="48592"/>
    <cellStyle name="req 4 2 2 2 3 5" xfId="48593"/>
    <cellStyle name="req 4 2 2 2 4" xfId="48594"/>
    <cellStyle name="req 4 2 2 2 4 2" xfId="48595"/>
    <cellStyle name="req 4 2 2 2 5" xfId="48596"/>
    <cellStyle name="req 4 2 2 2 5 2" xfId="48597"/>
    <cellStyle name="req 4 2 2 2 6" xfId="48598"/>
    <cellStyle name="req 4 2 2 2 7" xfId="48599"/>
    <cellStyle name="req 4 2 2 3" xfId="48600"/>
    <cellStyle name="req 4 2 2 3 2" xfId="48601"/>
    <cellStyle name="req 4 2 2 3 2 2" xfId="48602"/>
    <cellStyle name="req 4 2 2 3 2 2 2" xfId="48603"/>
    <cellStyle name="req 4 2 2 3 2 3" xfId="48604"/>
    <cellStyle name="req 4 2 2 3 2 3 2" xfId="48605"/>
    <cellStyle name="req 4 2 2 3 2 4" xfId="48606"/>
    <cellStyle name="req 4 2 2 3 2 5" xfId="48607"/>
    <cellStyle name="req 4 2 2 3 3" xfId="48608"/>
    <cellStyle name="req 4 2 2 3 3 2" xfId="48609"/>
    <cellStyle name="req 4 2 2 3 4" xfId="48610"/>
    <cellStyle name="req 4 2 2 3 4 2" xfId="48611"/>
    <cellStyle name="req 4 2 2 3 5" xfId="48612"/>
    <cellStyle name="req 4 2 2 3 6" xfId="48613"/>
    <cellStyle name="req 4 2 2 4" xfId="48614"/>
    <cellStyle name="req 4 2 2 4 2" xfId="48615"/>
    <cellStyle name="req 4 2 2 4 2 2" xfId="48616"/>
    <cellStyle name="req 4 2 2 4 3" xfId="48617"/>
    <cellStyle name="req 4 2 2 4 3 2" xfId="48618"/>
    <cellStyle name="req 4 2 2 4 4" xfId="48619"/>
    <cellStyle name="req 4 2 2 4 5" xfId="48620"/>
    <cellStyle name="req 4 2 2 5" xfId="48621"/>
    <cellStyle name="req 4 2 2 5 2" xfId="48622"/>
    <cellStyle name="req 4 2 2 6" xfId="48623"/>
    <cellStyle name="req 4 2 2 6 2" xfId="48624"/>
    <cellStyle name="req 4 2 2 7" xfId="48625"/>
    <cellStyle name="req 4 2 2 8" xfId="48626"/>
    <cellStyle name="req 4 2 3" xfId="48627"/>
    <cellStyle name="req 4 2 3 2" xfId="48628"/>
    <cellStyle name="req 4 2 3 2 2" xfId="48629"/>
    <cellStyle name="req 4 2 3 2 2 2" xfId="48630"/>
    <cellStyle name="req 4 2 3 2 2 2 2" xfId="48631"/>
    <cellStyle name="req 4 2 3 2 2 3" xfId="48632"/>
    <cellStyle name="req 4 2 3 2 2 3 2" xfId="48633"/>
    <cellStyle name="req 4 2 3 2 2 4" xfId="48634"/>
    <cellStyle name="req 4 2 3 2 2 5" xfId="48635"/>
    <cellStyle name="req 4 2 3 2 3" xfId="48636"/>
    <cellStyle name="req 4 2 3 2 3 2" xfId="48637"/>
    <cellStyle name="req 4 2 3 2 4" xfId="48638"/>
    <cellStyle name="req 4 2 3 2 4 2" xfId="48639"/>
    <cellStyle name="req 4 2 3 2 5" xfId="48640"/>
    <cellStyle name="req 4 2 3 2 6" xfId="48641"/>
    <cellStyle name="req 4 2 3 3" xfId="48642"/>
    <cellStyle name="req 4 2 3 3 2" xfId="48643"/>
    <cellStyle name="req 4 2 3 3 2 2" xfId="48644"/>
    <cellStyle name="req 4 2 3 3 3" xfId="48645"/>
    <cellStyle name="req 4 2 3 3 3 2" xfId="48646"/>
    <cellStyle name="req 4 2 3 3 4" xfId="48647"/>
    <cellStyle name="req 4 2 3 3 5" xfId="48648"/>
    <cellStyle name="req 4 2 3 4" xfId="48649"/>
    <cellStyle name="req 4 2 3 4 2" xfId="48650"/>
    <cellStyle name="req 4 2 3 5" xfId="48651"/>
    <cellStyle name="req 4 2 3 5 2" xfId="48652"/>
    <cellStyle name="req 4 2 3 6" xfId="48653"/>
    <cellStyle name="req 4 2 3 7" xfId="48654"/>
    <cellStyle name="req 4 2 4" xfId="48655"/>
    <cellStyle name="req 4 2 4 2" xfId="48656"/>
    <cellStyle name="req 4 2 4 2 2" xfId="48657"/>
    <cellStyle name="req 4 2 4 2 2 2" xfId="48658"/>
    <cellStyle name="req 4 2 4 2 3" xfId="48659"/>
    <cellStyle name="req 4 2 4 2 3 2" xfId="48660"/>
    <cellStyle name="req 4 2 4 2 4" xfId="48661"/>
    <cellStyle name="req 4 2 4 2 5" xfId="48662"/>
    <cellStyle name="req 4 2 4 3" xfId="48663"/>
    <cellStyle name="req 4 2 4 3 2" xfId="48664"/>
    <cellStyle name="req 4 2 4 4" xfId="48665"/>
    <cellStyle name="req 4 2 4 4 2" xfId="48666"/>
    <cellStyle name="req 4 2 4 5" xfId="48667"/>
    <cellStyle name="req 4 2 4 6" xfId="48668"/>
    <cellStyle name="req 4 2 5" xfId="48669"/>
    <cellStyle name="req 4 2 5 2" xfId="48670"/>
    <cellStyle name="req 4 2 5 2 2" xfId="48671"/>
    <cellStyle name="req 4 2 5 3" xfId="48672"/>
    <cellStyle name="req 4 2 5 3 2" xfId="48673"/>
    <cellStyle name="req 4 2 5 4" xfId="48674"/>
    <cellStyle name="req 4 2 5 5" xfId="48675"/>
    <cellStyle name="req 4 2 6" xfId="48676"/>
    <cellStyle name="req 4 2 6 2" xfId="48677"/>
    <cellStyle name="req 4 2 7" xfId="48678"/>
    <cellStyle name="req 4 2 7 2" xfId="48679"/>
    <cellStyle name="req 4 2 8" xfId="48680"/>
    <cellStyle name="req 4 2 9" xfId="48681"/>
    <cellStyle name="req 4 3" xfId="48682"/>
    <cellStyle name="req 4 3 2" xfId="48683"/>
    <cellStyle name="req 4 3 2 2" xfId="48684"/>
    <cellStyle name="req 4 3 2 2 2" xfId="48685"/>
    <cellStyle name="req 4 3 2 2 2 2" xfId="48686"/>
    <cellStyle name="req 4 3 2 2 2 2 2" xfId="48687"/>
    <cellStyle name="req 4 3 2 2 2 2 2 2" xfId="48688"/>
    <cellStyle name="req 4 3 2 2 2 2 3" xfId="48689"/>
    <cellStyle name="req 4 3 2 2 2 2 3 2" xfId="48690"/>
    <cellStyle name="req 4 3 2 2 2 2 4" xfId="48691"/>
    <cellStyle name="req 4 3 2 2 2 2 5" xfId="48692"/>
    <cellStyle name="req 4 3 2 2 2 3" xfId="48693"/>
    <cellStyle name="req 4 3 2 2 2 3 2" xfId="48694"/>
    <cellStyle name="req 4 3 2 2 2 4" xfId="48695"/>
    <cellStyle name="req 4 3 2 2 2 4 2" xfId="48696"/>
    <cellStyle name="req 4 3 2 2 2 5" xfId="48697"/>
    <cellStyle name="req 4 3 2 2 2 6" xfId="48698"/>
    <cellStyle name="req 4 3 2 2 3" xfId="48699"/>
    <cellStyle name="req 4 3 2 2 3 2" xfId="48700"/>
    <cellStyle name="req 4 3 2 2 3 2 2" xfId="48701"/>
    <cellStyle name="req 4 3 2 2 3 3" xfId="48702"/>
    <cellStyle name="req 4 3 2 2 3 3 2" xfId="48703"/>
    <cellStyle name="req 4 3 2 2 3 4" xfId="48704"/>
    <cellStyle name="req 4 3 2 2 3 5" xfId="48705"/>
    <cellStyle name="req 4 3 2 2 4" xfId="48706"/>
    <cellStyle name="req 4 3 2 2 4 2" xfId="48707"/>
    <cellStyle name="req 4 3 2 2 5" xfId="48708"/>
    <cellStyle name="req 4 3 2 2 5 2" xfId="48709"/>
    <cellStyle name="req 4 3 2 2 6" xfId="48710"/>
    <cellStyle name="req 4 3 2 2 7" xfId="48711"/>
    <cellStyle name="req 4 3 2 3" xfId="48712"/>
    <cellStyle name="req 4 3 2 3 2" xfId="48713"/>
    <cellStyle name="req 4 3 2 3 2 2" xfId="48714"/>
    <cellStyle name="req 4 3 2 3 2 2 2" xfId="48715"/>
    <cellStyle name="req 4 3 2 3 2 3" xfId="48716"/>
    <cellStyle name="req 4 3 2 3 2 3 2" xfId="48717"/>
    <cellStyle name="req 4 3 2 3 2 4" xfId="48718"/>
    <cellStyle name="req 4 3 2 3 2 5" xfId="48719"/>
    <cellStyle name="req 4 3 2 3 3" xfId="48720"/>
    <cellStyle name="req 4 3 2 3 3 2" xfId="48721"/>
    <cellStyle name="req 4 3 2 3 4" xfId="48722"/>
    <cellStyle name="req 4 3 2 3 4 2" xfId="48723"/>
    <cellStyle name="req 4 3 2 3 5" xfId="48724"/>
    <cellStyle name="req 4 3 2 3 6" xfId="48725"/>
    <cellStyle name="req 4 3 2 4" xfId="48726"/>
    <cellStyle name="req 4 3 2 4 2" xfId="48727"/>
    <cellStyle name="req 4 3 2 4 2 2" xfId="48728"/>
    <cellStyle name="req 4 3 2 4 3" xfId="48729"/>
    <cellStyle name="req 4 3 2 4 3 2" xfId="48730"/>
    <cellStyle name="req 4 3 2 4 4" xfId="48731"/>
    <cellStyle name="req 4 3 2 4 5" xfId="48732"/>
    <cellStyle name="req 4 3 2 5" xfId="48733"/>
    <cellStyle name="req 4 3 2 5 2" xfId="48734"/>
    <cellStyle name="req 4 3 2 6" xfId="48735"/>
    <cellStyle name="req 4 3 2 6 2" xfId="48736"/>
    <cellStyle name="req 4 3 2 7" xfId="48737"/>
    <cellStyle name="req 4 3 2 8" xfId="48738"/>
    <cellStyle name="req 4 3 3" xfId="48739"/>
    <cellStyle name="req 4 3 3 2" xfId="48740"/>
    <cellStyle name="req 4 3 3 2 2" xfId="48741"/>
    <cellStyle name="req 4 3 3 2 2 2" xfId="48742"/>
    <cellStyle name="req 4 3 3 2 2 2 2" xfId="48743"/>
    <cellStyle name="req 4 3 3 2 2 3" xfId="48744"/>
    <cellStyle name="req 4 3 3 2 2 3 2" xfId="48745"/>
    <cellStyle name="req 4 3 3 2 2 4" xfId="48746"/>
    <cellStyle name="req 4 3 3 2 2 5" xfId="48747"/>
    <cellStyle name="req 4 3 3 2 3" xfId="48748"/>
    <cellStyle name="req 4 3 3 2 3 2" xfId="48749"/>
    <cellStyle name="req 4 3 3 2 4" xfId="48750"/>
    <cellStyle name="req 4 3 3 2 4 2" xfId="48751"/>
    <cellStyle name="req 4 3 3 2 5" xfId="48752"/>
    <cellStyle name="req 4 3 3 2 6" xfId="48753"/>
    <cellStyle name="req 4 3 3 3" xfId="48754"/>
    <cellStyle name="req 4 3 3 3 2" xfId="48755"/>
    <cellStyle name="req 4 3 3 3 2 2" xfId="48756"/>
    <cellStyle name="req 4 3 3 3 3" xfId="48757"/>
    <cellStyle name="req 4 3 3 3 3 2" xfId="48758"/>
    <cellStyle name="req 4 3 3 3 4" xfId="48759"/>
    <cellStyle name="req 4 3 3 3 5" xfId="48760"/>
    <cellStyle name="req 4 3 3 4" xfId="48761"/>
    <cellStyle name="req 4 3 3 4 2" xfId="48762"/>
    <cellStyle name="req 4 3 3 5" xfId="48763"/>
    <cellStyle name="req 4 3 3 5 2" xfId="48764"/>
    <cellStyle name="req 4 3 3 6" xfId="48765"/>
    <cellStyle name="req 4 3 3 7" xfId="48766"/>
    <cellStyle name="req 4 3 4" xfId="48767"/>
    <cellStyle name="req 4 3 4 2" xfId="48768"/>
    <cellStyle name="req 4 3 4 2 2" xfId="48769"/>
    <cellStyle name="req 4 3 4 2 2 2" xfId="48770"/>
    <cellStyle name="req 4 3 4 2 3" xfId="48771"/>
    <cellStyle name="req 4 3 4 2 3 2" xfId="48772"/>
    <cellStyle name="req 4 3 4 2 4" xfId="48773"/>
    <cellStyle name="req 4 3 4 2 5" xfId="48774"/>
    <cellStyle name="req 4 3 4 3" xfId="48775"/>
    <cellStyle name="req 4 3 4 3 2" xfId="48776"/>
    <cellStyle name="req 4 3 4 4" xfId="48777"/>
    <cellStyle name="req 4 3 4 4 2" xfId="48778"/>
    <cellStyle name="req 4 3 4 5" xfId="48779"/>
    <cellStyle name="req 4 3 4 6" xfId="48780"/>
    <cellStyle name="req 4 3 5" xfId="48781"/>
    <cellStyle name="req 4 3 5 2" xfId="48782"/>
    <cellStyle name="req 4 3 5 2 2" xfId="48783"/>
    <cellStyle name="req 4 3 5 3" xfId="48784"/>
    <cellStyle name="req 4 3 5 3 2" xfId="48785"/>
    <cellStyle name="req 4 3 5 4" xfId="48786"/>
    <cellStyle name="req 4 3 5 5" xfId="48787"/>
    <cellStyle name="req 4 3 6" xfId="48788"/>
    <cellStyle name="req 4 3 6 2" xfId="48789"/>
    <cellStyle name="req 4 3 7" xfId="48790"/>
    <cellStyle name="req 4 3 7 2" xfId="48791"/>
    <cellStyle name="req 4 3 8" xfId="48792"/>
    <cellStyle name="req 4 3 9" xfId="48793"/>
    <cellStyle name="req 4 4" xfId="48794"/>
    <cellStyle name="req 4 4 2" xfId="48795"/>
    <cellStyle name="req 4 4 2 2" xfId="48796"/>
    <cellStyle name="req 4 4 2 2 2" xfId="48797"/>
    <cellStyle name="req 4 4 2 2 2 2" xfId="48798"/>
    <cellStyle name="req 4 4 2 2 2 2 2" xfId="48799"/>
    <cellStyle name="req 4 4 2 2 2 2 2 2" xfId="48800"/>
    <cellStyle name="req 4 4 2 2 2 2 3" xfId="48801"/>
    <cellStyle name="req 4 4 2 2 2 2 3 2" xfId="48802"/>
    <cellStyle name="req 4 4 2 2 2 2 4" xfId="48803"/>
    <cellStyle name="req 4 4 2 2 2 2 5" xfId="48804"/>
    <cellStyle name="req 4 4 2 2 2 3" xfId="48805"/>
    <cellStyle name="req 4 4 2 2 2 3 2" xfId="48806"/>
    <cellStyle name="req 4 4 2 2 2 4" xfId="48807"/>
    <cellStyle name="req 4 4 2 2 2 4 2" xfId="48808"/>
    <cellStyle name="req 4 4 2 2 2 5" xfId="48809"/>
    <cellStyle name="req 4 4 2 2 2 6" xfId="48810"/>
    <cellStyle name="req 4 4 2 2 3" xfId="48811"/>
    <cellStyle name="req 4 4 2 2 3 2" xfId="48812"/>
    <cellStyle name="req 4 4 2 2 3 2 2" xfId="48813"/>
    <cellStyle name="req 4 4 2 2 3 3" xfId="48814"/>
    <cellStyle name="req 4 4 2 2 3 3 2" xfId="48815"/>
    <cellStyle name="req 4 4 2 2 3 4" xfId="48816"/>
    <cellStyle name="req 4 4 2 2 3 5" xfId="48817"/>
    <cellStyle name="req 4 4 2 2 4" xfId="48818"/>
    <cellStyle name="req 4 4 2 2 4 2" xfId="48819"/>
    <cellStyle name="req 4 4 2 2 5" xfId="48820"/>
    <cellStyle name="req 4 4 2 2 5 2" xfId="48821"/>
    <cellStyle name="req 4 4 2 2 6" xfId="48822"/>
    <cellStyle name="req 4 4 2 2 7" xfId="48823"/>
    <cellStyle name="req 4 4 2 3" xfId="48824"/>
    <cellStyle name="req 4 4 2 3 2" xfId="48825"/>
    <cellStyle name="req 4 4 2 3 2 2" xfId="48826"/>
    <cellStyle name="req 4 4 2 3 2 2 2" xfId="48827"/>
    <cellStyle name="req 4 4 2 3 2 3" xfId="48828"/>
    <cellStyle name="req 4 4 2 3 2 3 2" xfId="48829"/>
    <cellStyle name="req 4 4 2 3 2 4" xfId="48830"/>
    <cellStyle name="req 4 4 2 3 2 5" xfId="48831"/>
    <cellStyle name="req 4 4 2 3 3" xfId="48832"/>
    <cellStyle name="req 4 4 2 3 3 2" xfId="48833"/>
    <cellStyle name="req 4 4 2 3 4" xfId="48834"/>
    <cellStyle name="req 4 4 2 3 4 2" xfId="48835"/>
    <cellStyle name="req 4 4 2 3 5" xfId="48836"/>
    <cellStyle name="req 4 4 2 3 6" xfId="48837"/>
    <cellStyle name="req 4 4 2 4" xfId="48838"/>
    <cellStyle name="req 4 4 2 4 2" xfId="48839"/>
    <cellStyle name="req 4 4 2 4 2 2" xfId="48840"/>
    <cellStyle name="req 4 4 2 4 3" xfId="48841"/>
    <cellStyle name="req 4 4 2 4 3 2" xfId="48842"/>
    <cellStyle name="req 4 4 2 4 4" xfId="48843"/>
    <cellStyle name="req 4 4 2 4 5" xfId="48844"/>
    <cellStyle name="req 4 4 2 5" xfId="48845"/>
    <cellStyle name="req 4 4 2 5 2" xfId="48846"/>
    <cellStyle name="req 4 4 2 6" xfId="48847"/>
    <cellStyle name="req 4 4 2 6 2" xfId="48848"/>
    <cellStyle name="req 4 4 2 7" xfId="48849"/>
    <cellStyle name="req 4 4 2 8" xfId="48850"/>
    <cellStyle name="req 4 4 3" xfId="48851"/>
    <cellStyle name="req 4 4 3 2" xfId="48852"/>
    <cellStyle name="req 4 4 3 2 2" xfId="48853"/>
    <cellStyle name="req 4 4 3 2 2 2" xfId="48854"/>
    <cellStyle name="req 4 4 3 2 2 2 2" xfId="48855"/>
    <cellStyle name="req 4 4 3 2 2 3" xfId="48856"/>
    <cellStyle name="req 4 4 3 2 2 3 2" xfId="48857"/>
    <cellStyle name="req 4 4 3 2 2 4" xfId="48858"/>
    <cellStyle name="req 4 4 3 2 2 5" xfId="48859"/>
    <cellStyle name="req 4 4 3 2 3" xfId="48860"/>
    <cellStyle name="req 4 4 3 2 3 2" xfId="48861"/>
    <cellStyle name="req 4 4 3 2 4" xfId="48862"/>
    <cellStyle name="req 4 4 3 2 4 2" xfId="48863"/>
    <cellStyle name="req 4 4 3 2 5" xfId="48864"/>
    <cellStyle name="req 4 4 3 2 6" xfId="48865"/>
    <cellStyle name="req 4 4 3 3" xfId="48866"/>
    <cellStyle name="req 4 4 3 3 2" xfId="48867"/>
    <cellStyle name="req 4 4 3 3 2 2" xfId="48868"/>
    <cellStyle name="req 4 4 3 3 3" xfId="48869"/>
    <cellStyle name="req 4 4 3 3 3 2" xfId="48870"/>
    <cellStyle name="req 4 4 3 3 4" xfId="48871"/>
    <cellStyle name="req 4 4 3 3 5" xfId="48872"/>
    <cellStyle name="req 4 4 3 4" xfId="48873"/>
    <cellStyle name="req 4 4 3 4 2" xfId="48874"/>
    <cellStyle name="req 4 4 3 5" xfId="48875"/>
    <cellStyle name="req 4 4 3 5 2" xfId="48876"/>
    <cellStyle name="req 4 4 3 6" xfId="48877"/>
    <cellStyle name="req 4 4 3 7" xfId="48878"/>
    <cellStyle name="req 4 4 4" xfId="48879"/>
    <cellStyle name="req 4 4 4 2" xfId="48880"/>
    <cellStyle name="req 4 4 4 2 2" xfId="48881"/>
    <cellStyle name="req 4 4 4 2 2 2" xfId="48882"/>
    <cellStyle name="req 4 4 4 2 3" xfId="48883"/>
    <cellStyle name="req 4 4 4 2 3 2" xfId="48884"/>
    <cellStyle name="req 4 4 4 2 4" xfId="48885"/>
    <cellStyle name="req 4 4 4 2 5" xfId="48886"/>
    <cellStyle name="req 4 4 4 3" xfId="48887"/>
    <cellStyle name="req 4 4 4 3 2" xfId="48888"/>
    <cellStyle name="req 4 4 4 4" xfId="48889"/>
    <cellStyle name="req 4 4 4 4 2" xfId="48890"/>
    <cellStyle name="req 4 4 4 5" xfId="48891"/>
    <cellStyle name="req 4 4 4 6" xfId="48892"/>
    <cellStyle name="req 4 4 5" xfId="48893"/>
    <cellStyle name="req 4 4 5 2" xfId="48894"/>
    <cellStyle name="req 4 4 5 2 2" xfId="48895"/>
    <cellStyle name="req 4 4 5 3" xfId="48896"/>
    <cellStyle name="req 4 4 5 3 2" xfId="48897"/>
    <cellStyle name="req 4 4 5 4" xfId="48898"/>
    <cellStyle name="req 4 4 5 5" xfId="48899"/>
    <cellStyle name="req 4 4 6" xfId="48900"/>
    <cellStyle name="req 4 4 6 2" xfId="48901"/>
    <cellStyle name="req 4 4 7" xfId="48902"/>
    <cellStyle name="req 4 4 7 2" xfId="48903"/>
    <cellStyle name="req 4 4 8" xfId="48904"/>
    <cellStyle name="req 4 4 9" xfId="48905"/>
    <cellStyle name="req 4 5" xfId="48906"/>
    <cellStyle name="req 4 5 2" xfId="48907"/>
    <cellStyle name="req 4 5 2 2" xfId="48908"/>
    <cellStyle name="req 4 5 2 2 2" xfId="48909"/>
    <cellStyle name="req 4 5 2 2 2 2" xfId="48910"/>
    <cellStyle name="req 4 5 2 2 2 2 2" xfId="48911"/>
    <cellStyle name="req 4 5 2 2 2 3" xfId="48912"/>
    <cellStyle name="req 4 5 2 2 2 3 2" xfId="48913"/>
    <cellStyle name="req 4 5 2 2 2 4" xfId="48914"/>
    <cellStyle name="req 4 5 2 2 2 5" xfId="48915"/>
    <cellStyle name="req 4 5 2 2 3" xfId="48916"/>
    <cellStyle name="req 4 5 2 2 3 2" xfId="48917"/>
    <cellStyle name="req 4 5 2 2 4" xfId="48918"/>
    <cellStyle name="req 4 5 2 2 4 2" xfId="48919"/>
    <cellStyle name="req 4 5 2 2 5" xfId="48920"/>
    <cellStyle name="req 4 5 2 2 6" xfId="48921"/>
    <cellStyle name="req 4 5 2 3" xfId="48922"/>
    <cellStyle name="req 4 5 2 3 2" xfId="48923"/>
    <cellStyle name="req 4 5 2 3 2 2" xfId="48924"/>
    <cellStyle name="req 4 5 2 3 3" xfId="48925"/>
    <cellStyle name="req 4 5 2 3 3 2" xfId="48926"/>
    <cellStyle name="req 4 5 2 3 4" xfId="48927"/>
    <cellStyle name="req 4 5 2 3 5" xfId="48928"/>
    <cellStyle name="req 4 5 2 4" xfId="48929"/>
    <cellStyle name="req 4 5 2 4 2" xfId="48930"/>
    <cellStyle name="req 4 5 2 5" xfId="48931"/>
    <cellStyle name="req 4 5 2 5 2" xfId="48932"/>
    <cellStyle name="req 4 5 2 6" xfId="48933"/>
    <cellStyle name="req 4 5 2 7" xfId="48934"/>
    <cellStyle name="req 4 5 3" xfId="48935"/>
    <cellStyle name="req 4 5 3 2" xfId="48936"/>
    <cellStyle name="req 4 5 3 2 2" xfId="48937"/>
    <cellStyle name="req 4 5 3 2 2 2" xfId="48938"/>
    <cellStyle name="req 4 5 3 2 3" xfId="48939"/>
    <cellStyle name="req 4 5 3 2 3 2" xfId="48940"/>
    <cellStyle name="req 4 5 3 2 4" xfId="48941"/>
    <cellStyle name="req 4 5 3 2 5" xfId="48942"/>
    <cellStyle name="req 4 5 3 3" xfId="48943"/>
    <cellStyle name="req 4 5 3 3 2" xfId="48944"/>
    <cellStyle name="req 4 5 3 4" xfId="48945"/>
    <cellStyle name="req 4 5 3 4 2" xfId="48946"/>
    <cellStyle name="req 4 5 3 5" xfId="48947"/>
    <cellStyle name="req 4 5 3 6" xfId="48948"/>
    <cellStyle name="req 4 5 4" xfId="48949"/>
    <cellStyle name="req 4 5 4 2" xfId="48950"/>
    <cellStyle name="req 4 5 4 2 2" xfId="48951"/>
    <cellStyle name="req 4 5 4 3" xfId="48952"/>
    <cellStyle name="req 4 5 4 3 2" xfId="48953"/>
    <cellStyle name="req 4 5 4 4" xfId="48954"/>
    <cellStyle name="req 4 5 4 5" xfId="48955"/>
    <cellStyle name="req 4 5 5" xfId="48956"/>
    <cellStyle name="req 4 5 5 2" xfId="48957"/>
    <cellStyle name="req 4 5 6" xfId="48958"/>
    <cellStyle name="req 4 5 6 2" xfId="48959"/>
    <cellStyle name="req 4 5 7" xfId="48960"/>
    <cellStyle name="req 4 5 8" xfId="48961"/>
    <cellStyle name="req 4 6" xfId="48962"/>
    <cellStyle name="req 4 6 2" xfId="48963"/>
    <cellStyle name="req 4 6 2 2" xfId="48964"/>
    <cellStyle name="req 4 6 2 2 2" xfId="48965"/>
    <cellStyle name="req 4 6 2 2 2 2" xfId="48966"/>
    <cellStyle name="req 4 6 2 2 3" xfId="48967"/>
    <cellStyle name="req 4 6 2 2 3 2" xfId="48968"/>
    <cellStyle name="req 4 6 2 2 4" xfId="48969"/>
    <cellStyle name="req 4 6 2 2 5" xfId="48970"/>
    <cellStyle name="req 4 6 2 3" xfId="48971"/>
    <cellStyle name="req 4 6 2 3 2" xfId="48972"/>
    <cellStyle name="req 4 6 2 4" xfId="48973"/>
    <cellStyle name="req 4 6 2 4 2" xfId="48974"/>
    <cellStyle name="req 4 6 2 5" xfId="48975"/>
    <cellStyle name="req 4 6 2 6" xfId="48976"/>
    <cellStyle name="req 4 6 3" xfId="48977"/>
    <cellStyle name="req 4 6 3 2" xfId="48978"/>
    <cellStyle name="req 4 6 3 2 2" xfId="48979"/>
    <cellStyle name="req 4 6 3 3" xfId="48980"/>
    <cellStyle name="req 4 6 3 3 2" xfId="48981"/>
    <cellStyle name="req 4 6 3 4" xfId="48982"/>
    <cellStyle name="req 4 6 3 5" xfId="48983"/>
    <cellStyle name="req 4 6 4" xfId="48984"/>
    <cellStyle name="req 4 6 4 2" xfId="48985"/>
    <cellStyle name="req 4 6 5" xfId="48986"/>
    <cellStyle name="req 4 6 5 2" xfId="48987"/>
    <cellStyle name="req 4 6 6" xfId="48988"/>
    <cellStyle name="req 4 6 7" xfId="48989"/>
    <cellStyle name="req 4 7" xfId="48990"/>
    <cellStyle name="req 4 7 2" xfId="48991"/>
    <cellStyle name="req 4 7 2 2" xfId="48992"/>
    <cellStyle name="req 4 7 2 2 2" xfId="48993"/>
    <cellStyle name="req 4 7 2 3" xfId="48994"/>
    <cellStyle name="req 4 7 2 3 2" xfId="48995"/>
    <cellStyle name="req 4 7 2 4" xfId="48996"/>
    <cellStyle name="req 4 7 2 5" xfId="48997"/>
    <cellStyle name="req 4 7 3" xfId="48998"/>
    <cellStyle name="req 4 7 3 2" xfId="48999"/>
    <cellStyle name="req 4 7 4" xfId="49000"/>
    <cellStyle name="req 4 7 4 2" xfId="49001"/>
    <cellStyle name="req 4 7 5" xfId="49002"/>
    <cellStyle name="req 4 7 6" xfId="49003"/>
    <cellStyle name="req 4 8" xfId="49004"/>
    <cellStyle name="req 4 8 2" xfId="49005"/>
    <cellStyle name="req 4 8 2 2" xfId="49006"/>
    <cellStyle name="req 4 8 3" xfId="49007"/>
    <cellStyle name="req 4 8 3 2" xfId="49008"/>
    <cellStyle name="req 4 8 4" xfId="49009"/>
    <cellStyle name="req 4 8 5" xfId="49010"/>
    <cellStyle name="req 4 9" xfId="49011"/>
    <cellStyle name="req 4 9 2" xfId="49012"/>
    <cellStyle name="req 5" xfId="49013"/>
    <cellStyle name="req 5 2" xfId="49014"/>
    <cellStyle name="req 5 2 2" xfId="49015"/>
    <cellStyle name="req 5 2 2 2" xfId="49016"/>
    <cellStyle name="req 5 2 2 2 2" xfId="49017"/>
    <cellStyle name="req 5 2 2 2 2 2" xfId="49018"/>
    <cellStyle name="req 5 2 2 2 2 2 2" xfId="49019"/>
    <cellStyle name="req 5 2 2 2 2 3" xfId="49020"/>
    <cellStyle name="req 5 2 2 2 2 3 2" xfId="49021"/>
    <cellStyle name="req 5 2 2 2 2 4" xfId="49022"/>
    <cellStyle name="req 5 2 2 2 2 5" xfId="49023"/>
    <cellStyle name="req 5 2 2 2 3" xfId="49024"/>
    <cellStyle name="req 5 2 2 2 3 2" xfId="49025"/>
    <cellStyle name="req 5 2 2 2 4" xfId="49026"/>
    <cellStyle name="req 5 2 2 2 4 2" xfId="49027"/>
    <cellStyle name="req 5 2 2 2 5" xfId="49028"/>
    <cellStyle name="req 5 2 2 2 6" xfId="49029"/>
    <cellStyle name="req 5 2 2 3" xfId="49030"/>
    <cellStyle name="req 5 2 2 3 2" xfId="49031"/>
    <cellStyle name="req 5 2 2 3 2 2" xfId="49032"/>
    <cellStyle name="req 5 2 2 3 3" xfId="49033"/>
    <cellStyle name="req 5 2 2 3 3 2" xfId="49034"/>
    <cellStyle name="req 5 2 2 3 4" xfId="49035"/>
    <cellStyle name="req 5 2 2 3 5" xfId="49036"/>
    <cellStyle name="req 5 2 2 4" xfId="49037"/>
    <cellStyle name="req 5 2 2 4 2" xfId="49038"/>
    <cellStyle name="req 5 2 2 5" xfId="49039"/>
    <cellStyle name="req 5 2 2 5 2" xfId="49040"/>
    <cellStyle name="req 5 2 2 6" xfId="49041"/>
    <cellStyle name="req 5 2 2 7" xfId="49042"/>
    <cellStyle name="req 5 2 3" xfId="49043"/>
    <cellStyle name="req 5 2 3 2" xfId="49044"/>
    <cellStyle name="req 5 2 3 2 2" xfId="49045"/>
    <cellStyle name="req 5 2 3 2 2 2" xfId="49046"/>
    <cellStyle name="req 5 2 3 2 3" xfId="49047"/>
    <cellStyle name="req 5 2 3 2 3 2" xfId="49048"/>
    <cellStyle name="req 5 2 3 2 4" xfId="49049"/>
    <cellStyle name="req 5 2 3 2 5" xfId="49050"/>
    <cellStyle name="req 5 2 3 3" xfId="49051"/>
    <cellStyle name="req 5 2 3 3 2" xfId="49052"/>
    <cellStyle name="req 5 2 3 4" xfId="49053"/>
    <cellStyle name="req 5 2 3 4 2" xfId="49054"/>
    <cellStyle name="req 5 2 3 5" xfId="49055"/>
    <cellStyle name="req 5 2 3 6" xfId="49056"/>
    <cellStyle name="req 5 2 4" xfId="49057"/>
    <cellStyle name="req 5 2 4 2" xfId="49058"/>
    <cellStyle name="req 5 2 4 2 2" xfId="49059"/>
    <cellStyle name="req 5 2 4 3" xfId="49060"/>
    <cellStyle name="req 5 2 4 3 2" xfId="49061"/>
    <cellStyle name="req 5 2 4 4" xfId="49062"/>
    <cellStyle name="req 5 2 4 5" xfId="49063"/>
    <cellStyle name="req 5 2 5" xfId="49064"/>
    <cellStyle name="req 5 2 5 2" xfId="49065"/>
    <cellStyle name="req 5 2 6" xfId="49066"/>
    <cellStyle name="req 5 2 6 2" xfId="49067"/>
    <cellStyle name="req 5 2 7" xfId="49068"/>
    <cellStyle name="req 5 2 8" xfId="49069"/>
    <cellStyle name="req 5 3" xfId="49070"/>
    <cellStyle name="req 5 3 2" xfId="49071"/>
    <cellStyle name="req 5 3 2 2" xfId="49072"/>
    <cellStyle name="req 5 3 2 2 2" xfId="49073"/>
    <cellStyle name="req 5 3 2 2 2 2" xfId="49074"/>
    <cellStyle name="req 5 3 2 2 3" xfId="49075"/>
    <cellStyle name="req 5 3 2 2 3 2" xfId="49076"/>
    <cellStyle name="req 5 3 2 2 4" xfId="49077"/>
    <cellStyle name="req 5 3 2 2 5" xfId="49078"/>
    <cellStyle name="req 5 3 2 3" xfId="49079"/>
    <cellStyle name="req 5 3 2 3 2" xfId="49080"/>
    <cellStyle name="req 5 3 2 4" xfId="49081"/>
    <cellStyle name="req 5 3 2 4 2" xfId="49082"/>
    <cellStyle name="req 5 3 2 5" xfId="49083"/>
    <cellStyle name="req 5 3 2 6" xfId="49084"/>
    <cellStyle name="req 5 3 3" xfId="49085"/>
    <cellStyle name="req 5 3 3 2" xfId="49086"/>
    <cellStyle name="req 5 3 3 2 2" xfId="49087"/>
    <cellStyle name="req 5 3 3 3" xfId="49088"/>
    <cellStyle name="req 5 3 3 3 2" xfId="49089"/>
    <cellStyle name="req 5 3 3 4" xfId="49090"/>
    <cellStyle name="req 5 3 3 5" xfId="49091"/>
    <cellStyle name="req 5 3 4" xfId="49092"/>
    <cellStyle name="req 5 3 4 2" xfId="49093"/>
    <cellStyle name="req 5 3 5" xfId="49094"/>
    <cellStyle name="req 5 3 5 2" xfId="49095"/>
    <cellStyle name="req 5 3 6" xfId="49096"/>
    <cellStyle name="req 5 3 7" xfId="49097"/>
    <cellStyle name="req 5 4" xfId="49098"/>
    <cellStyle name="req 5 4 2" xfId="49099"/>
    <cellStyle name="req 5 4 2 2" xfId="49100"/>
    <cellStyle name="req 5 4 2 2 2" xfId="49101"/>
    <cellStyle name="req 5 4 2 3" xfId="49102"/>
    <cellStyle name="req 5 4 2 3 2" xfId="49103"/>
    <cellStyle name="req 5 4 2 4" xfId="49104"/>
    <cellStyle name="req 5 4 2 5" xfId="49105"/>
    <cellStyle name="req 5 4 3" xfId="49106"/>
    <cellStyle name="req 5 4 3 2" xfId="49107"/>
    <cellStyle name="req 5 4 4" xfId="49108"/>
    <cellStyle name="req 5 4 4 2" xfId="49109"/>
    <cellStyle name="req 5 4 5" xfId="49110"/>
    <cellStyle name="req 5 4 6" xfId="49111"/>
    <cellStyle name="req 5 5" xfId="49112"/>
    <cellStyle name="req 5 5 2" xfId="49113"/>
    <cellStyle name="req 5 5 2 2" xfId="49114"/>
    <cellStyle name="req 5 5 3" xfId="49115"/>
    <cellStyle name="req 5 5 3 2" xfId="49116"/>
    <cellStyle name="req 5 5 4" xfId="49117"/>
    <cellStyle name="req 5 5 5" xfId="49118"/>
    <cellStyle name="req 5 6" xfId="49119"/>
    <cellStyle name="req 5 6 2" xfId="49120"/>
    <cellStyle name="req 5 7" xfId="49121"/>
    <cellStyle name="req 5 7 2" xfId="49122"/>
    <cellStyle name="req 5 8" xfId="49123"/>
    <cellStyle name="req 5 9" xfId="49124"/>
    <cellStyle name="req 6" xfId="49125"/>
    <cellStyle name="req 6 2" xfId="49126"/>
    <cellStyle name="req 6 2 2" xfId="49127"/>
    <cellStyle name="req 6 2 2 2" xfId="49128"/>
    <cellStyle name="req 6 2 3" xfId="49129"/>
    <cellStyle name="req 6 2 3 2" xfId="49130"/>
    <cellStyle name="req 6 2 4" xfId="49131"/>
    <cellStyle name="req 6 2 5" xfId="49132"/>
    <cellStyle name="req 6 3" xfId="49133"/>
    <cellStyle name="req 6 3 2" xfId="49134"/>
    <cellStyle name="req 6 4" xfId="49135"/>
    <cellStyle name="req 6 4 2" xfId="49136"/>
    <cellStyle name="req 6 5" xfId="49137"/>
    <cellStyle name="req 6 6" xfId="49138"/>
    <cellStyle name="req 7" xfId="49139"/>
    <cellStyle name="req 7 2" xfId="49140"/>
    <cellStyle name="req 8" xfId="49141"/>
    <cellStyle name="req 8 2" xfId="49142"/>
    <cellStyle name="req 9" xfId="49143"/>
    <cellStyle name="Result" xfId="49144"/>
    <cellStyle name="Result 2" xfId="49145"/>
    <cellStyle name="Result 2 2" xfId="49146"/>
    <cellStyle name="Result 3" xfId="49147"/>
    <cellStyle name="Result 3 2" xfId="49148"/>
    <cellStyle name="Result 4" xfId="49149"/>
    <cellStyle name="Result 4 2" xfId="49150"/>
    <cellStyle name="Separador de milhares [0]_PLDT" xfId="49151"/>
    <cellStyle name="Separador de milhares_PLDT" xfId="49152"/>
    <cellStyle name="Standard_30584A-B" xfId="49153"/>
    <cellStyle name="subhead" xfId="49154"/>
    <cellStyle name="subhead 2" xfId="49155"/>
    <cellStyle name="subhead 2 2" xfId="49156"/>
    <cellStyle name="subhead 2 3" xfId="49157"/>
    <cellStyle name="subhead 2 4" xfId="49158"/>
    <cellStyle name="subhead 2 5" xfId="49159"/>
    <cellStyle name="subhead 3" xfId="49160"/>
    <cellStyle name="subhead 4" xfId="49161"/>
    <cellStyle name="subhead 5" xfId="49162"/>
    <cellStyle name="subhead 6" xfId="49163"/>
    <cellStyle name="Title" xfId="49164"/>
    <cellStyle name="Title 2" xfId="49165"/>
    <cellStyle name="Title 2 2" xfId="49166"/>
    <cellStyle name="Title 2 3" xfId="49167"/>
    <cellStyle name="Title 2 4" xfId="49168"/>
    <cellStyle name="Title 2 5" xfId="49169"/>
    <cellStyle name="Title 3" xfId="49170"/>
    <cellStyle name="Title 4" xfId="49171"/>
    <cellStyle name="Title 5" xfId="49172"/>
    <cellStyle name="Title 6" xfId="49173"/>
    <cellStyle name="Total" xfId="49174"/>
    <cellStyle name="Total 2" xfId="49175"/>
    <cellStyle name="Total 2 2" xfId="49176"/>
    <cellStyle name="Total 2 2 2" xfId="49177"/>
    <cellStyle name="Total 2 3" xfId="49178"/>
    <cellStyle name="Total 2 3 2" xfId="49179"/>
    <cellStyle name="Total 2 4" xfId="49180"/>
    <cellStyle name="Total 2 5" xfId="49181"/>
    <cellStyle name="Total 3" xfId="49182"/>
    <cellStyle name="Total 4" xfId="49183"/>
    <cellStyle name="Total 5" xfId="49184"/>
    <cellStyle name="Total 6" xfId="49185"/>
    <cellStyle name="Total 7" xfId="49186"/>
    <cellStyle name="Total 8" xfId="49187"/>
    <cellStyle name="Total 9" xfId="49188"/>
    <cellStyle name="Valuta (0)_alkila" xfId="49189"/>
    <cellStyle name="Valuta_alkila" xfId="49190"/>
    <cellStyle name="W?rung [0]_laroux" xfId="49191"/>
    <cellStyle name="W?rung_laroux" xfId="49192"/>
    <cellStyle name="Währung [0]_20631" xfId="49193"/>
    <cellStyle name="Währung_20631" xfId="49194"/>
    <cellStyle name="Warning Text" xfId="49195"/>
    <cellStyle name="Warning Text 2" xfId="49196"/>
    <cellStyle name="Warning Text 2 2" xfId="49197"/>
    <cellStyle name="Warning Text 2 3" xfId="49198"/>
    <cellStyle name="Warning Text 2 4" xfId="49199"/>
    <cellStyle name="Warning Text 2 5" xfId="49200"/>
    <cellStyle name="Warning Text 3" xfId="49201"/>
    <cellStyle name="Warning Text 4" xfId="49202"/>
    <cellStyle name="Warning Text 5" xfId="49203"/>
    <cellStyle name="Warning Text 6" xfId="49204"/>
    <cellStyle name="腔" xfId="49205"/>
    <cellStyle name="腔 2" xfId="49206"/>
    <cellStyle name="腔 2 2" xfId="49207"/>
    <cellStyle name="腔 2 3" xfId="49208"/>
    <cellStyle name="腔 2 4" xfId="49209"/>
    <cellStyle name="腔 2 5" xfId="49210"/>
    <cellStyle name="腔 3" xfId="49211"/>
    <cellStyle name="腔 4" xfId="49212"/>
    <cellStyle name="腔 5" xfId="49213"/>
    <cellStyle name="腔 6" xfId="49214"/>
    <cellStyle name="강조색1 2" xfId="49215"/>
    <cellStyle name="강조색1 2 2" xfId="49216"/>
    <cellStyle name="강조색1 2 2 2" xfId="49217"/>
    <cellStyle name="강조색1 2 2 2 2" xfId="49218"/>
    <cellStyle name="강조색1 2 2 2 3" xfId="49219"/>
    <cellStyle name="강조색1 2 2 2 4" xfId="49220"/>
    <cellStyle name="강조색1 2 2 3" xfId="49221"/>
    <cellStyle name="강조색1 2 2 4" xfId="49222"/>
    <cellStyle name="강조색1 2 2 5" xfId="49223"/>
    <cellStyle name="강조색1 2 2 6" xfId="49224"/>
    <cellStyle name="강조색1 2 3" xfId="49225"/>
    <cellStyle name="강조색1 2 4" xfId="49226"/>
    <cellStyle name="강조색1 2 5" xfId="49227"/>
    <cellStyle name="강조색1 2 6" xfId="49228"/>
    <cellStyle name="강조색1 3" xfId="49229"/>
    <cellStyle name="강조색1 4" xfId="49230"/>
    <cellStyle name="강조색1 5" xfId="49231"/>
    <cellStyle name="강조색1 6" xfId="49232"/>
    <cellStyle name="강조색2 2" xfId="49233"/>
    <cellStyle name="강조색2 2 2" xfId="49234"/>
    <cellStyle name="강조색2 2 2 2" xfId="49235"/>
    <cellStyle name="강조색2 2 2 2 2" xfId="49236"/>
    <cellStyle name="강조색2 2 2 2 3" xfId="49237"/>
    <cellStyle name="강조색2 2 2 2 4" xfId="49238"/>
    <cellStyle name="강조색2 2 2 3" xfId="49239"/>
    <cellStyle name="강조색2 2 2 4" xfId="49240"/>
    <cellStyle name="강조색2 2 2 5" xfId="49241"/>
    <cellStyle name="강조색2 2 2 6" xfId="49242"/>
    <cellStyle name="강조색2 2 3" xfId="49243"/>
    <cellStyle name="강조색2 2 4" xfId="49244"/>
    <cellStyle name="강조색2 2 5" xfId="49245"/>
    <cellStyle name="강조색2 2 6" xfId="49246"/>
    <cellStyle name="강조색2 3" xfId="49247"/>
    <cellStyle name="강조색2 4" xfId="49248"/>
    <cellStyle name="강조색2 5" xfId="49249"/>
    <cellStyle name="강조색2 6" xfId="49250"/>
    <cellStyle name="강조색3 2" xfId="49251"/>
    <cellStyle name="강조색3 2 2" xfId="49252"/>
    <cellStyle name="강조색3 2 2 2" xfId="49253"/>
    <cellStyle name="강조색3 2 2 2 2" xfId="49254"/>
    <cellStyle name="강조색3 2 2 2 3" xfId="49255"/>
    <cellStyle name="강조색3 2 2 2 4" xfId="49256"/>
    <cellStyle name="강조색3 2 2 3" xfId="49257"/>
    <cellStyle name="강조색3 2 2 4" xfId="49258"/>
    <cellStyle name="강조색3 2 2 5" xfId="49259"/>
    <cellStyle name="강조색3 2 2 6" xfId="49260"/>
    <cellStyle name="강조색3 2 3" xfId="49261"/>
    <cellStyle name="강조색3 2 4" xfId="49262"/>
    <cellStyle name="강조색3 2 5" xfId="49263"/>
    <cellStyle name="강조색3 2 6" xfId="49264"/>
    <cellStyle name="강조색3 3" xfId="49265"/>
    <cellStyle name="강조색3 4" xfId="49266"/>
    <cellStyle name="강조색3 5" xfId="49267"/>
    <cellStyle name="강조색3 6" xfId="49268"/>
    <cellStyle name="강조색4 2" xfId="49269"/>
    <cellStyle name="강조색4 2 2" xfId="49270"/>
    <cellStyle name="강조색4 2 2 2" xfId="49271"/>
    <cellStyle name="강조색4 2 2 2 2" xfId="49272"/>
    <cellStyle name="강조색4 2 2 2 3" xfId="49273"/>
    <cellStyle name="강조색4 2 2 2 4" xfId="49274"/>
    <cellStyle name="강조색4 2 2 3" xfId="49275"/>
    <cellStyle name="강조색4 2 2 4" xfId="49276"/>
    <cellStyle name="강조색4 2 2 5" xfId="49277"/>
    <cellStyle name="강조색4 2 2 6" xfId="49278"/>
    <cellStyle name="강조색4 2 3" xfId="49279"/>
    <cellStyle name="강조색4 2 4" xfId="49280"/>
    <cellStyle name="강조색4 2 5" xfId="49281"/>
    <cellStyle name="강조색4 2 6" xfId="49282"/>
    <cellStyle name="강조색4 3" xfId="49283"/>
    <cellStyle name="강조색4 4" xfId="49284"/>
    <cellStyle name="강조색4 5" xfId="49285"/>
    <cellStyle name="강조색4 6" xfId="49286"/>
    <cellStyle name="강조색5 2" xfId="49287"/>
    <cellStyle name="강조색5 2 2" xfId="49288"/>
    <cellStyle name="강조색5 2 2 2" xfId="49289"/>
    <cellStyle name="강조색5 2 2 2 2" xfId="49290"/>
    <cellStyle name="강조색5 2 2 2 3" xfId="49291"/>
    <cellStyle name="강조색5 2 2 2 4" xfId="49292"/>
    <cellStyle name="강조색5 2 2 3" xfId="49293"/>
    <cellStyle name="강조색5 2 2 4" xfId="49294"/>
    <cellStyle name="강조색5 2 2 5" xfId="49295"/>
    <cellStyle name="강조색5 2 2 6" xfId="49296"/>
    <cellStyle name="강조색5 2 3" xfId="49297"/>
    <cellStyle name="강조색5 2 4" xfId="49298"/>
    <cellStyle name="강조색5 2 5" xfId="49299"/>
    <cellStyle name="강조색5 2 6" xfId="49300"/>
    <cellStyle name="강조색5 3" xfId="49301"/>
    <cellStyle name="강조색5 4" xfId="49302"/>
    <cellStyle name="강조색5 5" xfId="49303"/>
    <cellStyle name="강조색5 6" xfId="49304"/>
    <cellStyle name="강조색6 2" xfId="49305"/>
    <cellStyle name="강조색6 2 2" xfId="49306"/>
    <cellStyle name="강조색6 2 2 2" xfId="49307"/>
    <cellStyle name="강조색6 2 2 2 2" xfId="49308"/>
    <cellStyle name="강조색6 2 2 2 3" xfId="49309"/>
    <cellStyle name="강조색6 2 2 2 4" xfId="49310"/>
    <cellStyle name="강조색6 2 2 3" xfId="49311"/>
    <cellStyle name="강조색6 2 2 4" xfId="49312"/>
    <cellStyle name="강조색6 2 2 5" xfId="49313"/>
    <cellStyle name="강조색6 2 2 6" xfId="49314"/>
    <cellStyle name="강조색6 2 3" xfId="49315"/>
    <cellStyle name="강조색6 2 4" xfId="49316"/>
    <cellStyle name="강조색6 2 5" xfId="49317"/>
    <cellStyle name="강조색6 2 6" xfId="49318"/>
    <cellStyle name="강조색6 3" xfId="49319"/>
    <cellStyle name="강조색6 4" xfId="49320"/>
    <cellStyle name="강조색6 5" xfId="49321"/>
    <cellStyle name="강조색6 6" xfId="49322"/>
    <cellStyle name="갬" xfId="49323"/>
    <cellStyle name="갬 2" xfId="49324"/>
    <cellStyle name="갬 2 2" xfId="49325"/>
    <cellStyle name="갬 2 3" xfId="49326"/>
    <cellStyle name="갬 2 4" xfId="49327"/>
    <cellStyle name="갬 2 5" xfId="49328"/>
    <cellStyle name="갬 3" xfId="49329"/>
    <cellStyle name="갬 4" xfId="49330"/>
    <cellStyle name="갬 5" xfId="49331"/>
    <cellStyle name="갬 6" xfId="49332"/>
    <cellStyle name="경고문 2" xfId="49333"/>
    <cellStyle name="경고문 2 2" xfId="49334"/>
    <cellStyle name="경고문 2 2 2" xfId="49335"/>
    <cellStyle name="경고문 2 2 2 2" xfId="49336"/>
    <cellStyle name="경고문 2 2 2 3" xfId="49337"/>
    <cellStyle name="경고문 2 2 2 4" xfId="49338"/>
    <cellStyle name="경고문 2 2 3" xfId="49339"/>
    <cellStyle name="경고문 2 2 4" xfId="49340"/>
    <cellStyle name="경고문 2 2 5" xfId="49341"/>
    <cellStyle name="경고문 2 2 6" xfId="49342"/>
    <cellStyle name="경고문 2 3" xfId="49343"/>
    <cellStyle name="경고문 2 4" xfId="49344"/>
    <cellStyle name="경고문 2 5" xfId="49345"/>
    <cellStyle name="경고문 2 6" xfId="49346"/>
    <cellStyle name="경고문 3" xfId="49347"/>
    <cellStyle name="경고문 4" xfId="49348"/>
    <cellStyle name="경고문 5" xfId="49349"/>
    <cellStyle name="경고문 6" xfId="49350"/>
    <cellStyle name="계산 2" xfId="49351"/>
    <cellStyle name="계산 2 2" xfId="49352"/>
    <cellStyle name="계산 2 2 2" xfId="49353"/>
    <cellStyle name="계산 2 2 2 2" xfId="49354"/>
    <cellStyle name="계산 2 2 2 2 2" xfId="49355"/>
    <cellStyle name="계산 2 2 2 3" xfId="49356"/>
    <cellStyle name="계산 2 2 2 3 2" xfId="49357"/>
    <cellStyle name="계산 2 2 2 4" xfId="49358"/>
    <cellStyle name="계산 2 2 3" xfId="49359"/>
    <cellStyle name="계산 2 2 3 2" xfId="49360"/>
    <cellStyle name="계산 2 2 4" xfId="49361"/>
    <cellStyle name="계산 2 2 4 2" xfId="49362"/>
    <cellStyle name="계산 2 2 5" xfId="49363"/>
    <cellStyle name="계산 2 2 6" xfId="49364"/>
    <cellStyle name="계산 2 2 7" xfId="49365"/>
    <cellStyle name="계산 2 3" xfId="49366"/>
    <cellStyle name="계산 2 3 2" xfId="49367"/>
    <cellStyle name="계산 2 4" xfId="49368"/>
    <cellStyle name="계산 2 4 2" xfId="49369"/>
    <cellStyle name="계산 2 5" xfId="49370"/>
    <cellStyle name="계산 2 6" xfId="49371"/>
    <cellStyle name="계산 2 7" xfId="49372"/>
    <cellStyle name="계산 3" xfId="49373"/>
    <cellStyle name="계산 4" xfId="49374"/>
    <cellStyle name="계산 5" xfId="49375"/>
    <cellStyle name="계산 6" xfId="49376"/>
    <cellStyle name="고정소숫점" xfId="49377"/>
    <cellStyle name="고정소숫점 2" xfId="49378"/>
    <cellStyle name="고정소숫점 2 2" xfId="49379"/>
    <cellStyle name="고정소숫점 2 3" xfId="49380"/>
    <cellStyle name="고정소숫점 2 4" xfId="49381"/>
    <cellStyle name="고정소숫점 3" xfId="49382"/>
    <cellStyle name="고정소숫점 4" xfId="49383"/>
    <cellStyle name="고정소숫점 5" xfId="49384"/>
    <cellStyle name="고정소숫점 6" xfId="49385"/>
    <cellStyle name="고정출력1" xfId="49386"/>
    <cellStyle name="고정출력1 10" xfId="49387"/>
    <cellStyle name="고정출력1 11" xfId="49388"/>
    <cellStyle name="고정출력1 12" xfId="49389"/>
    <cellStyle name="고정출력1 13" xfId="49390"/>
    <cellStyle name="고정출력1 14" xfId="49391"/>
    <cellStyle name="고정출력1 15" xfId="49392"/>
    <cellStyle name="고정출력1 16" xfId="49393"/>
    <cellStyle name="고정출력1 17" xfId="49394"/>
    <cellStyle name="고정출력1 18" xfId="49395"/>
    <cellStyle name="고정출력1 19" xfId="49396"/>
    <cellStyle name="고정출력1 2" xfId="49397"/>
    <cellStyle name="고정출력1 2 2" xfId="49398"/>
    <cellStyle name="고정출력1 2 3" xfId="49399"/>
    <cellStyle name="고정출력1 2 4" xfId="49400"/>
    <cellStyle name="고정출력1 2 5" xfId="49401"/>
    <cellStyle name="고정출력1 20" xfId="49402"/>
    <cellStyle name="고정출력1 21" xfId="49403"/>
    <cellStyle name="고정출력1 22" xfId="49404"/>
    <cellStyle name="고정출력1 23" xfId="49405"/>
    <cellStyle name="고정출력1 24" xfId="49406"/>
    <cellStyle name="고정출력1 25" xfId="49407"/>
    <cellStyle name="고정출력1 26" xfId="49408"/>
    <cellStyle name="고정출력1 27" xfId="49409"/>
    <cellStyle name="고정출력1 3" xfId="49410"/>
    <cellStyle name="고정출력1 4" xfId="49411"/>
    <cellStyle name="고정출력1 5" xfId="49412"/>
    <cellStyle name="고정출력1 6" xfId="49413"/>
    <cellStyle name="고정출력1 7" xfId="49414"/>
    <cellStyle name="고정출력1 8" xfId="49415"/>
    <cellStyle name="고정출력1 9" xfId="49416"/>
    <cellStyle name="고정출력2" xfId="49417"/>
    <cellStyle name="고정출력2 10" xfId="49418"/>
    <cellStyle name="고정출력2 11" xfId="49419"/>
    <cellStyle name="고정출력2 12" xfId="49420"/>
    <cellStyle name="고정출력2 13" xfId="49421"/>
    <cellStyle name="고정출력2 14" xfId="49422"/>
    <cellStyle name="고정출력2 15" xfId="49423"/>
    <cellStyle name="고정출력2 16" xfId="49424"/>
    <cellStyle name="고정출력2 17" xfId="49425"/>
    <cellStyle name="고정출력2 18" xfId="49426"/>
    <cellStyle name="고정출력2 19" xfId="49427"/>
    <cellStyle name="고정출력2 2" xfId="49428"/>
    <cellStyle name="고정출력2 2 2" xfId="49429"/>
    <cellStyle name="고정출력2 2 3" xfId="49430"/>
    <cellStyle name="고정출력2 2 4" xfId="49431"/>
    <cellStyle name="고정출력2 2 5" xfId="49432"/>
    <cellStyle name="고정출력2 20" xfId="49433"/>
    <cellStyle name="고정출력2 21" xfId="49434"/>
    <cellStyle name="고정출력2 22" xfId="49435"/>
    <cellStyle name="고정출력2 23" xfId="49436"/>
    <cellStyle name="고정출력2 24" xfId="49437"/>
    <cellStyle name="고정출력2 25" xfId="49438"/>
    <cellStyle name="고정출력2 26" xfId="49439"/>
    <cellStyle name="고정출력2 27" xfId="49440"/>
    <cellStyle name="고정출력2 3" xfId="49441"/>
    <cellStyle name="고정출력2 4" xfId="49442"/>
    <cellStyle name="고정출력2 5" xfId="49443"/>
    <cellStyle name="고정출력2 6" xfId="49444"/>
    <cellStyle name="고정출력2 7" xfId="49445"/>
    <cellStyle name="고정출력2 8" xfId="49446"/>
    <cellStyle name="고정출력2 9" xfId="49447"/>
    <cellStyle name="나쁨 2" xfId="49448"/>
    <cellStyle name="나쁨 2 2" xfId="49449"/>
    <cellStyle name="나쁨 2 2 2" xfId="49450"/>
    <cellStyle name="나쁨 2 2 2 2" xfId="49451"/>
    <cellStyle name="나쁨 2 2 2 3" xfId="49452"/>
    <cellStyle name="나쁨 2 2 2 4" xfId="49453"/>
    <cellStyle name="나쁨 2 2 3" xfId="49454"/>
    <cellStyle name="나쁨 2 2 4" xfId="49455"/>
    <cellStyle name="나쁨 2 2 5" xfId="49456"/>
    <cellStyle name="나쁨 2 2 6" xfId="49457"/>
    <cellStyle name="나쁨 2 3" xfId="49458"/>
    <cellStyle name="나쁨 2 4" xfId="49459"/>
    <cellStyle name="나쁨 2 5" xfId="49460"/>
    <cellStyle name="나쁨 2 6" xfId="49461"/>
    <cellStyle name="나쁨 3" xfId="49462"/>
    <cellStyle name="나쁨 4" xfId="49463"/>
    <cellStyle name="나쁨 5" xfId="49464"/>
    <cellStyle name="나쁨 6" xfId="49465"/>
    <cellStyle name="날짜" xfId="49466"/>
    <cellStyle name="날짜 10" xfId="49467"/>
    <cellStyle name="날짜 11" xfId="49468"/>
    <cellStyle name="날짜 12" xfId="49469"/>
    <cellStyle name="날짜 13" xfId="49470"/>
    <cellStyle name="날짜 14" xfId="49471"/>
    <cellStyle name="날짜 15" xfId="49472"/>
    <cellStyle name="날짜 16" xfId="49473"/>
    <cellStyle name="날짜 17" xfId="49474"/>
    <cellStyle name="날짜 18" xfId="49475"/>
    <cellStyle name="날짜 19" xfId="49476"/>
    <cellStyle name="날짜 2" xfId="49477"/>
    <cellStyle name="날짜 2 2" xfId="49478"/>
    <cellStyle name="날짜 2 3" xfId="49479"/>
    <cellStyle name="날짜 2 4" xfId="49480"/>
    <cellStyle name="날짜 2 5" xfId="49481"/>
    <cellStyle name="날짜 20" xfId="49482"/>
    <cellStyle name="날짜 21" xfId="49483"/>
    <cellStyle name="날짜 22" xfId="49484"/>
    <cellStyle name="날짜 23" xfId="49485"/>
    <cellStyle name="날짜 24" xfId="49486"/>
    <cellStyle name="날짜 25" xfId="49487"/>
    <cellStyle name="날짜 26" xfId="49488"/>
    <cellStyle name="날짜 27" xfId="49489"/>
    <cellStyle name="날짜 3" xfId="49490"/>
    <cellStyle name="날짜 4" xfId="49491"/>
    <cellStyle name="날짜 5" xfId="49492"/>
    <cellStyle name="날짜 6" xfId="49493"/>
    <cellStyle name="날짜 7" xfId="49494"/>
    <cellStyle name="날짜 8" xfId="49495"/>
    <cellStyle name="날짜 9" xfId="49496"/>
    <cellStyle name="달러" xfId="49497"/>
    <cellStyle name="달러 10" xfId="49498"/>
    <cellStyle name="달러 11" xfId="49499"/>
    <cellStyle name="달러 12" xfId="49500"/>
    <cellStyle name="달러 13" xfId="49501"/>
    <cellStyle name="달러 14" xfId="49502"/>
    <cellStyle name="달러 15" xfId="49503"/>
    <cellStyle name="달러 16" xfId="49504"/>
    <cellStyle name="달러 17" xfId="49505"/>
    <cellStyle name="달러 18" xfId="49506"/>
    <cellStyle name="달러 19" xfId="49507"/>
    <cellStyle name="달러 2" xfId="49508"/>
    <cellStyle name="달러 2 2" xfId="49509"/>
    <cellStyle name="달러 2 3" xfId="49510"/>
    <cellStyle name="달러 2 4" xfId="49511"/>
    <cellStyle name="달러 2 5" xfId="49512"/>
    <cellStyle name="달러 20" xfId="49513"/>
    <cellStyle name="달러 21" xfId="49514"/>
    <cellStyle name="달러 22" xfId="49515"/>
    <cellStyle name="달러 23" xfId="49516"/>
    <cellStyle name="달러 24" xfId="49517"/>
    <cellStyle name="달러 25" xfId="49518"/>
    <cellStyle name="달러 26" xfId="49519"/>
    <cellStyle name="달러 27" xfId="49520"/>
    <cellStyle name="달러 3" xfId="49521"/>
    <cellStyle name="달러 4" xfId="49522"/>
    <cellStyle name="달러 5" xfId="49523"/>
    <cellStyle name="달러 6" xfId="49524"/>
    <cellStyle name="달러 7" xfId="49525"/>
    <cellStyle name="달러 8" xfId="49526"/>
    <cellStyle name="달러 9" xfId="49527"/>
    <cellStyle name="뒤에 오는 하이퍼링크" xfId="49528"/>
    <cellStyle name="뒤에 오는 하이퍼링크 2" xfId="49529"/>
    <cellStyle name="뒤에 오는 하이퍼링크 2 2" xfId="49530"/>
    <cellStyle name="뒤에 오는 하이퍼링크 2 3" xfId="49531"/>
    <cellStyle name="뒤에 오는 하이퍼링크 2 4" xfId="49532"/>
    <cellStyle name="뒤에 오는 하이퍼링크 2 5" xfId="49533"/>
    <cellStyle name="뒤에 오는 하이퍼링크 3" xfId="49534"/>
    <cellStyle name="뒤에 오는 하이퍼링크 4" xfId="49535"/>
    <cellStyle name="뒤에 오는 하이퍼링크 5" xfId="49536"/>
    <cellStyle name="뒤에 오는 하이퍼링크 6" xfId="49537"/>
    <cellStyle name="똿뗦먛귟 [0.00]_PRODUCT DETAIL Q1" xfId="49538"/>
    <cellStyle name="똿뗦먛귟_PRODUCT DETAIL Q1" xfId="49539"/>
    <cellStyle name="메모 2" xfId="49540"/>
    <cellStyle name="메모 2 2" xfId="49541"/>
    <cellStyle name="메모 2 2 2" xfId="49542"/>
    <cellStyle name="메모 2 2 2 2" xfId="49543"/>
    <cellStyle name="메모 2 2 2 2 2" xfId="49544"/>
    <cellStyle name="메모 2 2 2 3" xfId="49545"/>
    <cellStyle name="메모 2 2 2 3 2" xfId="49546"/>
    <cellStyle name="메모 2 2 2 4" xfId="49547"/>
    <cellStyle name="메모 2 2 3" xfId="49548"/>
    <cellStyle name="메모 2 2 3 2" xfId="49549"/>
    <cellStyle name="메모 2 2 4" xfId="49550"/>
    <cellStyle name="메모 2 2 4 2" xfId="49551"/>
    <cellStyle name="메모 2 2 5" xfId="49552"/>
    <cellStyle name="메모 2 2 6" xfId="49553"/>
    <cellStyle name="메모 2 2 7" xfId="49554"/>
    <cellStyle name="메모 2 3" xfId="49555"/>
    <cellStyle name="메모 2 3 2" xfId="49556"/>
    <cellStyle name="메모 2 4" xfId="49557"/>
    <cellStyle name="메모 2 4 2" xfId="49558"/>
    <cellStyle name="메모 2 5" xfId="49559"/>
    <cellStyle name="메모 2 6" xfId="49560"/>
    <cellStyle name="메모 2 7" xfId="49561"/>
    <cellStyle name="메모 3" xfId="49562"/>
    <cellStyle name="메모 4" xfId="49563"/>
    <cellStyle name="메모 5" xfId="49564"/>
    <cellStyle name="메모 6" xfId="49565"/>
    <cellStyle name="믅됞 [0.00]_PRODUCT DETAIL Q1" xfId="49566"/>
    <cellStyle name="믅됞_PRODUCT DETAIL Q1" xfId="49567"/>
    <cellStyle name="백분율 2" xfId="49568"/>
    <cellStyle name="백분율 2 10" xfId="49569"/>
    <cellStyle name="백분율 2 11" xfId="49570"/>
    <cellStyle name="백분율 2 12" xfId="49571"/>
    <cellStyle name="백분율 2 13" xfId="49572"/>
    <cellStyle name="백분율 2 14" xfId="49573"/>
    <cellStyle name="백분율 2 2" xfId="49574"/>
    <cellStyle name="백분율 2 2 2" xfId="49575"/>
    <cellStyle name="백분율 2 2 3" xfId="49576"/>
    <cellStyle name="백분율 2 2 4" xfId="49577"/>
    <cellStyle name="백분율 2 2 5" xfId="49578"/>
    <cellStyle name="백분율 2 2 6" xfId="49579"/>
    <cellStyle name="백분율 2 3" xfId="49580"/>
    <cellStyle name="백분율 2 3 2" xfId="49581"/>
    <cellStyle name="백분율 2 4" xfId="49582"/>
    <cellStyle name="백분율 2 5" xfId="49583"/>
    <cellStyle name="백분율 2 6" xfId="49584"/>
    <cellStyle name="백분율 2 7" xfId="49585"/>
    <cellStyle name="백분율 2 8" xfId="49586"/>
    <cellStyle name="백분율 2 9" xfId="49587"/>
    <cellStyle name="백분율 3" xfId="49588"/>
    <cellStyle name="백분율 3 2" xfId="49589"/>
    <cellStyle name="백분율 3 2 2" xfId="49590"/>
    <cellStyle name="백분율 3 2 3" xfId="49591"/>
    <cellStyle name="백분율 3 2 4" xfId="49592"/>
    <cellStyle name="백분율 3 2 5" xfId="49593"/>
    <cellStyle name="백분율 3 3" xfId="49594"/>
    <cellStyle name="백분율 3 3 2" xfId="49595"/>
    <cellStyle name="백분율 3 3 3" xfId="49596"/>
    <cellStyle name="백분율 3 3 4" xfId="49597"/>
    <cellStyle name="백분율 3 3 5" xfId="49598"/>
    <cellStyle name="백분율 3 4" xfId="49599"/>
    <cellStyle name="백분율 3 4 2" xfId="49600"/>
    <cellStyle name="백분율 3 5" xfId="49601"/>
    <cellStyle name="백분율 3 6" xfId="49602"/>
    <cellStyle name="백분율 3 7" xfId="49603"/>
    <cellStyle name="백분율 4" xfId="49604"/>
    <cellStyle name="백분율 4 2" xfId="49605"/>
    <cellStyle name="백분율 4 2 2" xfId="49606"/>
    <cellStyle name="백분율 4 2 3" xfId="49607"/>
    <cellStyle name="백분율 4 2 4" xfId="49608"/>
    <cellStyle name="백분율 4 2 5" xfId="49609"/>
    <cellStyle name="백분율 4 2 6" xfId="49610"/>
    <cellStyle name="백분율 4 3" xfId="49611"/>
    <cellStyle name="백분율 4 4" xfId="49612"/>
    <cellStyle name="백분율 4 5" xfId="49613"/>
    <cellStyle name="백분율 4 6" xfId="49614"/>
    <cellStyle name="보통 2" xfId="49615"/>
    <cellStyle name="보통 2 2" xfId="49616"/>
    <cellStyle name="보통 2 2 2" xfId="49617"/>
    <cellStyle name="보통 2 2 2 2" xfId="49618"/>
    <cellStyle name="보통 2 2 2 3" xfId="49619"/>
    <cellStyle name="보통 2 2 2 4" xfId="49620"/>
    <cellStyle name="보통 2 2 3" xfId="49621"/>
    <cellStyle name="보통 2 2 4" xfId="49622"/>
    <cellStyle name="보통 2 2 5" xfId="49623"/>
    <cellStyle name="보통 2 2 6" xfId="49624"/>
    <cellStyle name="보통 2 3" xfId="49625"/>
    <cellStyle name="보통 2 4" xfId="49626"/>
    <cellStyle name="보통 2 5" xfId="49627"/>
    <cellStyle name="보통 2 6" xfId="49628"/>
    <cellStyle name="보통 3" xfId="49629"/>
    <cellStyle name="보통 4" xfId="49630"/>
    <cellStyle name="보통 5" xfId="49631"/>
    <cellStyle name="보통 6" xfId="49632"/>
    <cellStyle name="뷭?_BOOKSHIP" xfId="49633"/>
    <cellStyle name="뻔" xfId="49634"/>
    <cellStyle name="뻔 2" xfId="49635"/>
    <cellStyle name="뻔 2 2" xfId="49636"/>
    <cellStyle name="뻔 2 3" xfId="49637"/>
    <cellStyle name="뻔 2 4" xfId="49638"/>
    <cellStyle name="뻔 2 5" xfId="49639"/>
    <cellStyle name="뻔 3" xfId="49640"/>
    <cellStyle name="뻔 4" xfId="49641"/>
    <cellStyle name="뻔 5" xfId="49642"/>
    <cellStyle name="뻔 6" xfId="49643"/>
    <cellStyle name="설명 텍스트 2" xfId="49644"/>
    <cellStyle name="설명 텍스트 2 2" xfId="49645"/>
    <cellStyle name="설명 텍스트 2 2 2" xfId="49646"/>
    <cellStyle name="설명 텍스트 2 2 2 2" xfId="49647"/>
    <cellStyle name="설명 텍스트 2 2 2 3" xfId="49648"/>
    <cellStyle name="설명 텍스트 2 2 2 4" xfId="49649"/>
    <cellStyle name="설명 텍스트 2 2 3" xfId="49650"/>
    <cellStyle name="설명 텍스트 2 2 4" xfId="49651"/>
    <cellStyle name="설명 텍스트 2 2 5" xfId="49652"/>
    <cellStyle name="설명 텍스트 2 2 6" xfId="49653"/>
    <cellStyle name="설명 텍스트 2 3" xfId="49654"/>
    <cellStyle name="설명 텍스트 2 4" xfId="49655"/>
    <cellStyle name="설명 텍스트 2 5" xfId="49656"/>
    <cellStyle name="설명 텍스트 2 6" xfId="49657"/>
    <cellStyle name="설명 텍스트 3" xfId="49658"/>
    <cellStyle name="설명 텍스트 4" xfId="49659"/>
    <cellStyle name="설명 텍스트 5" xfId="49660"/>
    <cellStyle name="설명 텍스트 6" xfId="49661"/>
    <cellStyle name="셀 확인 2" xfId="49662"/>
    <cellStyle name="셀 확인 2 2" xfId="49663"/>
    <cellStyle name="셀 확인 2 2 2" xfId="49664"/>
    <cellStyle name="셀 확인 2 2 2 2" xfId="49665"/>
    <cellStyle name="셀 확인 2 2 2 3" xfId="49666"/>
    <cellStyle name="셀 확인 2 2 2 4" xfId="49667"/>
    <cellStyle name="셀 확인 2 2 3" xfId="49668"/>
    <cellStyle name="셀 확인 2 2 4" xfId="49669"/>
    <cellStyle name="셀 확인 2 2 5" xfId="49670"/>
    <cellStyle name="셀 확인 2 2 6" xfId="49671"/>
    <cellStyle name="셀 확인 2 3" xfId="49672"/>
    <cellStyle name="셀 확인 2 4" xfId="49673"/>
    <cellStyle name="셀 확인 2 5" xfId="49674"/>
    <cellStyle name="셀 확인 2 6" xfId="49675"/>
    <cellStyle name="셀 확인 3" xfId="49676"/>
    <cellStyle name="셀 확인 4" xfId="49677"/>
    <cellStyle name="셀 확인 5" xfId="49678"/>
    <cellStyle name="셀 확인 6" xfId="49679"/>
    <cellStyle name="숫자(R)" xfId="49680"/>
    <cellStyle name="숫자(R) 2" xfId="49681"/>
    <cellStyle name="숫자(R) 2 2" xfId="49682"/>
    <cellStyle name="숫자(R) 2 3" xfId="49683"/>
    <cellStyle name="숫자(R) 2 4" xfId="49684"/>
    <cellStyle name="숫자(R) 3" xfId="49685"/>
    <cellStyle name="숫자(R) 4" xfId="49686"/>
    <cellStyle name="숫자(R) 5" xfId="49687"/>
    <cellStyle name="숫자(R) 6" xfId="49688"/>
    <cellStyle name="쉼표" xfId="6" builtinId="3"/>
    <cellStyle name="쉼표 [0] 2" xfId="49689"/>
    <cellStyle name="쉼표 [0] 2 10" xfId="49690"/>
    <cellStyle name="쉼표 [0] 2 2" xfId="49691"/>
    <cellStyle name="쉼표 [0] 2 2 10" xfId="49692"/>
    <cellStyle name="쉼표 [0] 2 2 11" xfId="49693"/>
    <cellStyle name="쉼표 [0] 2 2 12" xfId="49694"/>
    <cellStyle name="쉼표 [0] 2 2 13" xfId="49695"/>
    <cellStyle name="쉼표 [0] 2 2 14" xfId="49696"/>
    <cellStyle name="쉼표 [0] 2 2 15" xfId="49697"/>
    <cellStyle name="쉼표 [0] 2 2 16" xfId="49698"/>
    <cellStyle name="쉼표 [0] 2 2 2" xfId="49699"/>
    <cellStyle name="쉼표 [0] 2 2 2 2" xfId="49700"/>
    <cellStyle name="쉼표 [0] 2 2 2 3" xfId="49701"/>
    <cellStyle name="쉼표 [0] 2 2 2 4" xfId="49702"/>
    <cellStyle name="쉼표 [0] 2 2 2 5" xfId="49703"/>
    <cellStyle name="쉼표 [0] 2 2 3" xfId="49704"/>
    <cellStyle name="쉼표 [0] 2 2 4" xfId="49705"/>
    <cellStyle name="쉼표 [0] 2 2 5" xfId="49706"/>
    <cellStyle name="쉼표 [0] 2 2 6" xfId="49707"/>
    <cellStyle name="쉼표 [0] 2 2 7" xfId="49708"/>
    <cellStyle name="쉼표 [0] 2 2 8" xfId="49709"/>
    <cellStyle name="쉼표 [0] 2 2 9" xfId="49710"/>
    <cellStyle name="쉼표 [0] 2 3" xfId="49711"/>
    <cellStyle name="쉼표 [0] 2 3 2" xfId="49712"/>
    <cellStyle name="쉼표 [0] 2 3 3" xfId="49713"/>
    <cellStyle name="쉼표 [0] 2 3 4" xfId="49714"/>
    <cellStyle name="쉼표 [0] 2 4" xfId="49715"/>
    <cellStyle name="쉼표 [0] 2 5" xfId="49716"/>
    <cellStyle name="쉼표 [0] 2 6" xfId="49717"/>
    <cellStyle name="쉼표 [0] 2 7" xfId="49718"/>
    <cellStyle name="쉼표 [0] 2 8" xfId="49719"/>
    <cellStyle name="쉼표 [0] 2 9" xfId="49720"/>
    <cellStyle name="쉼표 [0] 3" xfId="49721"/>
    <cellStyle name="쉼표 [0] 5" xfId="49722"/>
    <cellStyle name="쉼표 [0] 5 2" xfId="49723"/>
    <cellStyle name="쉼표 [0] 5 3" xfId="49724"/>
    <cellStyle name="쉼표 [0] 5 4" xfId="49725"/>
    <cellStyle name="쉼표 [0] 5 5" xfId="49726"/>
    <cellStyle name="쉼표 2" xfId="49727"/>
    <cellStyle name="슘" xfId="49728"/>
    <cellStyle name="슘 2" xfId="49729"/>
    <cellStyle name="슘 2 2" xfId="49730"/>
    <cellStyle name="슘 2 3" xfId="49731"/>
    <cellStyle name="슘 2 4" xfId="49732"/>
    <cellStyle name="슘 2 5" xfId="49733"/>
    <cellStyle name="슘 3" xfId="49734"/>
    <cellStyle name="슘 4" xfId="49735"/>
    <cellStyle name="슘 5" xfId="49736"/>
    <cellStyle name="슘 6" xfId="49737"/>
    <cellStyle name="스타일 1" xfId="49738"/>
    <cellStyle name="스타일 1 2" xfId="49739"/>
    <cellStyle name="스타일 1 2 2" xfId="49740"/>
    <cellStyle name="스타일 1 2 2 2" xfId="49741"/>
    <cellStyle name="스타일 1 2 2 3" xfId="49742"/>
    <cellStyle name="스타일 1 2 2 4" xfId="49743"/>
    <cellStyle name="스타일 1 2 3" xfId="49744"/>
    <cellStyle name="스타일 1 2 4" xfId="49745"/>
    <cellStyle name="스타일 1 2 5" xfId="49746"/>
    <cellStyle name="스타일 1 2 6" xfId="49747"/>
    <cellStyle name="스타일 1 3" xfId="49748"/>
    <cellStyle name="스타일 1 4" xfId="49749"/>
    <cellStyle name="스타일 1 5" xfId="49750"/>
    <cellStyle name="스타일 1 6" xfId="49751"/>
    <cellStyle name="스타일 10" xfId="49752"/>
    <cellStyle name="스타일 10 2" xfId="49753"/>
    <cellStyle name="스타일 10 3" xfId="49754"/>
    <cellStyle name="스타일 10 4" xfId="49755"/>
    <cellStyle name="스타일 10 5" xfId="49756"/>
    <cellStyle name="스타일 11" xfId="49757"/>
    <cellStyle name="스타일 11 2" xfId="49758"/>
    <cellStyle name="스타일 11 3" xfId="49759"/>
    <cellStyle name="스타일 11 4" xfId="49760"/>
    <cellStyle name="스타일 11 5" xfId="49761"/>
    <cellStyle name="스타일 12" xfId="49762"/>
    <cellStyle name="스타일 12 2" xfId="49763"/>
    <cellStyle name="스타일 12 3" xfId="49764"/>
    <cellStyle name="스타일 12 4" xfId="49765"/>
    <cellStyle name="스타일 12 5" xfId="49766"/>
    <cellStyle name="스타일 2" xfId="49767"/>
    <cellStyle name="스타일 2 2" xfId="49768"/>
    <cellStyle name="스타일 2 2 2" xfId="49769"/>
    <cellStyle name="스타일 2 2 2 2" xfId="49770"/>
    <cellStyle name="스타일 2 2 2 3" xfId="49771"/>
    <cellStyle name="스타일 2 2 2 4" xfId="49772"/>
    <cellStyle name="스타일 2 2 3" xfId="49773"/>
    <cellStyle name="스타일 2 2 4" xfId="49774"/>
    <cellStyle name="스타일 2 2 5" xfId="49775"/>
    <cellStyle name="스타일 2 2 6" xfId="49776"/>
    <cellStyle name="스타일 2 3" xfId="49777"/>
    <cellStyle name="스타일 2 4" xfId="49778"/>
    <cellStyle name="스타일 2 5" xfId="49779"/>
    <cellStyle name="스타일 2 6" xfId="49780"/>
    <cellStyle name="스타일 3" xfId="49781"/>
    <cellStyle name="스타일 3 2" xfId="49782"/>
    <cellStyle name="스타일 3 2 2" xfId="49783"/>
    <cellStyle name="스타일 3 2 2 2" xfId="49784"/>
    <cellStyle name="스타일 3 2 2 3" xfId="49785"/>
    <cellStyle name="스타일 3 2 2 4" xfId="49786"/>
    <cellStyle name="스타일 3 2 3" xfId="49787"/>
    <cellStyle name="스타일 3 2 4" xfId="49788"/>
    <cellStyle name="스타일 3 2 5" xfId="49789"/>
    <cellStyle name="스타일 3 2 6" xfId="49790"/>
    <cellStyle name="스타일 3 3" xfId="49791"/>
    <cellStyle name="스타일 3 4" xfId="49792"/>
    <cellStyle name="스타일 3 5" xfId="49793"/>
    <cellStyle name="스타일 3 6" xfId="49794"/>
    <cellStyle name="스타일 4" xfId="49795"/>
    <cellStyle name="스타일 4 2" xfId="49796"/>
    <cellStyle name="스타일 4 2 2" xfId="49797"/>
    <cellStyle name="스타일 4 2 3" xfId="49798"/>
    <cellStyle name="스타일 4 2 4" xfId="49799"/>
    <cellStyle name="스타일 4 2 5" xfId="49800"/>
    <cellStyle name="스타일 4 3" xfId="49801"/>
    <cellStyle name="스타일 4 4" xfId="49802"/>
    <cellStyle name="스타일 4 5" xfId="49803"/>
    <cellStyle name="스타일 4 6" xfId="49804"/>
    <cellStyle name="스타일 5" xfId="49805"/>
    <cellStyle name="스타일 5 2" xfId="49806"/>
    <cellStyle name="스타일 5 2 2" xfId="49807"/>
    <cellStyle name="스타일 5 2 3" xfId="49808"/>
    <cellStyle name="스타일 5 2 4" xfId="49809"/>
    <cellStyle name="스타일 5 2 5" xfId="49810"/>
    <cellStyle name="스타일 5 3" xfId="49811"/>
    <cellStyle name="스타일 5 4" xfId="49812"/>
    <cellStyle name="스타일 5 5" xfId="49813"/>
    <cellStyle name="스타일 5 6" xfId="49814"/>
    <cellStyle name="스타일 6" xfId="49815"/>
    <cellStyle name="스타일 6 2" xfId="49816"/>
    <cellStyle name="스타일 6 2 2" xfId="49817"/>
    <cellStyle name="스타일 6 2 3" xfId="49818"/>
    <cellStyle name="스타일 6 2 4" xfId="49819"/>
    <cellStyle name="스타일 6 2 5" xfId="49820"/>
    <cellStyle name="스타일 6 3" xfId="49821"/>
    <cellStyle name="스타일 6 4" xfId="49822"/>
    <cellStyle name="스타일 6 5" xfId="49823"/>
    <cellStyle name="스타일 6 6" xfId="49824"/>
    <cellStyle name="스타일 7" xfId="49825"/>
    <cellStyle name="스타일 7 2" xfId="49826"/>
    <cellStyle name="스타일 7 3" xfId="49827"/>
    <cellStyle name="스타일 7 4" xfId="49828"/>
    <cellStyle name="스타일 7 5" xfId="49829"/>
    <cellStyle name="스타일 8" xfId="49830"/>
    <cellStyle name="스타일 8 2" xfId="49831"/>
    <cellStyle name="스타일 8 3" xfId="49832"/>
    <cellStyle name="스타일 8 4" xfId="49833"/>
    <cellStyle name="스타일 8 5" xfId="49834"/>
    <cellStyle name="스타일 9" xfId="49835"/>
    <cellStyle name="스타일 9 2" xfId="49836"/>
    <cellStyle name="스타일 9 3" xfId="49837"/>
    <cellStyle name="스타일 9 4" xfId="49838"/>
    <cellStyle name="스타일 9 5" xfId="49839"/>
    <cellStyle name="ㅇ" xfId="49840"/>
    <cellStyle name="ㅇ 2" xfId="49841"/>
    <cellStyle name="ㅇ 3" xfId="49842"/>
    <cellStyle name="ㅇ 4" xfId="49843"/>
    <cellStyle name="ㅇ 5" xfId="49844"/>
    <cellStyle name="연결된 셀 2" xfId="49845"/>
    <cellStyle name="연결된 셀 2 2" xfId="49846"/>
    <cellStyle name="연결된 셀 2 2 2" xfId="49847"/>
    <cellStyle name="연결된 셀 2 2 2 2" xfId="49848"/>
    <cellStyle name="연결된 셀 2 2 2 3" xfId="49849"/>
    <cellStyle name="연결된 셀 2 2 2 4" xfId="49850"/>
    <cellStyle name="연결된 셀 2 2 3" xfId="49851"/>
    <cellStyle name="연결된 셀 2 2 4" xfId="49852"/>
    <cellStyle name="연결된 셀 2 2 5" xfId="49853"/>
    <cellStyle name="연결된 셀 2 2 6" xfId="49854"/>
    <cellStyle name="연결된 셀 2 3" xfId="49855"/>
    <cellStyle name="연결된 셀 2 4" xfId="49856"/>
    <cellStyle name="연결된 셀 2 5" xfId="49857"/>
    <cellStyle name="연결된 셀 2 6" xfId="49858"/>
    <cellStyle name="연결된 셀 3" xfId="49859"/>
    <cellStyle name="연결된 셀 4" xfId="49860"/>
    <cellStyle name="연결된 셀 5" xfId="49861"/>
    <cellStyle name="연결된 셀 6" xfId="49862"/>
    <cellStyle name="열어본 하이퍼링크" xfId="49863"/>
    <cellStyle name="열어본 하이퍼링크 2" xfId="49864"/>
    <cellStyle name="열어본 하이퍼링크 3" xfId="49865"/>
    <cellStyle name="열어본 하이퍼링크 4" xfId="49866"/>
    <cellStyle name="열어본 하이퍼링크 5" xfId="49867"/>
    <cellStyle name="요약 2" xfId="49868"/>
    <cellStyle name="요약 2 2" xfId="49869"/>
    <cellStyle name="요약 2 2 2" xfId="49870"/>
    <cellStyle name="요약 2 2 2 2" xfId="49871"/>
    <cellStyle name="요약 2 2 2 2 2" xfId="49872"/>
    <cellStyle name="요약 2 2 2 3" xfId="49873"/>
    <cellStyle name="요약 2 2 2 3 2" xfId="49874"/>
    <cellStyle name="요약 2 2 2 4" xfId="49875"/>
    <cellStyle name="요약 2 2 3" xfId="49876"/>
    <cellStyle name="요약 2 2 3 2" xfId="49877"/>
    <cellStyle name="요약 2 2 4" xfId="49878"/>
    <cellStyle name="요약 2 2 4 2" xfId="49879"/>
    <cellStyle name="요약 2 2 5" xfId="49880"/>
    <cellStyle name="요약 2 2 6" xfId="49881"/>
    <cellStyle name="요약 2 2 7" xfId="49882"/>
    <cellStyle name="요약 2 3" xfId="49883"/>
    <cellStyle name="요약 2 3 2" xfId="49884"/>
    <cellStyle name="요약 2 4" xfId="49885"/>
    <cellStyle name="요약 2 4 2" xfId="49886"/>
    <cellStyle name="요약 2 5" xfId="49887"/>
    <cellStyle name="요약 2 6" xfId="49888"/>
    <cellStyle name="요약 2 7" xfId="49889"/>
    <cellStyle name="요약 3" xfId="49890"/>
    <cellStyle name="요약 4" xfId="49891"/>
    <cellStyle name="요약 5" xfId="49892"/>
    <cellStyle name="요약 6" xfId="49893"/>
    <cellStyle name="입력 2" xfId="49894"/>
    <cellStyle name="입력 2 2" xfId="49895"/>
    <cellStyle name="입력 2 2 2" xfId="49896"/>
    <cellStyle name="입력 2 2 2 2" xfId="49897"/>
    <cellStyle name="입력 2 2 2 2 2" xfId="49898"/>
    <cellStyle name="입력 2 2 2 3" xfId="49899"/>
    <cellStyle name="입력 2 2 2 3 2" xfId="49900"/>
    <cellStyle name="입력 2 2 2 4" xfId="49901"/>
    <cellStyle name="입력 2 2 3" xfId="49902"/>
    <cellStyle name="입력 2 2 3 2" xfId="49903"/>
    <cellStyle name="입력 2 2 4" xfId="49904"/>
    <cellStyle name="입력 2 2 4 2" xfId="49905"/>
    <cellStyle name="입력 2 2 5" xfId="49906"/>
    <cellStyle name="입력 2 2 6" xfId="49907"/>
    <cellStyle name="입력 2 2 7" xfId="49908"/>
    <cellStyle name="입력 2 3" xfId="49909"/>
    <cellStyle name="입력 2 3 2" xfId="49910"/>
    <cellStyle name="입력 2 4" xfId="49911"/>
    <cellStyle name="입력 2 4 2" xfId="49912"/>
    <cellStyle name="입력 2 5" xfId="49913"/>
    <cellStyle name="입력 2 6" xfId="49914"/>
    <cellStyle name="입력 2 7" xfId="49915"/>
    <cellStyle name="입력 3" xfId="49916"/>
    <cellStyle name="입력 4" xfId="49917"/>
    <cellStyle name="입력 5" xfId="49918"/>
    <cellStyle name="입력 6" xfId="49919"/>
    <cellStyle name="자리수" xfId="49920"/>
    <cellStyle name="자리수 10" xfId="49921"/>
    <cellStyle name="자리수 11" xfId="49922"/>
    <cellStyle name="자리수 12" xfId="49923"/>
    <cellStyle name="자리수 13" xfId="49924"/>
    <cellStyle name="자리수 14" xfId="49925"/>
    <cellStyle name="자리수 15" xfId="49926"/>
    <cellStyle name="자리수 16" xfId="49927"/>
    <cellStyle name="자리수 17" xfId="49928"/>
    <cellStyle name="자리수 18" xfId="49929"/>
    <cellStyle name="자리수 19" xfId="49930"/>
    <cellStyle name="자리수 2" xfId="49931"/>
    <cellStyle name="자리수 2 2" xfId="49932"/>
    <cellStyle name="자리수 2 3" xfId="49933"/>
    <cellStyle name="자리수 2 4" xfId="49934"/>
    <cellStyle name="자리수 2 5" xfId="49935"/>
    <cellStyle name="자리수 20" xfId="49936"/>
    <cellStyle name="자리수 21" xfId="49937"/>
    <cellStyle name="자리수 22" xfId="49938"/>
    <cellStyle name="자리수 23" xfId="49939"/>
    <cellStyle name="자리수 24" xfId="49940"/>
    <cellStyle name="자리수 25" xfId="49941"/>
    <cellStyle name="자리수 26" xfId="49942"/>
    <cellStyle name="자리수 27" xfId="49943"/>
    <cellStyle name="자리수 3" xfId="49944"/>
    <cellStyle name="자리수 4" xfId="49945"/>
    <cellStyle name="자리수 5" xfId="49946"/>
    <cellStyle name="자리수 6" xfId="49947"/>
    <cellStyle name="자리수 7" xfId="49948"/>
    <cellStyle name="자리수 8" xfId="49949"/>
    <cellStyle name="자리수 9" xfId="49950"/>
    <cellStyle name="자리수0" xfId="49951"/>
    <cellStyle name="자리수0 2" xfId="49952"/>
    <cellStyle name="자리수0 2 2" xfId="49953"/>
    <cellStyle name="자리수0 2 3" xfId="49954"/>
    <cellStyle name="자리수0 2 4" xfId="49955"/>
    <cellStyle name="자리수0 3" xfId="49956"/>
    <cellStyle name="자리수0 4" xfId="49957"/>
    <cellStyle name="자리수0 5" xfId="49958"/>
    <cellStyle name="자리수0 6" xfId="49959"/>
    <cellStyle name="제목 1 2" xfId="49960"/>
    <cellStyle name="제목 1 2 2" xfId="49961"/>
    <cellStyle name="제목 1 2 2 2" xfId="49962"/>
    <cellStyle name="제목 1 2 2 2 2" xfId="49963"/>
    <cellStyle name="제목 1 2 2 2 3" xfId="49964"/>
    <cellStyle name="제목 1 2 2 2 4" xfId="49965"/>
    <cellStyle name="제목 1 2 2 3" xfId="49966"/>
    <cellStyle name="제목 1 2 2 4" xfId="49967"/>
    <cellStyle name="제목 1 2 2 5" xfId="49968"/>
    <cellStyle name="제목 1 2 2 6" xfId="49969"/>
    <cellStyle name="제목 1 2 3" xfId="49970"/>
    <cellStyle name="제목 1 2 4" xfId="49971"/>
    <cellStyle name="제목 1 2 5" xfId="49972"/>
    <cellStyle name="제목 1 2 6" xfId="49973"/>
    <cellStyle name="제목 1 3" xfId="49974"/>
    <cellStyle name="제목 1 4" xfId="49975"/>
    <cellStyle name="제목 1 5" xfId="49976"/>
    <cellStyle name="제목 1 6" xfId="49977"/>
    <cellStyle name="제목 10" xfId="49978"/>
    <cellStyle name="제목 2 2" xfId="49979"/>
    <cellStyle name="제목 2 2 2" xfId="49980"/>
    <cellStyle name="제목 2 2 2 2" xfId="49981"/>
    <cellStyle name="제목 2 2 2 2 2" xfId="49982"/>
    <cellStyle name="제목 2 2 2 2 3" xfId="49983"/>
    <cellStyle name="제목 2 2 2 2 4" xfId="49984"/>
    <cellStyle name="제목 2 2 2 3" xfId="49985"/>
    <cellStyle name="제목 2 2 2 4" xfId="49986"/>
    <cellStyle name="제목 2 2 2 5" xfId="49987"/>
    <cellStyle name="제목 2 2 2 6" xfId="49988"/>
    <cellStyle name="제목 2 2 3" xfId="49989"/>
    <cellStyle name="제목 2 2 4" xfId="49990"/>
    <cellStyle name="제목 2 2 5" xfId="49991"/>
    <cellStyle name="제목 2 2 6" xfId="49992"/>
    <cellStyle name="제목 2 3" xfId="49993"/>
    <cellStyle name="제목 2 4" xfId="49994"/>
    <cellStyle name="제목 2 5" xfId="49995"/>
    <cellStyle name="제목 2 6" xfId="49996"/>
    <cellStyle name="제목 3 2" xfId="49997"/>
    <cellStyle name="제목 3 2 2" xfId="49998"/>
    <cellStyle name="제목 3 2 2 2" xfId="49999"/>
    <cellStyle name="제목 3 2 2 2 2" xfId="50000"/>
    <cellStyle name="제목 3 2 2 2 3" xfId="50001"/>
    <cellStyle name="제목 3 2 2 2 4" xfId="50002"/>
    <cellStyle name="제목 3 2 2 3" xfId="50003"/>
    <cellStyle name="제목 3 2 2 4" xfId="50004"/>
    <cellStyle name="제목 3 2 2 5" xfId="50005"/>
    <cellStyle name="제목 3 2 2 6" xfId="50006"/>
    <cellStyle name="제목 3 2 3" xfId="50007"/>
    <cellStyle name="제목 3 2 4" xfId="50008"/>
    <cellStyle name="제목 3 2 5" xfId="50009"/>
    <cellStyle name="제목 3 2 6" xfId="50010"/>
    <cellStyle name="제목 3 3" xfId="50011"/>
    <cellStyle name="제목 3 4" xfId="50012"/>
    <cellStyle name="제목 3 5" xfId="50013"/>
    <cellStyle name="제목 3 6" xfId="50014"/>
    <cellStyle name="제목 4 2" xfId="50015"/>
    <cellStyle name="제목 4 2 2" xfId="50016"/>
    <cellStyle name="제목 4 2 2 2" xfId="50017"/>
    <cellStyle name="제목 4 2 2 2 2" xfId="50018"/>
    <cellStyle name="제목 4 2 2 2 3" xfId="50019"/>
    <cellStyle name="제목 4 2 2 2 4" xfId="50020"/>
    <cellStyle name="제목 4 2 2 3" xfId="50021"/>
    <cellStyle name="제목 4 2 2 4" xfId="50022"/>
    <cellStyle name="제목 4 2 2 5" xfId="50023"/>
    <cellStyle name="제목 4 2 2 6" xfId="50024"/>
    <cellStyle name="제목 4 2 3" xfId="50025"/>
    <cellStyle name="제목 4 2 4" xfId="50026"/>
    <cellStyle name="제목 4 2 5" xfId="50027"/>
    <cellStyle name="제목 4 2 6" xfId="50028"/>
    <cellStyle name="제목 4 3" xfId="50029"/>
    <cellStyle name="제목 4 4" xfId="50030"/>
    <cellStyle name="제목 4 5" xfId="50031"/>
    <cellStyle name="제목 4 6" xfId="50032"/>
    <cellStyle name="제목 5" xfId="50033"/>
    <cellStyle name="제목 5 2" xfId="50034"/>
    <cellStyle name="제목 5 2 2" xfId="50035"/>
    <cellStyle name="제목 5 2 2 2" xfId="50036"/>
    <cellStyle name="제목 5 2 2 3" xfId="50037"/>
    <cellStyle name="제목 5 2 2 4" xfId="50038"/>
    <cellStyle name="제목 5 2 3" xfId="50039"/>
    <cellStyle name="제목 5 2 4" xfId="50040"/>
    <cellStyle name="제목 5 2 5" xfId="50041"/>
    <cellStyle name="제목 5 2 6" xfId="50042"/>
    <cellStyle name="제목 5 3" xfId="50043"/>
    <cellStyle name="제목 5 4" xfId="50044"/>
    <cellStyle name="제목 5 5" xfId="50045"/>
    <cellStyle name="제목 5 6" xfId="50046"/>
    <cellStyle name="제목 6" xfId="50047"/>
    <cellStyle name="제목 6 2" xfId="50048"/>
    <cellStyle name="제목 6 2 2" xfId="50049"/>
    <cellStyle name="제목 6 2 3" xfId="50050"/>
    <cellStyle name="제목 6 2 4" xfId="50051"/>
    <cellStyle name="제목 6 2 5" xfId="50052"/>
    <cellStyle name="제목 6 3" xfId="50053"/>
    <cellStyle name="제목 6 4" xfId="50054"/>
    <cellStyle name="제목 6 5" xfId="50055"/>
    <cellStyle name="제목 6 6" xfId="50056"/>
    <cellStyle name="제목 7" xfId="50057"/>
    <cellStyle name="제목 8" xfId="50058"/>
    <cellStyle name="제목 9" xfId="50059"/>
    <cellStyle name="좋음 2" xfId="50060"/>
    <cellStyle name="좋음 2 2" xfId="50061"/>
    <cellStyle name="좋음 2 2 2" xfId="50062"/>
    <cellStyle name="좋음 2 2 2 2" xfId="50063"/>
    <cellStyle name="좋음 2 2 2 3" xfId="50064"/>
    <cellStyle name="좋음 2 2 2 4" xfId="50065"/>
    <cellStyle name="좋음 2 2 3" xfId="50066"/>
    <cellStyle name="좋음 2 2 4" xfId="50067"/>
    <cellStyle name="좋음 2 2 5" xfId="50068"/>
    <cellStyle name="좋음 2 2 6" xfId="50069"/>
    <cellStyle name="좋음 2 3" xfId="50070"/>
    <cellStyle name="좋음 2 4" xfId="50071"/>
    <cellStyle name="좋음 2 5" xfId="50072"/>
    <cellStyle name="좋음 2 6" xfId="50073"/>
    <cellStyle name="좋음 3" xfId="50074"/>
    <cellStyle name="좋음 4" xfId="50075"/>
    <cellStyle name="좋음 5" xfId="50076"/>
    <cellStyle name="좋음 6" xfId="50077"/>
    <cellStyle name="지정되지 않음" xfId="50078"/>
    <cellStyle name="지정되지 않음 2" xfId="50079"/>
    <cellStyle name="지정되지 않음 2 2" xfId="50080"/>
    <cellStyle name="지정되지 않음 2 3" xfId="50081"/>
    <cellStyle name="지정되지 않음 2 4" xfId="50082"/>
    <cellStyle name="지정되지 않음 2 5" xfId="50083"/>
    <cellStyle name="지정되지 않음 3" xfId="50084"/>
    <cellStyle name="지정되지 않음 4" xfId="50085"/>
    <cellStyle name="지정되지 않음 5" xfId="50086"/>
    <cellStyle name="지정되지 않음 6" xfId="50087"/>
    <cellStyle name="출력 2" xfId="50088"/>
    <cellStyle name="출력 2 2" xfId="50089"/>
    <cellStyle name="출력 2 2 2" xfId="50090"/>
    <cellStyle name="출력 2 2 2 2" xfId="50091"/>
    <cellStyle name="출력 2 2 2 2 2" xfId="50092"/>
    <cellStyle name="출력 2 2 2 3" xfId="50093"/>
    <cellStyle name="출력 2 2 2 3 2" xfId="50094"/>
    <cellStyle name="출력 2 2 2 4" xfId="50095"/>
    <cellStyle name="출력 2 2 3" xfId="50096"/>
    <cellStyle name="출력 2 2 3 2" xfId="50097"/>
    <cellStyle name="출력 2 2 4" xfId="50098"/>
    <cellStyle name="출력 2 2 4 2" xfId="50099"/>
    <cellStyle name="출력 2 2 5" xfId="50100"/>
    <cellStyle name="출력 2 2 6" xfId="50101"/>
    <cellStyle name="출력 2 2 7" xfId="50102"/>
    <cellStyle name="출력 2 3" xfId="50103"/>
    <cellStyle name="출력 2 3 2" xfId="50104"/>
    <cellStyle name="출력 2 4" xfId="50105"/>
    <cellStyle name="출력 2 4 2" xfId="50106"/>
    <cellStyle name="출력 2 5" xfId="50107"/>
    <cellStyle name="출력 2 6" xfId="50108"/>
    <cellStyle name="출력 2 7" xfId="50109"/>
    <cellStyle name="출력 3" xfId="50110"/>
    <cellStyle name="출력 4" xfId="50111"/>
    <cellStyle name="출력 5" xfId="50112"/>
    <cellStyle name="출력 6" xfId="50113"/>
    <cellStyle name="콤마 [0]_ 견적기준 FLOW " xfId="50114"/>
    <cellStyle name="콤마_ 견적기준 FLOW " xfId="50115"/>
    <cellStyle name="通貨 [0.00]_BKS-ESTIMATE" xfId="50116"/>
    <cellStyle name="통화 [0] 2" xfId="50117"/>
    <cellStyle name="通貨_BKS-ESTIMATE" xfId="50118"/>
    <cellStyle name="퍼센트" xfId="50119"/>
    <cellStyle name="퍼센트 2" xfId="50120"/>
    <cellStyle name="퍼센트 2 2" xfId="50121"/>
    <cellStyle name="퍼센트 2 3" xfId="50122"/>
    <cellStyle name="퍼센트 2 4" xfId="50123"/>
    <cellStyle name="퍼센트 3" xfId="50124"/>
    <cellStyle name="퍼센트 4" xfId="50125"/>
    <cellStyle name="퍼센트 5" xfId="50126"/>
    <cellStyle name="퍼센트 6" xfId="50127"/>
    <cellStyle name="표준" xfId="0" builtinId="0"/>
    <cellStyle name="표준 10" xfId="50128"/>
    <cellStyle name="표준 10 10" xfId="50129"/>
    <cellStyle name="표준 10 11" xfId="50130"/>
    <cellStyle name="표준 10 12" xfId="50131"/>
    <cellStyle name="표준 10 13" xfId="50132"/>
    <cellStyle name="표준 10 14" xfId="50133"/>
    <cellStyle name="표준 10 15" xfId="50134"/>
    <cellStyle name="표준 10 16" xfId="50135"/>
    <cellStyle name="표준 10 17" xfId="50136"/>
    <cellStyle name="표준 10 18" xfId="50137"/>
    <cellStyle name="표준 10 19" xfId="50138"/>
    <cellStyle name="표준 10 2" xfId="50139"/>
    <cellStyle name="표준 10 2 10" xfId="50140"/>
    <cellStyle name="표준 10 2 11" xfId="50141"/>
    <cellStyle name="표준 10 2 12" xfId="50142"/>
    <cellStyle name="표준 10 2 13" xfId="50143"/>
    <cellStyle name="표준 10 2 14" xfId="50144"/>
    <cellStyle name="표준 10 2 15" xfId="50145"/>
    <cellStyle name="표준 10 2 16" xfId="50146"/>
    <cellStyle name="표준 10 2 17" xfId="50147"/>
    <cellStyle name="표준 10 2 18" xfId="50148"/>
    <cellStyle name="표준 10 2 19" xfId="50149"/>
    <cellStyle name="표준 10 2 2" xfId="50150"/>
    <cellStyle name="표준 10 2 3" xfId="50151"/>
    <cellStyle name="표준 10 2 4" xfId="50152"/>
    <cellStyle name="표준 10 2 5" xfId="50153"/>
    <cellStyle name="표준 10 2 6" xfId="50154"/>
    <cellStyle name="표준 10 2 7" xfId="50155"/>
    <cellStyle name="표준 10 2 8" xfId="50156"/>
    <cellStyle name="표준 10 2 9" xfId="50157"/>
    <cellStyle name="표준 10 20" xfId="50158"/>
    <cellStyle name="표준 10 21" xfId="50159"/>
    <cellStyle name="표준 10 22" xfId="50160"/>
    <cellStyle name="표준 10 23" xfId="50161"/>
    <cellStyle name="표준 10 24" xfId="50162"/>
    <cellStyle name="표준 10 25" xfId="50163"/>
    <cellStyle name="표준 10 26" xfId="50164"/>
    <cellStyle name="표준 10 3" xfId="50165"/>
    <cellStyle name="표준 10 3 10" xfId="50166"/>
    <cellStyle name="표준 10 3 11" xfId="50167"/>
    <cellStyle name="표준 10 3 12" xfId="50168"/>
    <cellStyle name="표준 10 3 13" xfId="50169"/>
    <cellStyle name="표준 10 3 14" xfId="50170"/>
    <cellStyle name="표준 10 3 15" xfId="50171"/>
    <cellStyle name="표준 10 3 16" xfId="50172"/>
    <cellStyle name="표준 10 3 17" xfId="50173"/>
    <cellStyle name="표준 10 3 18" xfId="50174"/>
    <cellStyle name="표준 10 3 19" xfId="50175"/>
    <cellStyle name="표준 10 3 2" xfId="50176"/>
    <cellStyle name="표준 10 3 3" xfId="50177"/>
    <cellStyle name="표준 10 3 4" xfId="50178"/>
    <cellStyle name="표준 10 3 5" xfId="50179"/>
    <cellStyle name="표준 10 3 6" xfId="50180"/>
    <cellStyle name="표준 10 3 7" xfId="50181"/>
    <cellStyle name="표준 10 3 8" xfId="50182"/>
    <cellStyle name="표준 10 3 9" xfId="50183"/>
    <cellStyle name="표준 10 4" xfId="50184"/>
    <cellStyle name="표준 10 4 10" xfId="50185"/>
    <cellStyle name="표준 10 4 11" xfId="50186"/>
    <cellStyle name="표준 10 4 12" xfId="50187"/>
    <cellStyle name="표준 10 4 13" xfId="50188"/>
    <cellStyle name="표준 10 4 14" xfId="50189"/>
    <cellStyle name="표준 10 4 15" xfId="50190"/>
    <cellStyle name="표준 10 4 16" xfId="50191"/>
    <cellStyle name="표준 10 4 17" xfId="50192"/>
    <cellStyle name="표준 10 4 18" xfId="50193"/>
    <cellStyle name="표준 10 4 19" xfId="50194"/>
    <cellStyle name="표준 10 4 2" xfId="50195"/>
    <cellStyle name="표준 10 4 3" xfId="50196"/>
    <cellStyle name="표준 10 4 4" xfId="50197"/>
    <cellStyle name="표준 10 4 5" xfId="50198"/>
    <cellStyle name="표준 10 4 6" xfId="50199"/>
    <cellStyle name="표준 10 4 7" xfId="50200"/>
    <cellStyle name="표준 10 4 8" xfId="50201"/>
    <cellStyle name="표준 10 4 9" xfId="50202"/>
    <cellStyle name="표준 10 5" xfId="50203"/>
    <cellStyle name="표준 10 5 10" xfId="50204"/>
    <cellStyle name="표준 10 5 11" xfId="50205"/>
    <cellStyle name="표준 10 5 12" xfId="50206"/>
    <cellStyle name="표준 10 5 13" xfId="50207"/>
    <cellStyle name="표준 10 5 14" xfId="50208"/>
    <cellStyle name="표준 10 5 15" xfId="50209"/>
    <cellStyle name="표준 10 5 16" xfId="50210"/>
    <cellStyle name="표준 10 5 17" xfId="50211"/>
    <cellStyle name="표준 10 5 18" xfId="50212"/>
    <cellStyle name="표준 10 5 19" xfId="50213"/>
    <cellStyle name="표준 10 5 2" xfId="50214"/>
    <cellStyle name="표준 10 5 3" xfId="50215"/>
    <cellStyle name="표준 10 5 4" xfId="50216"/>
    <cellStyle name="표준 10 5 5" xfId="50217"/>
    <cellStyle name="표준 10 5 6" xfId="50218"/>
    <cellStyle name="표준 10 5 7" xfId="50219"/>
    <cellStyle name="표준 10 5 8" xfId="50220"/>
    <cellStyle name="표준 10 5 9" xfId="50221"/>
    <cellStyle name="표준 10 6" xfId="50222"/>
    <cellStyle name="표준 10 6 10" xfId="50223"/>
    <cellStyle name="표준 10 6 11" xfId="50224"/>
    <cellStyle name="표준 10 6 12" xfId="50225"/>
    <cellStyle name="표준 10 6 13" xfId="50226"/>
    <cellStyle name="표준 10 6 14" xfId="50227"/>
    <cellStyle name="표준 10 6 15" xfId="50228"/>
    <cellStyle name="표준 10 6 16" xfId="50229"/>
    <cellStyle name="표준 10 6 17" xfId="50230"/>
    <cellStyle name="표준 10 6 18" xfId="50231"/>
    <cellStyle name="표준 10 6 19" xfId="50232"/>
    <cellStyle name="표준 10 6 2" xfId="50233"/>
    <cellStyle name="표준 10 6 3" xfId="50234"/>
    <cellStyle name="표준 10 6 4" xfId="50235"/>
    <cellStyle name="표준 10 6 5" xfId="50236"/>
    <cellStyle name="표준 10 6 6" xfId="50237"/>
    <cellStyle name="표준 10 6 7" xfId="50238"/>
    <cellStyle name="표준 10 6 8" xfId="50239"/>
    <cellStyle name="표준 10 6 9" xfId="50240"/>
    <cellStyle name="표준 10 7" xfId="50241"/>
    <cellStyle name="표준 10 7 10" xfId="50242"/>
    <cellStyle name="표준 10 7 11" xfId="50243"/>
    <cellStyle name="표준 10 7 12" xfId="50244"/>
    <cellStyle name="표준 10 7 13" xfId="50245"/>
    <cellStyle name="표준 10 7 14" xfId="50246"/>
    <cellStyle name="표준 10 7 15" xfId="50247"/>
    <cellStyle name="표준 10 7 16" xfId="50248"/>
    <cellStyle name="표준 10 7 17" xfId="50249"/>
    <cellStyle name="표준 10 7 18" xfId="50250"/>
    <cellStyle name="표준 10 7 19" xfId="50251"/>
    <cellStyle name="표준 10 7 2" xfId="50252"/>
    <cellStyle name="표준 10 7 3" xfId="50253"/>
    <cellStyle name="표준 10 7 4" xfId="50254"/>
    <cellStyle name="표준 10 7 5" xfId="50255"/>
    <cellStyle name="표준 10 7 6" xfId="50256"/>
    <cellStyle name="표준 10 7 7" xfId="50257"/>
    <cellStyle name="표준 10 7 8" xfId="50258"/>
    <cellStyle name="표준 10 7 9" xfId="50259"/>
    <cellStyle name="표준 10 8" xfId="50260"/>
    <cellStyle name="표준 10 8 10" xfId="50261"/>
    <cellStyle name="표준 10 8 11" xfId="50262"/>
    <cellStyle name="표준 10 8 12" xfId="50263"/>
    <cellStyle name="표준 10 8 13" xfId="50264"/>
    <cellStyle name="표준 10 8 14" xfId="50265"/>
    <cellStyle name="표준 10 8 15" xfId="50266"/>
    <cellStyle name="표준 10 8 16" xfId="50267"/>
    <cellStyle name="표준 10 8 17" xfId="50268"/>
    <cellStyle name="표준 10 8 18" xfId="50269"/>
    <cellStyle name="표준 10 8 19" xfId="50270"/>
    <cellStyle name="표준 10 8 2" xfId="50271"/>
    <cellStyle name="표준 10 8 3" xfId="50272"/>
    <cellStyle name="표준 10 8 4" xfId="50273"/>
    <cellStyle name="표준 10 8 5" xfId="50274"/>
    <cellStyle name="표준 10 8 6" xfId="50275"/>
    <cellStyle name="표준 10 8 7" xfId="50276"/>
    <cellStyle name="표준 10 8 8" xfId="50277"/>
    <cellStyle name="표준 10 8 9" xfId="50278"/>
    <cellStyle name="표준 10 9" xfId="50279"/>
    <cellStyle name="표준 11" xfId="50280"/>
    <cellStyle name="표준 11 10" xfId="50281"/>
    <cellStyle name="표준 11 11" xfId="50282"/>
    <cellStyle name="표준 11 12" xfId="50283"/>
    <cellStyle name="표준 11 13" xfId="50284"/>
    <cellStyle name="표준 11 14" xfId="50285"/>
    <cellStyle name="표준 11 15" xfId="50286"/>
    <cellStyle name="표준 11 16" xfId="50287"/>
    <cellStyle name="표준 11 17" xfId="50288"/>
    <cellStyle name="표준 11 18" xfId="50289"/>
    <cellStyle name="표준 11 19" xfId="50290"/>
    <cellStyle name="표준 11 2" xfId="50291"/>
    <cellStyle name="표준 11 2 10" xfId="50292"/>
    <cellStyle name="표준 11 2 11" xfId="50293"/>
    <cellStyle name="표준 11 2 12" xfId="50294"/>
    <cellStyle name="표준 11 2 13" xfId="50295"/>
    <cellStyle name="표준 11 2 14" xfId="50296"/>
    <cellStyle name="표준 11 2 15" xfId="50297"/>
    <cellStyle name="표준 11 2 16" xfId="50298"/>
    <cellStyle name="표준 11 2 17" xfId="50299"/>
    <cellStyle name="표준 11 2 18" xfId="50300"/>
    <cellStyle name="표준 11 2 19" xfId="50301"/>
    <cellStyle name="표준 11 2 2" xfId="50302"/>
    <cellStyle name="표준 11 2 3" xfId="50303"/>
    <cellStyle name="표준 11 2 4" xfId="50304"/>
    <cellStyle name="표준 11 2 5" xfId="50305"/>
    <cellStyle name="표준 11 2 6" xfId="50306"/>
    <cellStyle name="표준 11 2 7" xfId="50307"/>
    <cellStyle name="표준 11 2 8" xfId="50308"/>
    <cellStyle name="표준 11 2 9" xfId="50309"/>
    <cellStyle name="표준 11 20" xfId="50310"/>
    <cellStyle name="표준 11 21" xfId="50311"/>
    <cellStyle name="표준 11 22" xfId="50312"/>
    <cellStyle name="표준 11 23" xfId="50313"/>
    <cellStyle name="표준 11 24" xfId="50314"/>
    <cellStyle name="표준 11 25" xfId="50315"/>
    <cellStyle name="표준 11 26" xfId="50316"/>
    <cellStyle name="표준 11 3" xfId="50317"/>
    <cellStyle name="표준 11 3 10" xfId="50318"/>
    <cellStyle name="표준 11 3 11" xfId="50319"/>
    <cellStyle name="표준 11 3 12" xfId="50320"/>
    <cellStyle name="표준 11 3 13" xfId="50321"/>
    <cellStyle name="표준 11 3 14" xfId="50322"/>
    <cellStyle name="표준 11 3 15" xfId="50323"/>
    <cellStyle name="표준 11 3 16" xfId="50324"/>
    <cellStyle name="표준 11 3 17" xfId="50325"/>
    <cellStyle name="표준 11 3 18" xfId="50326"/>
    <cellStyle name="표준 11 3 19" xfId="50327"/>
    <cellStyle name="표준 11 3 2" xfId="50328"/>
    <cellStyle name="표준 11 3 3" xfId="50329"/>
    <cellStyle name="표준 11 3 4" xfId="50330"/>
    <cellStyle name="표준 11 3 5" xfId="50331"/>
    <cellStyle name="표준 11 3 6" xfId="50332"/>
    <cellStyle name="표준 11 3 7" xfId="50333"/>
    <cellStyle name="표준 11 3 8" xfId="50334"/>
    <cellStyle name="표준 11 3 9" xfId="50335"/>
    <cellStyle name="표준 11 4" xfId="50336"/>
    <cellStyle name="표준 11 4 10" xfId="50337"/>
    <cellStyle name="표준 11 4 11" xfId="50338"/>
    <cellStyle name="표준 11 4 12" xfId="50339"/>
    <cellStyle name="표준 11 4 13" xfId="50340"/>
    <cellStyle name="표준 11 4 14" xfId="50341"/>
    <cellStyle name="표준 11 4 15" xfId="50342"/>
    <cellStyle name="표준 11 4 16" xfId="50343"/>
    <cellStyle name="표준 11 4 17" xfId="50344"/>
    <cellStyle name="표준 11 4 18" xfId="50345"/>
    <cellStyle name="표준 11 4 19" xfId="50346"/>
    <cellStyle name="표준 11 4 2" xfId="50347"/>
    <cellStyle name="표준 11 4 3" xfId="50348"/>
    <cellStyle name="표준 11 4 4" xfId="50349"/>
    <cellStyle name="표준 11 4 5" xfId="50350"/>
    <cellStyle name="표준 11 4 6" xfId="50351"/>
    <cellStyle name="표준 11 4 7" xfId="50352"/>
    <cellStyle name="표준 11 4 8" xfId="50353"/>
    <cellStyle name="표준 11 4 9" xfId="50354"/>
    <cellStyle name="표준 11 5" xfId="50355"/>
    <cellStyle name="표준 11 5 10" xfId="50356"/>
    <cellStyle name="표준 11 5 11" xfId="50357"/>
    <cellStyle name="표준 11 5 12" xfId="50358"/>
    <cellStyle name="표준 11 5 13" xfId="50359"/>
    <cellStyle name="표준 11 5 14" xfId="50360"/>
    <cellStyle name="표준 11 5 15" xfId="50361"/>
    <cellStyle name="표준 11 5 16" xfId="50362"/>
    <cellStyle name="표준 11 5 17" xfId="50363"/>
    <cellStyle name="표준 11 5 18" xfId="50364"/>
    <cellStyle name="표준 11 5 19" xfId="50365"/>
    <cellStyle name="표준 11 5 2" xfId="50366"/>
    <cellStyle name="표준 11 5 3" xfId="50367"/>
    <cellStyle name="표준 11 5 4" xfId="50368"/>
    <cellStyle name="표준 11 5 5" xfId="50369"/>
    <cellStyle name="표준 11 5 6" xfId="50370"/>
    <cellStyle name="표준 11 5 7" xfId="50371"/>
    <cellStyle name="표준 11 5 8" xfId="50372"/>
    <cellStyle name="표준 11 5 9" xfId="50373"/>
    <cellStyle name="표준 11 6" xfId="50374"/>
    <cellStyle name="표준 11 6 10" xfId="50375"/>
    <cellStyle name="표준 11 6 11" xfId="50376"/>
    <cellStyle name="표준 11 6 12" xfId="50377"/>
    <cellStyle name="표준 11 6 13" xfId="50378"/>
    <cellStyle name="표준 11 6 14" xfId="50379"/>
    <cellStyle name="표준 11 6 15" xfId="50380"/>
    <cellStyle name="표준 11 6 16" xfId="50381"/>
    <cellStyle name="표준 11 6 17" xfId="50382"/>
    <cellStyle name="표준 11 6 18" xfId="50383"/>
    <cellStyle name="표준 11 6 19" xfId="50384"/>
    <cellStyle name="표준 11 6 2" xfId="50385"/>
    <cellStyle name="표준 11 6 3" xfId="50386"/>
    <cellStyle name="표준 11 6 4" xfId="50387"/>
    <cellStyle name="표준 11 6 5" xfId="50388"/>
    <cellStyle name="표준 11 6 6" xfId="50389"/>
    <cellStyle name="표준 11 6 7" xfId="50390"/>
    <cellStyle name="표준 11 6 8" xfId="50391"/>
    <cellStyle name="표준 11 6 9" xfId="50392"/>
    <cellStyle name="표준 11 7" xfId="50393"/>
    <cellStyle name="표준 11 7 10" xfId="50394"/>
    <cellStyle name="표준 11 7 11" xfId="50395"/>
    <cellStyle name="표준 11 7 12" xfId="50396"/>
    <cellStyle name="표준 11 7 13" xfId="50397"/>
    <cellStyle name="표준 11 7 14" xfId="50398"/>
    <cellStyle name="표준 11 7 15" xfId="50399"/>
    <cellStyle name="표준 11 7 16" xfId="50400"/>
    <cellStyle name="표준 11 7 17" xfId="50401"/>
    <cellStyle name="표준 11 7 18" xfId="50402"/>
    <cellStyle name="표준 11 7 19" xfId="50403"/>
    <cellStyle name="표준 11 7 2" xfId="50404"/>
    <cellStyle name="표준 11 7 3" xfId="50405"/>
    <cellStyle name="표준 11 7 4" xfId="50406"/>
    <cellStyle name="표준 11 7 5" xfId="50407"/>
    <cellStyle name="표준 11 7 6" xfId="50408"/>
    <cellStyle name="표준 11 7 7" xfId="50409"/>
    <cellStyle name="표준 11 7 8" xfId="50410"/>
    <cellStyle name="표준 11 7 9" xfId="50411"/>
    <cellStyle name="표준 11 8" xfId="50412"/>
    <cellStyle name="표준 11 8 10" xfId="50413"/>
    <cellStyle name="표준 11 8 11" xfId="50414"/>
    <cellStyle name="표준 11 8 12" xfId="50415"/>
    <cellStyle name="표준 11 8 13" xfId="50416"/>
    <cellStyle name="표준 11 8 14" xfId="50417"/>
    <cellStyle name="표준 11 8 15" xfId="50418"/>
    <cellStyle name="표준 11 8 16" xfId="50419"/>
    <cellStyle name="표준 11 8 17" xfId="50420"/>
    <cellStyle name="표준 11 8 18" xfId="50421"/>
    <cellStyle name="표준 11 8 19" xfId="50422"/>
    <cellStyle name="표준 11 8 2" xfId="50423"/>
    <cellStyle name="표준 11 8 3" xfId="50424"/>
    <cellStyle name="표준 11 8 4" xfId="50425"/>
    <cellStyle name="표준 11 8 5" xfId="50426"/>
    <cellStyle name="표준 11 8 6" xfId="50427"/>
    <cellStyle name="표준 11 8 7" xfId="50428"/>
    <cellStyle name="표준 11 8 8" xfId="50429"/>
    <cellStyle name="표준 11 8 9" xfId="50430"/>
    <cellStyle name="표준 11 9" xfId="50431"/>
    <cellStyle name="표준 12" xfId="10"/>
    <cellStyle name="표준 12 2" xfId="50432"/>
    <cellStyle name="표준 12 2 2" xfId="50433"/>
    <cellStyle name="표준 12 3" xfId="50434"/>
    <cellStyle name="표준 12 3 2" xfId="50435"/>
    <cellStyle name="표준 12 4" xfId="50436"/>
    <cellStyle name="표준 12 4 2" xfId="50437"/>
    <cellStyle name="표준 12 5" xfId="50438"/>
    <cellStyle name="표준 13" xfId="9"/>
    <cellStyle name="표준 14" xfId="50439"/>
    <cellStyle name="표준 15" xfId="50440"/>
    <cellStyle name="표준 2" xfId="7"/>
    <cellStyle name="標準 2" xfId="50441"/>
    <cellStyle name="표준 2 10" xfId="50442"/>
    <cellStyle name="표준 2 11" xfId="50443"/>
    <cellStyle name="표준 2 12" xfId="50444"/>
    <cellStyle name="표준 2 13" xfId="50445"/>
    <cellStyle name="표준 2 14" xfId="50446"/>
    <cellStyle name="표준 2 15" xfId="50447"/>
    <cellStyle name="표준 2 16" xfId="50448"/>
    <cellStyle name="표준 2 17" xfId="50449"/>
    <cellStyle name="표준 2 18" xfId="50450"/>
    <cellStyle name="표준 2 19" xfId="50451"/>
    <cellStyle name="표준 2 2" xfId="50452"/>
    <cellStyle name="표준 2 2 10" xfId="50453"/>
    <cellStyle name="표준 2 2 10 2" xfId="50454"/>
    <cellStyle name="표준 2 2 10 2 2" xfId="50455"/>
    <cellStyle name="표준 2 2 10 2 3" xfId="50456"/>
    <cellStyle name="표준 2 2 10 2 4" xfId="50457"/>
    <cellStyle name="표준 2 2 10 2 5" xfId="50458"/>
    <cellStyle name="표준 2 2 10 3" xfId="50459"/>
    <cellStyle name="표준 2 2 10 4" xfId="50460"/>
    <cellStyle name="표준 2 2 10 5" xfId="50461"/>
    <cellStyle name="표준 2 2 10 6" xfId="50462"/>
    <cellStyle name="표준 2 2 11" xfId="50463"/>
    <cellStyle name="표준 2 2 12" xfId="50464"/>
    <cellStyle name="표준 2 2 13" xfId="50465"/>
    <cellStyle name="표준 2 2 14" xfId="50466"/>
    <cellStyle name="표준 2 2 15" xfId="50467"/>
    <cellStyle name="표준 2 2 16" xfId="50468"/>
    <cellStyle name="표준 2 2 17" xfId="50469"/>
    <cellStyle name="표준 2 2 18" xfId="50470"/>
    <cellStyle name="표준 2 2 19" xfId="50471"/>
    <cellStyle name="표준 2 2 2" xfId="50472"/>
    <cellStyle name="표준 2 2 2 10" xfId="50473"/>
    <cellStyle name="표준 2 2 2 2" xfId="50474"/>
    <cellStyle name="표준 2 2 2 2 2" xfId="50475"/>
    <cellStyle name="표준 2 2 2 2 3" xfId="50476"/>
    <cellStyle name="표준 2 2 2 2 4" xfId="50477"/>
    <cellStyle name="표준 2 2 2 2 5" xfId="50478"/>
    <cellStyle name="표준 2 2 2 3" xfId="50479"/>
    <cellStyle name="표준 2 2 2 4" xfId="50480"/>
    <cellStyle name="표준 2 2 2 5" xfId="50481"/>
    <cellStyle name="표준 2 2 2 6" xfId="50482"/>
    <cellStyle name="표준 2 2 2 7" xfId="50483"/>
    <cellStyle name="표준 2 2 2 8" xfId="50484"/>
    <cellStyle name="표준 2 2 2 9" xfId="50485"/>
    <cellStyle name="표준 2 2 20" xfId="50486"/>
    <cellStyle name="표준 2 2 21" xfId="50487"/>
    <cellStyle name="표준 2 2 22" xfId="50488"/>
    <cellStyle name="표준 2 2 23" xfId="50489"/>
    <cellStyle name="표준 2 2 24" xfId="50490"/>
    <cellStyle name="표준 2 2 25" xfId="50491"/>
    <cellStyle name="표준 2 2 26" xfId="50492"/>
    <cellStyle name="표준 2 2 27" xfId="50493"/>
    <cellStyle name="표준 2 2 28" xfId="50494"/>
    <cellStyle name="표준 2 2 29" xfId="50495"/>
    <cellStyle name="표준 2 2 3" xfId="50496"/>
    <cellStyle name="표준 2 2 3 2" xfId="50497"/>
    <cellStyle name="표준 2 2 3 3" xfId="50498"/>
    <cellStyle name="표준 2 2 3 4" xfId="50499"/>
    <cellStyle name="표준 2 2 30" xfId="50500"/>
    <cellStyle name="표준 2 2 31" xfId="50501"/>
    <cellStyle name="표준 2 2 32" xfId="50502"/>
    <cellStyle name="표준 2 2 33" xfId="50503"/>
    <cellStyle name="표준 2 2 34" xfId="50504"/>
    <cellStyle name="표준 2 2 35" xfId="50505"/>
    <cellStyle name="표준 2 2 36" xfId="50506"/>
    <cellStyle name="표준 2 2 37" xfId="50507"/>
    <cellStyle name="표준 2 2 38" xfId="50508"/>
    <cellStyle name="표준 2 2 39" xfId="50509"/>
    <cellStyle name="표준 2 2 4" xfId="50510"/>
    <cellStyle name="표준 2 2 40" xfId="50511"/>
    <cellStyle name="표준 2 2 41" xfId="50512"/>
    <cellStyle name="표준 2 2 42" xfId="50513"/>
    <cellStyle name="표준 2 2 43" xfId="50514"/>
    <cellStyle name="표준 2 2 44" xfId="50515"/>
    <cellStyle name="표준 2 2 45" xfId="50516"/>
    <cellStyle name="표준 2 2 46" xfId="50517"/>
    <cellStyle name="표준 2 2 47" xfId="50518"/>
    <cellStyle name="표준 2 2 48" xfId="50519"/>
    <cellStyle name="표준 2 2 49" xfId="50520"/>
    <cellStyle name="표준 2 2 5" xfId="50521"/>
    <cellStyle name="표준 2 2 50" xfId="50522"/>
    <cellStyle name="표준 2 2 51" xfId="50523"/>
    <cellStyle name="표준 2 2 52" xfId="50524"/>
    <cellStyle name="표준 2 2 53" xfId="50525"/>
    <cellStyle name="표준 2 2 54" xfId="50526"/>
    <cellStyle name="표준 2 2 55" xfId="50527"/>
    <cellStyle name="표준 2 2 56" xfId="50528"/>
    <cellStyle name="표준 2 2 57" xfId="50529"/>
    <cellStyle name="표준 2 2 58" xfId="50530"/>
    <cellStyle name="표준 2 2 59" xfId="50531"/>
    <cellStyle name="표준 2 2 6" xfId="50532"/>
    <cellStyle name="표준 2 2 60" xfId="50533"/>
    <cellStyle name="표준 2 2 61" xfId="50534"/>
    <cellStyle name="표준 2 2 62" xfId="50535"/>
    <cellStyle name="표준 2 2 63" xfId="50536"/>
    <cellStyle name="표준 2 2 64" xfId="50537"/>
    <cellStyle name="표준 2 2 65" xfId="50538"/>
    <cellStyle name="표준 2 2 66" xfId="50539"/>
    <cellStyle name="표준 2 2 67" xfId="50540"/>
    <cellStyle name="표준 2 2 7" xfId="50541"/>
    <cellStyle name="표준 2 2 8" xfId="50542"/>
    <cellStyle name="표준 2 2 9" xfId="50543"/>
    <cellStyle name="표준 2 20" xfId="50544"/>
    <cellStyle name="표준 2 21" xfId="50545"/>
    <cellStyle name="표준 2 22" xfId="50546"/>
    <cellStyle name="표준 2 23" xfId="50547"/>
    <cellStyle name="표준 2 24" xfId="50548"/>
    <cellStyle name="표준 2 25" xfId="50549"/>
    <cellStyle name="표준 2 26" xfId="50550"/>
    <cellStyle name="표준 2 27" xfId="50551"/>
    <cellStyle name="표준 2 28" xfId="50552"/>
    <cellStyle name="표준 2 29" xfId="50553"/>
    <cellStyle name="표준 2 3" xfId="50554"/>
    <cellStyle name="표준 2 3 10" xfId="50555"/>
    <cellStyle name="표준 2 3 11" xfId="50556"/>
    <cellStyle name="표준 2 3 12" xfId="50557"/>
    <cellStyle name="표준 2 3 13" xfId="50558"/>
    <cellStyle name="표준 2 3 14" xfId="50559"/>
    <cellStyle name="표준 2 3 15" xfId="50560"/>
    <cellStyle name="표준 2 3 16" xfId="50561"/>
    <cellStyle name="표준 2 3 17" xfId="50562"/>
    <cellStyle name="표준 2 3 18" xfId="50563"/>
    <cellStyle name="표준 2 3 19" xfId="50564"/>
    <cellStyle name="표준 2 3 2" xfId="50565"/>
    <cellStyle name="표준 2 3 2 2" xfId="50566"/>
    <cellStyle name="표준 2 3 2 3" xfId="50567"/>
    <cellStyle name="표준 2 3 2 4" xfId="50568"/>
    <cellStyle name="표준 2 3 2 5" xfId="50569"/>
    <cellStyle name="표준 2 3 3" xfId="50570"/>
    <cellStyle name="표준 2 3 3 2" xfId="50571"/>
    <cellStyle name="표준 2 3 3 3" xfId="50572"/>
    <cellStyle name="표준 2 3 3 4" xfId="50573"/>
    <cellStyle name="표준 2 3 4" xfId="50574"/>
    <cellStyle name="표준 2 3 5" xfId="50575"/>
    <cellStyle name="표준 2 3 6" xfId="50576"/>
    <cellStyle name="표준 2 3 7" xfId="50577"/>
    <cellStyle name="표준 2 3 8" xfId="50578"/>
    <cellStyle name="표준 2 3 9" xfId="50579"/>
    <cellStyle name="표준 2 30" xfId="50580"/>
    <cellStyle name="표준 2 31" xfId="50581"/>
    <cellStyle name="표준 2 32" xfId="50582"/>
    <cellStyle name="표준 2 33" xfId="50583"/>
    <cellStyle name="표준 2 34" xfId="50584"/>
    <cellStyle name="표준 2 35" xfId="50585"/>
    <cellStyle name="표준 2 36" xfId="50586"/>
    <cellStyle name="표준 2 37" xfId="50587"/>
    <cellStyle name="표준 2 38" xfId="50588"/>
    <cellStyle name="표준 2 39" xfId="50589"/>
    <cellStyle name="표준 2 4" xfId="50590"/>
    <cellStyle name="표준 2 4 10" xfId="50591"/>
    <cellStyle name="표준 2 4 11" xfId="50592"/>
    <cellStyle name="표준 2 4 2" xfId="50593"/>
    <cellStyle name="표준 2 4 2 2" xfId="50594"/>
    <cellStyle name="표준 2 4 2 3" xfId="50595"/>
    <cellStyle name="표준 2 4 2 4" xfId="50596"/>
    <cellStyle name="표준 2 4 2 5" xfId="50597"/>
    <cellStyle name="표준 2 4 3" xfId="50598"/>
    <cellStyle name="표준 2 4 4" xfId="50599"/>
    <cellStyle name="표준 2 4 5" xfId="50600"/>
    <cellStyle name="표준 2 4 6" xfId="50601"/>
    <cellStyle name="표준 2 4 7" xfId="50602"/>
    <cellStyle name="표준 2 4 8" xfId="50603"/>
    <cellStyle name="표준 2 4 9" xfId="50604"/>
    <cellStyle name="표준 2 40" xfId="50605"/>
    <cellStyle name="표준 2 41" xfId="50606"/>
    <cellStyle name="표준 2 42" xfId="50607"/>
    <cellStyle name="표준 2 43" xfId="50608"/>
    <cellStyle name="표준 2 44" xfId="50609"/>
    <cellStyle name="표준 2 45" xfId="50610"/>
    <cellStyle name="표준 2 46" xfId="50611"/>
    <cellStyle name="표준 2 47" xfId="50612"/>
    <cellStyle name="표준 2 48" xfId="50613"/>
    <cellStyle name="표준 2 49" xfId="50614"/>
    <cellStyle name="표준 2 5" xfId="50615"/>
    <cellStyle name="표준 2 5 2" xfId="50616"/>
    <cellStyle name="표준 2 5 2 2" xfId="50617"/>
    <cellStyle name="표준 2 5 2 3" xfId="50618"/>
    <cellStyle name="표준 2 5 2 4" xfId="50619"/>
    <cellStyle name="표준 2 5 2 5" xfId="50620"/>
    <cellStyle name="표준 2 5 3" xfId="50621"/>
    <cellStyle name="표준 2 5 4" xfId="50622"/>
    <cellStyle name="표준 2 5 5" xfId="50623"/>
    <cellStyle name="표준 2 5 6" xfId="50624"/>
    <cellStyle name="표준 2 50" xfId="50625"/>
    <cellStyle name="표준 2 51" xfId="50626"/>
    <cellStyle name="표준 2 52" xfId="50627"/>
    <cellStyle name="표준 2 53" xfId="50628"/>
    <cellStyle name="표준 2 54" xfId="50629"/>
    <cellStyle name="표준 2 55" xfId="50630"/>
    <cellStyle name="표준 2 56" xfId="50631"/>
    <cellStyle name="표준 2 57" xfId="50632"/>
    <cellStyle name="표준 2 58" xfId="50633"/>
    <cellStyle name="표준 2 59" xfId="50634"/>
    <cellStyle name="표준 2 6" xfId="50635"/>
    <cellStyle name="표준 2 60" xfId="50636"/>
    <cellStyle name="표준 2 61" xfId="50637"/>
    <cellStyle name="표준 2 62" xfId="50638"/>
    <cellStyle name="표준 2 63" xfId="14"/>
    <cellStyle name="표준 2 64" xfId="15"/>
    <cellStyle name="표준 2 65" xfId="17"/>
    <cellStyle name="표준 2 66" xfId="13"/>
    <cellStyle name="표준 2 67" xfId="50639"/>
    <cellStyle name="표준 2 68" xfId="16"/>
    <cellStyle name="표준 2 69" xfId="18"/>
    <cellStyle name="표준 2 7" xfId="50640"/>
    <cellStyle name="표준 2 70" xfId="50641"/>
    <cellStyle name="표준 2 71" xfId="50642"/>
    <cellStyle name="표준 2 72" xfId="50643"/>
    <cellStyle name="표준 2 73" xfId="50644"/>
    <cellStyle name="표준 2 74" xfId="50645"/>
    <cellStyle name="표준 2 8" xfId="50646"/>
    <cellStyle name="표준 2 9" xfId="50647"/>
    <cellStyle name="표준 28" xfId="50648"/>
    <cellStyle name="표준 28 2" xfId="50649"/>
    <cellStyle name="표준 3" xfId="50650"/>
    <cellStyle name="표준 3 10" xfId="50651"/>
    <cellStyle name="표준 3 11" xfId="50652"/>
    <cellStyle name="표준 3 12" xfId="50653"/>
    <cellStyle name="표준 3 13" xfId="50654"/>
    <cellStyle name="표준 3 14" xfId="50655"/>
    <cellStyle name="표준 3 15" xfId="50656"/>
    <cellStyle name="표준 3 16" xfId="50657"/>
    <cellStyle name="표준 3 17" xfId="50658"/>
    <cellStyle name="표준 3 18" xfId="50659"/>
    <cellStyle name="표준 3 2" xfId="50660"/>
    <cellStyle name="표준 3 2 10" xfId="50661"/>
    <cellStyle name="표준 3 2 11" xfId="50662"/>
    <cellStyle name="표준 3 2 2" xfId="50663"/>
    <cellStyle name="표준 3 2 2 10" xfId="50664"/>
    <cellStyle name="표준 3 2 2 2" xfId="50665"/>
    <cellStyle name="표준 3 2 2 2 2" xfId="50666"/>
    <cellStyle name="표준 3 2 2 2 3" xfId="50667"/>
    <cellStyle name="표준 3 2 2 2 4" xfId="50668"/>
    <cellStyle name="표준 3 2 2 2 5" xfId="50669"/>
    <cellStyle name="표준 3 2 2 2 6" xfId="50670"/>
    <cellStyle name="표준 3 2 2 3" xfId="50671"/>
    <cellStyle name="표준 3 2 2 4" xfId="50672"/>
    <cellStyle name="표준 3 2 2 5" xfId="50673"/>
    <cellStyle name="표준 3 2 2 6" xfId="50674"/>
    <cellStyle name="표준 3 2 2 7" xfId="50675"/>
    <cellStyle name="표준 3 2 2 8" xfId="50676"/>
    <cellStyle name="표준 3 2 2 9" xfId="50677"/>
    <cellStyle name="표준 3 2 3" xfId="50678"/>
    <cellStyle name="표준 3 2 3 2" xfId="50679"/>
    <cellStyle name="표준 3 2 3 3" xfId="50680"/>
    <cellStyle name="표준 3 2 3 4" xfId="50681"/>
    <cellStyle name="표준 3 2 4" xfId="50682"/>
    <cellStyle name="표준 3 2 5" xfId="50683"/>
    <cellStyle name="표준 3 2 6" xfId="50684"/>
    <cellStyle name="표준 3 2 7" xfId="50685"/>
    <cellStyle name="표준 3 2 8" xfId="50686"/>
    <cellStyle name="표준 3 2 9" xfId="50687"/>
    <cellStyle name="표준 3 3" xfId="50688"/>
    <cellStyle name="표준 3 3 10" xfId="50689"/>
    <cellStyle name="표준 3 3 2" xfId="50690"/>
    <cellStyle name="표준 3 3 2 2" xfId="50691"/>
    <cellStyle name="표준 3 3 2 3" xfId="50692"/>
    <cellStyle name="표준 3 3 2 4" xfId="50693"/>
    <cellStyle name="표준 3 3 3" xfId="50694"/>
    <cellStyle name="표준 3 3 4" xfId="50695"/>
    <cellStyle name="표준 3 3 5" xfId="50696"/>
    <cellStyle name="표준 3 3 6" xfId="50697"/>
    <cellStyle name="표준 3 3 7" xfId="50698"/>
    <cellStyle name="표준 3 3 8" xfId="50699"/>
    <cellStyle name="표준 3 3 9" xfId="50700"/>
    <cellStyle name="표준 3 4" xfId="50701"/>
    <cellStyle name="표준 3 4 2" xfId="50702"/>
    <cellStyle name="표준 3 4 3" xfId="50703"/>
    <cellStyle name="표준 3 4 4" xfId="50704"/>
    <cellStyle name="표준 3 5" xfId="50705"/>
    <cellStyle name="표준 3 6" xfId="50706"/>
    <cellStyle name="표준 3 7" xfId="50707"/>
    <cellStyle name="표준 3 8" xfId="50708"/>
    <cellStyle name="표준 3 9" xfId="50709"/>
    <cellStyle name="표준 4" xfId="50710"/>
    <cellStyle name="표준 4 10" xfId="50711"/>
    <cellStyle name="표준 4 11" xfId="50712"/>
    <cellStyle name="표준 4 12" xfId="50713"/>
    <cellStyle name="표준 4 13" xfId="50714"/>
    <cellStyle name="표준 4 14" xfId="50715"/>
    <cellStyle name="표준 4 2" xfId="50716"/>
    <cellStyle name="표준 4 2 10" xfId="50717"/>
    <cellStyle name="표준 4 2 2" xfId="50718"/>
    <cellStyle name="표준 4 2 3" xfId="50719"/>
    <cellStyle name="표준 4 2 4" xfId="50720"/>
    <cellStyle name="표준 4 2 5" xfId="50721"/>
    <cellStyle name="표준 4 2 6" xfId="50722"/>
    <cellStyle name="표준 4 2 7" xfId="50723"/>
    <cellStyle name="표준 4 2 8" xfId="50724"/>
    <cellStyle name="표준 4 2 9" xfId="50725"/>
    <cellStyle name="표준 4 3" xfId="50726"/>
    <cellStyle name="표준 4 3 2" xfId="50727"/>
    <cellStyle name="표준 4 3 3" xfId="50728"/>
    <cellStyle name="표준 4 3 4" xfId="50729"/>
    <cellStyle name="표준 4 3 5" xfId="50730"/>
    <cellStyle name="표준 4 3 6" xfId="50731"/>
    <cellStyle name="표준 4 4" xfId="50732"/>
    <cellStyle name="표준 4 4 2" xfId="50733"/>
    <cellStyle name="표준 4 4 3" xfId="50734"/>
    <cellStyle name="표준 4 4 4" xfId="50735"/>
    <cellStyle name="표준 4 5" xfId="50736"/>
    <cellStyle name="표준 4 6" xfId="50737"/>
    <cellStyle name="표준 4 7" xfId="50738"/>
    <cellStyle name="표준 4 8" xfId="50739"/>
    <cellStyle name="표준 4 9" xfId="50740"/>
    <cellStyle name="표준 5" xfId="50741"/>
    <cellStyle name="표준 5 10" xfId="50742"/>
    <cellStyle name="표준 5 11" xfId="50743"/>
    <cellStyle name="표준 5 12" xfId="50744"/>
    <cellStyle name="표준 5 13" xfId="50745"/>
    <cellStyle name="표준 5 14" xfId="50746"/>
    <cellStyle name="표준 5 15" xfId="50747"/>
    <cellStyle name="표준 5 16" xfId="50748"/>
    <cellStyle name="표준 5 17" xfId="50749"/>
    <cellStyle name="표준 5 18" xfId="50750"/>
    <cellStyle name="표준 5 19" xfId="50751"/>
    <cellStyle name="표준 5 2" xfId="50752"/>
    <cellStyle name="표준 5 2 2" xfId="50753"/>
    <cellStyle name="표준 5 2 3" xfId="50754"/>
    <cellStyle name="표준 5 2 4" xfId="50755"/>
    <cellStyle name="표준 5 2 5" xfId="50756"/>
    <cellStyle name="표준 5 2 6" xfId="50757"/>
    <cellStyle name="표준 5 20" xfId="50758"/>
    <cellStyle name="표준 5 21" xfId="50759"/>
    <cellStyle name="표준 5 22" xfId="50760"/>
    <cellStyle name="표준 5 23" xfId="50761"/>
    <cellStyle name="표준 5 24" xfId="50762"/>
    <cellStyle name="표준 5 25" xfId="50763"/>
    <cellStyle name="표준 5 26" xfId="50764"/>
    <cellStyle name="표준 5 27" xfId="50765"/>
    <cellStyle name="표준 5 3" xfId="50766"/>
    <cellStyle name="표준 5 3 10" xfId="50767"/>
    <cellStyle name="표준 5 3 11" xfId="50768"/>
    <cellStyle name="표준 5 3 12" xfId="50769"/>
    <cellStyle name="표준 5 3 13" xfId="50770"/>
    <cellStyle name="표준 5 3 14" xfId="50771"/>
    <cellStyle name="표준 5 3 15" xfId="50772"/>
    <cellStyle name="표준 5 3 16" xfId="50773"/>
    <cellStyle name="표준 5 3 17" xfId="50774"/>
    <cellStyle name="표준 5 3 18" xfId="50775"/>
    <cellStyle name="표준 5 3 19" xfId="50776"/>
    <cellStyle name="표준 5 3 2" xfId="50777"/>
    <cellStyle name="표준 5 3 2 2" xfId="50778"/>
    <cellStyle name="표준 5 3 3" xfId="50779"/>
    <cellStyle name="표준 5 3 3 2" xfId="50780"/>
    <cellStyle name="표준 5 3 4" xfId="50781"/>
    <cellStyle name="표준 5 3 4 2" xfId="50782"/>
    <cellStyle name="표준 5 3 5" xfId="50783"/>
    <cellStyle name="표준 5 3 6" xfId="50784"/>
    <cellStyle name="표준 5 3 7" xfId="50785"/>
    <cellStyle name="표준 5 3 8" xfId="50786"/>
    <cellStyle name="표준 5 3 9" xfId="50787"/>
    <cellStyle name="표준 5 4" xfId="50788"/>
    <cellStyle name="표준 5 4 10" xfId="50789"/>
    <cellStyle name="표준 5 4 11" xfId="50790"/>
    <cellStyle name="표준 5 4 12" xfId="50791"/>
    <cellStyle name="표준 5 4 13" xfId="50792"/>
    <cellStyle name="표준 5 4 14" xfId="50793"/>
    <cellStyle name="표준 5 4 15" xfId="50794"/>
    <cellStyle name="표준 5 4 16" xfId="50795"/>
    <cellStyle name="표준 5 4 17" xfId="50796"/>
    <cellStyle name="표준 5 4 18" xfId="50797"/>
    <cellStyle name="표준 5 4 19" xfId="50798"/>
    <cellStyle name="표준 5 4 2" xfId="50799"/>
    <cellStyle name="표준 5 4 3" xfId="50800"/>
    <cellStyle name="표준 5 4 4" xfId="50801"/>
    <cellStyle name="표준 5 4 5" xfId="50802"/>
    <cellStyle name="표준 5 4 6" xfId="50803"/>
    <cellStyle name="표준 5 4 7" xfId="50804"/>
    <cellStyle name="표준 5 4 8" xfId="50805"/>
    <cellStyle name="표준 5 4 9" xfId="50806"/>
    <cellStyle name="표준 5 5" xfId="50807"/>
    <cellStyle name="표준 5 5 10" xfId="50808"/>
    <cellStyle name="표준 5 5 11" xfId="50809"/>
    <cellStyle name="표준 5 5 12" xfId="50810"/>
    <cellStyle name="표준 5 5 13" xfId="50811"/>
    <cellStyle name="표준 5 5 14" xfId="50812"/>
    <cellStyle name="표준 5 5 15" xfId="50813"/>
    <cellStyle name="표준 5 5 16" xfId="50814"/>
    <cellStyle name="표준 5 5 17" xfId="50815"/>
    <cellStyle name="표준 5 5 18" xfId="50816"/>
    <cellStyle name="표준 5 5 19" xfId="50817"/>
    <cellStyle name="표준 5 5 2" xfId="50818"/>
    <cellStyle name="표준 5 5 3" xfId="50819"/>
    <cellStyle name="표준 5 5 4" xfId="50820"/>
    <cellStyle name="표준 5 5 5" xfId="50821"/>
    <cellStyle name="표준 5 5 6" xfId="50822"/>
    <cellStyle name="표준 5 5 7" xfId="50823"/>
    <cellStyle name="표준 5 5 8" xfId="50824"/>
    <cellStyle name="표준 5 5 9" xfId="50825"/>
    <cellStyle name="표준 5 6" xfId="50826"/>
    <cellStyle name="표준 5 6 10" xfId="50827"/>
    <cellStyle name="표준 5 6 11" xfId="50828"/>
    <cellStyle name="표준 5 6 12" xfId="50829"/>
    <cellStyle name="표준 5 6 13" xfId="50830"/>
    <cellStyle name="표준 5 6 14" xfId="50831"/>
    <cellStyle name="표준 5 6 15" xfId="50832"/>
    <cellStyle name="표준 5 6 16" xfId="50833"/>
    <cellStyle name="표준 5 6 17" xfId="50834"/>
    <cellStyle name="표준 5 6 18" xfId="50835"/>
    <cellStyle name="표준 5 6 19" xfId="50836"/>
    <cellStyle name="표준 5 6 2" xfId="50837"/>
    <cellStyle name="표준 5 6 3" xfId="50838"/>
    <cellStyle name="표준 5 6 4" xfId="50839"/>
    <cellStyle name="표준 5 6 5" xfId="50840"/>
    <cellStyle name="표준 5 6 6" xfId="50841"/>
    <cellStyle name="표준 5 6 7" xfId="50842"/>
    <cellStyle name="표준 5 6 8" xfId="50843"/>
    <cellStyle name="표준 5 6 9" xfId="50844"/>
    <cellStyle name="표준 5 7" xfId="50845"/>
    <cellStyle name="표준 5 7 10" xfId="50846"/>
    <cellStyle name="표준 5 7 11" xfId="50847"/>
    <cellStyle name="표준 5 7 12" xfId="50848"/>
    <cellStyle name="표준 5 7 13" xfId="50849"/>
    <cellStyle name="표준 5 7 14" xfId="50850"/>
    <cellStyle name="표준 5 7 15" xfId="50851"/>
    <cellStyle name="표준 5 7 16" xfId="50852"/>
    <cellStyle name="표준 5 7 17" xfId="50853"/>
    <cellStyle name="표준 5 7 18" xfId="50854"/>
    <cellStyle name="표준 5 7 19" xfId="50855"/>
    <cellStyle name="표준 5 7 2" xfId="50856"/>
    <cellStyle name="표준 5 7 3" xfId="50857"/>
    <cellStyle name="표준 5 7 4" xfId="50858"/>
    <cellStyle name="표준 5 7 5" xfId="50859"/>
    <cellStyle name="표준 5 7 6" xfId="50860"/>
    <cellStyle name="표준 5 7 7" xfId="50861"/>
    <cellStyle name="표준 5 7 8" xfId="50862"/>
    <cellStyle name="표준 5 7 9" xfId="50863"/>
    <cellStyle name="표준 5 8" xfId="50864"/>
    <cellStyle name="표준 5 8 10" xfId="50865"/>
    <cellStyle name="표준 5 8 11" xfId="50866"/>
    <cellStyle name="표준 5 8 12" xfId="50867"/>
    <cellStyle name="표준 5 8 13" xfId="50868"/>
    <cellStyle name="표준 5 8 14" xfId="50869"/>
    <cellStyle name="표준 5 8 15" xfId="50870"/>
    <cellStyle name="표준 5 8 16" xfId="50871"/>
    <cellStyle name="표준 5 8 17" xfId="50872"/>
    <cellStyle name="표준 5 8 18" xfId="50873"/>
    <cellStyle name="표준 5 8 19" xfId="50874"/>
    <cellStyle name="표준 5 8 2" xfId="50875"/>
    <cellStyle name="표준 5 8 3" xfId="50876"/>
    <cellStyle name="표준 5 8 4" xfId="50877"/>
    <cellStyle name="표준 5 8 5" xfId="50878"/>
    <cellStyle name="표준 5 8 6" xfId="50879"/>
    <cellStyle name="표준 5 8 7" xfId="50880"/>
    <cellStyle name="표준 5 8 8" xfId="50881"/>
    <cellStyle name="표준 5 8 9" xfId="50882"/>
    <cellStyle name="표준 5 9" xfId="50883"/>
    <cellStyle name="표준 5 9 10" xfId="50884"/>
    <cellStyle name="표준 5 9 11" xfId="50885"/>
    <cellStyle name="표준 5 9 12" xfId="50886"/>
    <cellStyle name="표준 5 9 13" xfId="50887"/>
    <cellStyle name="표준 5 9 14" xfId="50888"/>
    <cellStyle name="표준 5 9 15" xfId="50889"/>
    <cellStyle name="표준 5 9 16" xfId="50890"/>
    <cellStyle name="표준 5 9 17" xfId="50891"/>
    <cellStyle name="표준 5 9 18" xfId="50892"/>
    <cellStyle name="표준 5 9 19" xfId="50893"/>
    <cellStyle name="표준 5 9 2" xfId="50894"/>
    <cellStyle name="표준 5 9 3" xfId="50895"/>
    <cellStyle name="표준 5 9 4" xfId="50896"/>
    <cellStyle name="표준 5 9 5" xfId="50897"/>
    <cellStyle name="표준 5 9 6" xfId="50898"/>
    <cellStyle name="표준 5 9 7" xfId="50899"/>
    <cellStyle name="표준 5 9 8" xfId="50900"/>
    <cellStyle name="표준 5 9 9" xfId="50901"/>
    <cellStyle name="표준 6" xfId="11"/>
    <cellStyle name="표준 6 10" xfId="50902"/>
    <cellStyle name="표준 6 10 10" xfId="50903"/>
    <cellStyle name="표준 6 10 11" xfId="50904"/>
    <cellStyle name="표준 6 10 12" xfId="50905"/>
    <cellStyle name="표준 6 10 13" xfId="50906"/>
    <cellStyle name="표준 6 10 14" xfId="50907"/>
    <cellStyle name="표준 6 10 15" xfId="50908"/>
    <cellStyle name="표준 6 10 16" xfId="50909"/>
    <cellStyle name="표준 6 10 17" xfId="50910"/>
    <cellStyle name="표준 6 10 18" xfId="50911"/>
    <cellStyle name="표준 6 10 19" xfId="50912"/>
    <cellStyle name="표준 6 10 2" xfId="50913"/>
    <cellStyle name="표준 6 10 3" xfId="50914"/>
    <cellStyle name="표준 6 10 4" xfId="50915"/>
    <cellStyle name="표준 6 10 5" xfId="50916"/>
    <cellStyle name="표준 6 10 6" xfId="50917"/>
    <cellStyle name="표준 6 10 7" xfId="50918"/>
    <cellStyle name="표준 6 10 8" xfId="50919"/>
    <cellStyle name="표준 6 10 9" xfId="50920"/>
    <cellStyle name="표준 6 11" xfId="50921"/>
    <cellStyle name="표준 6 12" xfId="50922"/>
    <cellStyle name="표준 6 13" xfId="50923"/>
    <cellStyle name="표준 6 14" xfId="50924"/>
    <cellStyle name="표준 6 15" xfId="50925"/>
    <cellStyle name="표준 6 16" xfId="50926"/>
    <cellStyle name="표준 6 17" xfId="50927"/>
    <cellStyle name="표준 6 18" xfId="50928"/>
    <cellStyle name="표준 6 19" xfId="50929"/>
    <cellStyle name="표준 6 2" xfId="50930"/>
    <cellStyle name="표준 6 2 10" xfId="50931"/>
    <cellStyle name="표준 6 2 10 10" xfId="50932"/>
    <cellStyle name="표준 6 2 10 11" xfId="50933"/>
    <cellStyle name="표준 6 2 10 12" xfId="50934"/>
    <cellStyle name="표준 6 2 10 13" xfId="50935"/>
    <cellStyle name="표준 6 2 10 14" xfId="50936"/>
    <cellStyle name="표준 6 2 10 15" xfId="50937"/>
    <cellStyle name="표준 6 2 10 16" xfId="50938"/>
    <cellStyle name="표준 6 2 10 17" xfId="50939"/>
    <cellStyle name="표준 6 2 10 18" xfId="50940"/>
    <cellStyle name="표준 6 2 10 19" xfId="50941"/>
    <cellStyle name="표준 6 2 10 2" xfId="50942"/>
    <cellStyle name="표준 6 2 10 3" xfId="50943"/>
    <cellStyle name="표준 6 2 10 4" xfId="50944"/>
    <cellStyle name="표준 6 2 10 5" xfId="50945"/>
    <cellStyle name="표준 6 2 10 6" xfId="50946"/>
    <cellStyle name="표준 6 2 10 7" xfId="50947"/>
    <cellStyle name="표준 6 2 10 8" xfId="50948"/>
    <cellStyle name="표준 6 2 10 9" xfId="50949"/>
    <cellStyle name="표준 6 2 11" xfId="50950"/>
    <cellStyle name="표준 6 2 12" xfId="50951"/>
    <cellStyle name="표준 6 2 13" xfId="50952"/>
    <cellStyle name="표준 6 2 14" xfId="50953"/>
    <cellStyle name="표준 6 2 15" xfId="50954"/>
    <cellStyle name="표준 6 2 16" xfId="50955"/>
    <cellStyle name="표준 6 2 17" xfId="50956"/>
    <cellStyle name="표준 6 2 18" xfId="50957"/>
    <cellStyle name="표준 6 2 19" xfId="50958"/>
    <cellStyle name="표준 6 2 2" xfId="50959"/>
    <cellStyle name="표준 6 2 2 10" xfId="50960"/>
    <cellStyle name="표준 6 2 2 10 10" xfId="50961"/>
    <cellStyle name="표준 6 2 2 10 11" xfId="50962"/>
    <cellStyle name="표준 6 2 2 10 12" xfId="50963"/>
    <cellStyle name="표준 6 2 2 10 13" xfId="50964"/>
    <cellStyle name="표준 6 2 2 10 14" xfId="50965"/>
    <cellStyle name="표준 6 2 2 10 15" xfId="50966"/>
    <cellStyle name="표준 6 2 2 10 16" xfId="50967"/>
    <cellStyle name="표준 6 2 2 10 17" xfId="50968"/>
    <cellStyle name="표준 6 2 2 10 18" xfId="50969"/>
    <cellStyle name="표준 6 2 2 10 19" xfId="50970"/>
    <cellStyle name="표준 6 2 2 10 2" xfId="50971"/>
    <cellStyle name="표준 6 2 2 10 3" xfId="50972"/>
    <cellStyle name="표준 6 2 2 10 4" xfId="50973"/>
    <cellStyle name="표준 6 2 2 10 5" xfId="50974"/>
    <cellStyle name="표준 6 2 2 10 6" xfId="50975"/>
    <cellStyle name="표준 6 2 2 10 7" xfId="50976"/>
    <cellStyle name="표준 6 2 2 10 8" xfId="50977"/>
    <cellStyle name="표준 6 2 2 10 9" xfId="50978"/>
    <cellStyle name="표준 6 2 2 11" xfId="50979"/>
    <cellStyle name="표준 6 2 2 12" xfId="50980"/>
    <cellStyle name="표준 6 2 2 13" xfId="50981"/>
    <cellStyle name="표준 6 2 2 14" xfId="50982"/>
    <cellStyle name="표준 6 2 2 15" xfId="50983"/>
    <cellStyle name="표준 6 2 2 16" xfId="50984"/>
    <cellStyle name="표준 6 2 2 17" xfId="50985"/>
    <cellStyle name="표준 6 2 2 18" xfId="50986"/>
    <cellStyle name="표준 6 2 2 19" xfId="50987"/>
    <cellStyle name="표준 6 2 2 2" xfId="50988"/>
    <cellStyle name="표준 6 2 2 2 10" xfId="50989"/>
    <cellStyle name="표준 6 2 2 2 11" xfId="50990"/>
    <cellStyle name="표준 6 2 2 2 12" xfId="50991"/>
    <cellStyle name="표준 6 2 2 2 13" xfId="50992"/>
    <cellStyle name="표준 6 2 2 2 14" xfId="50993"/>
    <cellStyle name="표준 6 2 2 2 15" xfId="50994"/>
    <cellStyle name="표준 6 2 2 2 16" xfId="50995"/>
    <cellStyle name="표준 6 2 2 2 17" xfId="50996"/>
    <cellStyle name="표준 6 2 2 2 18" xfId="50997"/>
    <cellStyle name="표준 6 2 2 2 19" xfId="50998"/>
    <cellStyle name="표준 6 2 2 2 2" xfId="50999"/>
    <cellStyle name="표준 6 2 2 2 2 10" xfId="51000"/>
    <cellStyle name="표준 6 2 2 2 2 11" xfId="51001"/>
    <cellStyle name="표준 6 2 2 2 2 12" xfId="51002"/>
    <cellStyle name="표준 6 2 2 2 2 13" xfId="51003"/>
    <cellStyle name="표준 6 2 2 2 2 14" xfId="51004"/>
    <cellStyle name="표준 6 2 2 2 2 15" xfId="51005"/>
    <cellStyle name="표준 6 2 2 2 2 16" xfId="51006"/>
    <cellStyle name="표준 6 2 2 2 2 17" xfId="51007"/>
    <cellStyle name="표준 6 2 2 2 2 18" xfId="51008"/>
    <cellStyle name="표준 6 2 2 2 2 19" xfId="51009"/>
    <cellStyle name="표준 6 2 2 2 2 2" xfId="51010"/>
    <cellStyle name="표준 6 2 2 2 2 2 10" xfId="51011"/>
    <cellStyle name="표준 6 2 2 2 2 2 11" xfId="51012"/>
    <cellStyle name="표준 6 2 2 2 2 2 12" xfId="51013"/>
    <cellStyle name="표준 6 2 2 2 2 2 13" xfId="51014"/>
    <cellStyle name="표준 6 2 2 2 2 2 14" xfId="51015"/>
    <cellStyle name="표준 6 2 2 2 2 2 15" xfId="51016"/>
    <cellStyle name="표준 6 2 2 2 2 2 16" xfId="51017"/>
    <cellStyle name="표준 6 2 2 2 2 2 17" xfId="51018"/>
    <cellStyle name="표준 6 2 2 2 2 2 18" xfId="51019"/>
    <cellStyle name="표준 6 2 2 2 2 2 19" xfId="51020"/>
    <cellStyle name="표준 6 2 2 2 2 2 2" xfId="51021"/>
    <cellStyle name="표준 6 2 2 2 2 2 2 10" xfId="51022"/>
    <cellStyle name="표준 6 2 2 2 2 2 2 11" xfId="51023"/>
    <cellStyle name="표준 6 2 2 2 2 2 2 12" xfId="51024"/>
    <cellStyle name="표준 6 2 2 2 2 2 2 13" xfId="51025"/>
    <cellStyle name="표준 6 2 2 2 2 2 2 14" xfId="51026"/>
    <cellStyle name="표준 6 2 2 2 2 2 2 15" xfId="51027"/>
    <cellStyle name="표준 6 2 2 2 2 2 2 16" xfId="51028"/>
    <cellStyle name="표준 6 2 2 2 2 2 2 17" xfId="51029"/>
    <cellStyle name="표준 6 2 2 2 2 2 2 18" xfId="51030"/>
    <cellStyle name="표준 6 2 2 2 2 2 2 19" xfId="51031"/>
    <cellStyle name="표준 6 2 2 2 2 2 2 2" xfId="51032"/>
    <cellStyle name="표준 6 2 2 2 2 2 2 3" xfId="51033"/>
    <cellStyle name="표준 6 2 2 2 2 2 2 4" xfId="51034"/>
    <cellStyle name="표준 6 2 2 2 2 2 2 5" xfId="51035"/>
    <cellStyle name="표준 6 2 2 2 2 2 2 6" xfId="51036"/>
    <cellStyle name="표준 6 2 2 2 2 2 2 7" xfId="51037"/>
    <cellStyle name="표준 6 2 2 2 2 2 2 8" xfId="51038"/>
    <cellStyle name="표준 6 2 2 2 2 2 2 9" xfId="51039"/>
    <cellStyle name="표준 6 2 2 2 2 2 20" xfId="51040"/>
    <cellStyle name="표준 6 2 2 2 2 2 21" xfId="51041"/>
    <cellStyle name="표준 6 2 2 2 2 2 22" xfId="51042"/>
    <cellStyle name="표준 6 2 2 2 2 2 23" xfId="51043"/>
    <cellStyle name="표준 6 2 2 2 2 2 24" xfId="51044"/>
    <cellStyle name="표준 6 2 2 2 2 2 25" xfId="51045"/>
    <cellStyle name="표준 6 2 2 2 2 2 26" xfId="51046"/>
    <cellStyle name="표준 6 2 2 2 2 2 3" xfId="51047"/>
    <cellStyle name="표준 6 2 2 2 2 2 3 10" xfId="51048"/>
    <cellStyle name="표준 6 2 2 2 2 2 3 11" xfId="51049"/>
    <cellStyle name="표준 6 2 2 2 2 2 3 12" xfId="51050"/>
    <cellStyle name="표준 6 2 2 2 2 2 3 13" xfId="51051"/>
    <cellStyle name="표준 6 2 2 2 2 2 3 14" xfId="51052"/>
    <cellStyle name="표준 6 2 2 2 2 2 3 15" xfId="51053"/>
    <cellStyle name="표준 6 2 2 2 2 2 3 16" xfId="51054"/>
    <cellStyle name="표준 6 2 2 2 2 2 3 17" xfId="51055"/>
    <cellStyle name="표준 6 2 2 2 2 2 3 18" xfId="51056"/>
    <cellStyle name="표준 6 2 2 2 2 2 3 19" xfId="51057"/>
    <cellStyle name="표준 6 2 2 2 2 2 3 2" xfId="51058"/>
    <cellStyle name="표준 6 2 2 2 2 2 3 3" xfId="51059"/>
    <cellStyle name="표준 6 2 2 2 2 2 3 4" xfId="51060"/>
    <cellStyle name="표준 6 2 2 2 2 2 3 5" xfId="51061"/>
    <cellStyle name="표준 6 2 2 2 2 2 3 6" xfId="51062"/>
    <cellStyle name="표준 6 2 2 2 2 2 3 7" xfId="51063"/>
    <cellStyle name="표준 6 2 2 2 2 2 3 8" xfId="51064"/>
    <cellStyle name="표준 6 2 2 2 2 2 3 9" xfId="51065"/>
    <cellStyle name="표준 6 2 2 2 2 2 4" xfId="51066"/>
    <cellStyle name="표준 6 2 2 2 2 2 4 10" xfId="51067"/>
    <cellStyle name="표준 6 2 2 2 2 2 4 11" xfId="51068"/>
    <cellStyle name="표준 6 2 2 2 2 2 4 12" xfId="51069"/>
    <cellStyle name="표준 6 2 2 2 2 2 4 13" xfId="51070"/>
    <cellStyle name="표준 6 2 2 2 2 2 4 14" xfId="51071"/>
    <cellStyle name="표준 6 2 2 2 2 2 4 15" xfId="51072"/>
    <cellStyle name="표준 6 2 2 2 2 2 4 16" xfId="51073"/>
    <cellStyle name="표준 6 2 2 2 2 2 4 17" xfId="51074"/>
    <cellStyle name="표준 6 2 2 2 2 2 4 18" xfId="51075"/>
    <cellStyle name="표준 6 2 2 2 2 2 4 19" xfId="51076"/>
    <cellStyle name="표준 6 2 2 2 2 2 4 2" xfId="51077"/>
    <cellStyle name="표준 6 2 2 2 2 2 4 3" xfId="51078"/>
    <cellStyle name="표준 6 2 2 2 2 2 4 4" xfId="51079"/>
    <cellStyle name="표준 6 2 2 2 2 2 4 5" xfId="51080"/>
    <cellStyle name="표준 6 2 2 2 2 2 4 6" xfId="51081"/>
    <cellStyle name="표준 6 2 2 2 2 2 4 7" xfId="51082"/>
    <cellStyle name="표준 6 2 2 2 2 2 4 8" xfId="51083"/>
    <cellStyle name="표준 6 2 2 2 2 2 4 9" xfId="51084"/>
    <cellStyle name="표준 6 2 2 2 2 2 5" xfId="51085"/>
    <cellStyle name="표준 6 2 2 2 2 2 5 10" xfId="51086"/>
    <cellStyle name="표준 6 2 2 2 2 2 5 11" xfId="51087"/>
    <cellStyle name="표준 6 2 2 2 2 2 5 12" xfId="51088"/>
    <cellStyle name="표준 6 2 2 2 2 2 5 13" xfId="51089"/>
    <cellStyle name="표준 6 2 2 2 2 2 5 14" xfId="51090"/>
    <cellStyle name="표준 6 2 2 2 2 2 5 15" xfId="51091"/>
    <cellStyle name="표준 6 2 2 2 2 2 5 16" xfId="51092"/>
    <cellStyle name="표준 6 2 2 2 2 2 5 17" xfId="51093"/>
    <cellStyle name="표준 6 2 2 2 2 2 5 18" xfId="51094"/>
    <cellStyle name="표준 6 2 2 2 2 2 5 19" xfId="51095"/>
    <cellStyle name="표준 6 2 2 2 2 2 5 2" xfId="51096"/>
    <cellStyle name="표준 6 2 2 2 2 2 5 3" xfId="51097"/>
    <cellStyle name="표준 6 2 2 2 2 2 5 4" xfId="51098"/>
    <cellStyle name="표준 6 2 2 2 2 2 5 5" xfId="51099"/>
    <cellStyle name="표준 6 2 2 2 2 2 5 6" xfId="51100"/>
    <cellStyle name="표준 6 2 2 2 2 2 5 7" xfId="51101"/>
    <cellStyle name="표준 6 2 2 2 2 2 5 8" xfId="51102"/>
    <cellStyle name="표준 6 2 2 2 2 2 5 9" xfId="51103"/>
    <cellStyle name="표준 6 2 2 2 2 2 6" xfId="51104"/>
    <cellStyle name="표준 6 2 2 2 2 2 6 10" xfId="51105"/>
    <cellStyle name="표준 6 2 2 2 2 2 6 11" xfId="51106"/>
    <cellStyle name="표준 6 2 2 2 2 2 6 12" xfId="51107"/>
    <cellStyle name="표준 6 2 2 2 2 2 6 13" xfId="51108"/>
    <cellStyle name="표준 6 2 2 2 2 2 6 14" xfId="51109"/>
    <cellStyle name="표준 6 2 2 2 2 2 6 15" xfId="51110"/>
    <cellStyle name="표준 6 2 2 2 2 2 6 16" xfId="51111"/>
    <cellStyle name="표준 6 2 2 2 2 2 6 17" xfId="51112"/>
    <cellStyle name="표준 6 2 2 2 2 2 6 18" xfId="51113"/>
    <cellStyle name="표준 6 2 2 2 2 2 6 19" xfId="51114"/>
    <cellStyle name="표준 6 2 2 2 2 2 6 2" xfId="51115"/>
    <cellStyle name="표준 6 2 2 2 2 2 6 3" xfId="51116"/>
    <cellStyle name="표준 6 2 2 2 2 2 6 4" xfId="51117"/>
    <cellStyle name="표준 6 2 2 2 2 2 6 5" xfId="51118"/>
    <cellStyle name="표준 6 2 2 2 2 2 6 6" xfId="51119"/>
    <cellStyle name="표준 6 2 2 2 2 2 6 7" xfId="51120"/>
    <cellStyle name="표준 6 2 2 2 2 2 6 8" xfId="51121"/>
    <cellStyle name="표준 6 2 2 2 2 2 6 9" xfId="51122"/>
    <cellStyle name="표준 6 2 2 2 2 2 7" xfId="51123"/>
    <cellStyle name="표준 6 2 2 2 2 2 7 10" xfId="51124"/>
    <cellStyle name="표준 6 2 2 2 2 2 7 11" xfId="51125"/>
    <cellStyle name="표준 6 2 2 2 2 2 7 12" xfId="51126"/>
    <cellStyle name="표준 6 2 2 2 2 2 7 13" xfId="51127"/>
    <cellStyle name="표준 6 2 2 2 2 2 7 14" xfId="51128"/>
    <cellStyle name="표준 6 2 2 2 2 2 7 15" xfId="51129"/>
    <cellStyle name="표준 6 2 2 2 2 2 7 16" xfId="51130"/>
    <cellStyle name="표준 6 2 2 2 2 2 7 17" xfId="51131"/>
    <cellStyle name="표준 6 2 2 2 2 2 7 18" xfId="51132"/>
    <cellStyle name="표준 6 2 2 2 2 2 7 19" xfId="51133"/>
    <cellStyle name="표준 6 2 2 2 2 2 7 2" xfId="51134"/>
    <cellStyle name="표준 6 2 2 2 2 2 7 3" xfId="51135"/>
    <cellStyle name="표준 6 2 2 2 2 2 7 4" xfId="51136"/>
    <cellStyle name="표준 6 2 2 2 2 2 7 5" xfId="51137"/>
    <cellStyle name="표준 6 2 2 2 2 2 7 6" xfId="51138"/>
    <cellStyle name="표준 6 2 2 2 2 2 7 7" xfId="51139"/>
    <cellStyle name="표준 6 2 2 2 2 2 7 8" xfId="51140"/>
    <cellStyle name="표준 6 2 2 2 2 2 7 9" xfId="51141"/>
    <cellStyle name="표준 6 2 2 2 2 2 8" xfId="51142"/>
    <cellStyle name="표준 6 2 2 2 2 2 8 10" xfId="51143"/>
    <cellStyle name="표준 6 2 2 2 2 2 8 11" xfId="51144"/>
    <cellStyle name="표준 6 2 2 2 2 2 8 12" xfId="51145"/>
    <cellStyle name="표준 6 2 2 2 2 2 8 13" xfId="51146"/>
    <cellStyle name="표준 6 2 2 2 2 2 8 14" xfId="51147"/>
    <cellStyle name="표준 6 2 2 2 2 2 8 15" xfId="51148"/>
    <cellStyle name="표준 6 2 2 2 2 2 8 16" xfId="51149"/>
    <cellStyle name="표준 6 2 2 2 2 2 8 17" xfId="51150"/>
    <cellStyle name="표준 6 2 2 2 2 2 8 18" xfId="51151"/>
    <cellStyle name="표준 6 2 2 2 2 2 8 19" xfId="51152"/>
    <cellStyle name="표준 6 2 2 2 2 2 8 2" xfId="51153"/>
    <cellStyle name="표준 6 2 2 2 2 2 8 3" xfId="51154"/>
    <cellStyle name="표준 6 2 2 2 2 2 8 4" xfId="51155"/>
    <cellStyle name="표준 6 2 2 2 2 2 8 5" xfId="51156"/>
    <cellStyle name="표준 6 2 2 2 2 2 8 6" xfId="51157"/>
    <cellStyle name="표준 6 2 2 2 2 2 8 7" xfId="51158"/>
    <cellStyle name="표준 6 2 2 2 2 2 8 8" xfId="51159"/>
    <cellStyle name="표준 6 2 2 2 2 2 8 9" xfId="51160"/>
    <cellStyle name="표준 6 2 2 2 2 2 9" xfId="51161"/>
    <cellStyle name="표준 6 2 2 2 2 20" xfId="51162"/>
    <cellStyle name="표준 6 2 2 2 2 21" xfId="51163"/>
    <cellStyle name="표준 6 2 2 2 2 22" xfId="51164"/>
    <cellStyle name="표준 6 2 2 2 2 23" xfId="51165"/>
    <cellStyle name="표준 6 2 2 2 2 24" xfId="51166"/>
    <cellStyle name="표준 6 2 2 2 2 25" xfId="51167"/>
    <cellStyle name="표준 6 2 2 2 2 26" xfId="51168"/>
    <cellStyle name="표준 6 2 2 2 2 27" xfId="51169"/>
    <cellStyle name="표준 6 2 2 2 2 3" xfId="51170"/>
    <cellStyle name="표준 6 2 2 2 2 3 10" xfId="51171"/>
    <cellStyle name="표준 6 2 2 2 2 3 11" xfId="51172"/>
    <cellStyle name="표준 6 2 2 2 2 3 12" xfId="51173"/>
    <cellStyle name="표준 6 2 2 2 2 3 13" xfId="51174"/>
    <cellStyle name="표준 6 2 2 2 2 3 14" xfId="51175"/>
    <cellStyle name="표준 6 2 2 2 2 3 15" xfId="51176"/>
    <cellStyle name="표준 6 2 2 2 2 3 16" xfId="51177"/>
    <cellStyle name="표준 6 2 2 2 2 3 17" xfId="51178"/>
    <cellStyle name="표준 6 2 2 2 2 3 18" xfId="51179"/>
    <cellStyle name="표준 6 2 2 2 2 3 19" xfId="51180"/>
    <cellStyle name="표준 6 2 2 2 2 3 2" xfId="51181"/>
    <cellStyle name="표준 6 2 2 2 2 3 3" xfId="51182"/>
    <cellStyle name="표준 6 2 2 2 2 3 4" xfId="51183"/>
    <cellStyle name="표준 6 2 2 2 2 3 5" xfId="51184"/>
    <cellStyle name="표준 6 2 2 2 2 3 6" xfId="51185"/>
    <cellStyle name="표준 6 2 2 2 2 3 7" xfId="51186"/>
    <cellStyle name="표준 6 2 2 2 2 3 8" xfId="51187"/>
    <cellStyle name="표준 6 2 2 2 2 3 9" xfId="51188"/>
    <cellStyle name="표준 6 2 2 2 2 4" xfId="51189"/>
    <cellStyle name="표준 6 2 2 2 2 4 10" xfId="51190"/>
    <cellStyle name="표준 6 2 2 2 2 4 11" xfId="51191"/>
    <cellStyle name="표준 6 2 2 2 2 4 12" xfId="51192"/>
    <cellStyle name="표준 6 2 2 2 2 4 13" xfId="51193"/>
    <cellStyle name="표준 6 2 2 2 2 4 14" xfId="51194"/>
    <cellStyle name="표준 6 2 2 2 2 4 15" xfId="51195"/>
    <cellStyle name="표준 6 2 2 2 2 4 16" xfId="51196"/>
    <cellStyle name="표준 6 2 2 2 2 4 17" xfId="51197"/>
    <cellStyle name="표준 6 2 2 2 2 4 18" xfId="51198"/>
    <cellStyle name="표준 6 2 2 2 2 4 19" xfId="51199"/>
    <cellStyle name="표준 6 2 2 2 2 4 2" xfId="51200"/>
    <cellStyle name="표준 6 2 2 2 2 4 3" xfId="51201"/>
    <cellStyle name="표준 6 2 2 2 2 4 4" xfId="51202"/>
    <cellStyle name="표준 6 2 2 2 2 4 5" xfId="51203"/>
    <cellStyle name="표준 6 2 2 2 2 4 6" xfId="51204"/>
    <cellStyle name="표준 6 2 2 2 2 4 7" xfId="51205"/>
    <cellStyle name="표준 6 2 2 2 2 4 8" xfId="51206"/>
    <cellStyle name="표준 6 2 2 2 2 4 9" xfId="51207"/>
    <cellStyle name="표준 6 2 2 2 2 5" xfId="51208"/>
    <cellStyle name="표준 6 2 2 2 2 5 10" xfId="51209"/>
    <cellStyle name="표준 6 2 2 2 2 5 11" xfId="51210"/>
    <cellStyle name="표준 6 2 2 2 2 5 12" xfId="51211"/>
    <cellStyle name="표준 6 2 2 2 2 5 13" xfId="51212"/>
    <cellStyle name="표준 6 2 2 2 2 5 14" xfId="51213"/>
    <cellStyle name="표준 6 2 2 2 2 5 15" xfId="51214"/>
    <cellStyle name="표준 6 2 2 2 2 5 16" xfId="51215"/>
    <cellStyle name="표준 6 2 2 2 2 5 17" xfId="51216"/>
    <cellStyle name="표준 6 2 2 2 2 5 18" xfId="51217"/>
    <cellStyle name="표준 6 2 2 2 2 5 19" xfId="51218"/>
    <cellStyle name="표준 6 2 2 2 2 5 2" xfId="51219"/>
    <cellStyle name="표준 6 2 2 2 2 5 3" xfId="51220"/>
    <cellStyle name="표준 6 2 2 2 2 5 4" xfId="51221"/>
    <cellStyle name="표준 6 2 2 2 2 5 5" xfId="51222"/>
    <cellStyle name="표준 6 2 2 2 2 5 6" xfId="51223"/>
    <cellStyle name="표준 6 2 2 2 2 5 7" xfId="51224"/>
    <cellStyle name="표준 6 2 2 2 2 5 8" xfId="51225"/>
    <cellStyle name="표준 6 2 2 2 2 5 9" xfId="51226"/>
    <cellStyle name="표준 6 2 2 2 2 6" xfId="51227"/>
    <cellStyle name="표준 6 2 2 2 2 6 10" xfId="51228"/>
    <cellStyle name="표준 6 2 2 2 2 6 11" xfId="51229"/>
    <cellStyle name="표준 6 2 2 2 2 6 12" xfId="51230"/>
    <cellStyle name="표준 6 2 2 2 2 6 13" xfId="51231"/>
    <cellStyle name="표준 6 2 2 2 2 6 14" xfId="51232"/>
    <cellStyle name="표준 6 2 2 2 2 6 15" xfId="51233"/>
    <cellStyle name="표준 6 2 2 2 2 6 16" xfId="51234"/>
    <cellStyle name="표준 6 2 2 2 2 6 17" xfId="51235"/>
    <cellStyle name="표준 6 2 2 2 2 6 18" xfId="51236"/>
    <cellStyle name="표준 6 2 2 2 2 6 19" xfId="51237"/>
    <cellStyle name="표준 6 2 2 2 2 6 2" xfId="51238"/>
    <cellStyle name="표준 6 2 2 2 2 6 3" xfId="51239"/>
    <cellStyle name="표준 6 2 2 2 2 6 4" xfId="51240"/>
    <cellStyle name="표준 6 2 2 2 2 6 5" xfId="51241"/>
    <cellStyle name="표준 6 2 2 2 2 6 6" xfId="51242"/>
    <cellStyle name="표준 6 2 2 2 2 6 7" xfId="51243"/>
    <cellStyle name="표준 6 2 2 2 2 6 8" xfId="51244"/>
    <cellStyle name="표준 6 2 2 2 2 6 9" xfId="51245"/>
    <cellStyle name="표준 6 2 2 2 2 7" xfId="51246"/>
    <cellStyle name="표준 6 2 2 2 2 7 10" xfId="51247"/>
    <cellStyle name="표준 6 2 2 2 2 7 11" xfId="51248"/>
    <cellStyle name="표준 6 2 2 2 2 7 12" xfId="51249"/>
    <cellStyle name="표준 6 2 2 2 2 7 13" xfId="51250"/>
    <cellStyle name="표준 6 2 2 2 2 7 14" xfId="51251"/>
    <cellStyle name="표준 6 2 2 2 2 7 15" xfId="51252"/>
    <cellStyle name="표준 6 2 2 2 2 7 16" xfId="51253"/>
    <cellStyle name="표준 6 2 2 2 2 7 17" xfId="51254"/>
    <cellStyle name="표준 6 2 2 2 2 7 18" xfId="51255"/>
    <cellStyle name="표준 6 2 2 2 2 7 19" xfId="51256"/>
    <cellStyle name="표준 6 2 2 2 2 7 2" xfId="51257"/>
    <cellStyle name="표준 6 2 2 2 2 7 3" xfId="51258"/>
    <cellStyle name="표준 6 2 2 2 2 7 4" xfId="51259"/>
    <cellStyle name="표준 6 2 2 2 2 7 5" xfId="51260"/>
    <cellStyle name="표준 6 2 2 2 2 7 6" xfId="51261"/>
    <cellStyle name="표준 6 2 2 2 2 7 7" xfId="51262"/>
    <cellStyle name="표준 6 2 2 2 2 7 8" xfId="51263"/>
    <cellStyle name="표준 6 2 2 2 2 7 9" xfId="51264"/>
    <cellStyle name="표준 6 2 2 2 2 8" xfId="51265"/>
    <cellStyle name="표준 6 2 2 2 2 8 10" xfId="51266"/>
    <cellStyle name="표준 6 2 2 2 2 8 11" xfId="51267"/>
    <cellStyle name="표준 6 2 2 2 2 8 12" xfId="51268"/>
    <cellStyle name="표준 6 2 2 2 2 8 13" xfId="51269"/>
    <cellStyle name="표준 6 2 2 2 2 8 14" xfId="51270"/>
    <cellStyle name="표준 6 2 2 2 2 8 15" xfId="51271"/>
    <cellStyle name="표준 6 2 2 2 2 8 16" xfId="51272"/>
    <cellStyle name="표준 6 2 2 2 2 8 17" xfId="51273"/>
    <cellStyle name="표준 6 2 2 2 2 8 18" xfId="51274"/>
    <cellStyle name="표준 6 2 2 2 2 8 19" xfId="51275"/>
    <cellStyle name="표준 6 2 2 2 2 8 2" xfId="51276"/>
    <cellStyle name="표준 6 2 2 2 2 8 3" xfId="51277"/>
    <cellStyle name="표준 6 2 2 2 2 8 4" xfId="51278"/>
    <cellStyle name="표준 6 2 2 2 2 8 5" xfId="51279"/>
    <cellStyle name="표준 6 2 2 2 2 8 6" xfId="51280"/>
    <cellStyle name="표준 6 2 2 2 2 8 7" xfId="51281"/>
    <cellStyle name="표준 6 2 2 2 2 8 8" xfId="51282"/>
    <cellStyle name="표준 6 2 2 2 2 8 9" xfId="51283"/>
    <cellStyle name="표준 6 2 2 2 2 9" xfId="51284"/>
    <cellStyle name="표준 6 2 2 2 2 9 10" xfId="51285"/>
    <cellStyle name="표준 6 2 2 2 2 9 11" xfId="51286"/>
    <cellStyle name="표준 6 2 2 2 2 9 12" xfId="51287"/>
    <cellStyle name="표준 6 2 2 2 2 9 13" xfId="51288"/>
    <cellStyle name="표준 6 2 2 2 2 9 14" xfId="51289"/>
    <cellStyle name="표준 6 2 2 2 2 9 15" xfId="51290"/>
    <cellStyle name="표준 6 2 2 2 2 9 16" xfId="51291"/>
    <cellStyle name="표준 6 2 2 2 2 9 17" xfId="51292"/>
    <cellStyle name="표준 6 2 2 2 2 9 18" xfId="51293"/>
    <cellStyle name="표준 6 2 2 2 2 9 19" xfId="51294"/>
    <cellStyle name="표준 6 2 2 2 2 9 2" xfId="51295"/>
    <cellStyle name="표준 6 2 2 2 2 9 3" xfId="51296"/>
    <cellStyle name="표준 6 2 2 2 2 9 4" xfId="51297"/>
    <cellStyle name="표준 6 2 2 2 2 9 5" xfId="51298"/>
    <cellStyle name="표준 6 2 2 2 2 9 6" xfId="51299"/>
    <cellStyle name="표준 6 2 2 2 2 9 7" xfId="51300"/>
    <cellStyle name="표준 6 2 2 2 2 9 8" xfId="51301"/>
    <cellStyle name="표준 6 2 2 2 2 9 9" xfId="51302"/>
    <cellStyle name="표준 6 2 2 2 20" xfId="51303"/>
    <cellStyle name="표준 6 2 2 2 21" xfId="51304"/>
    <cellStyle name="표준 6 2 2 2 22" xfId="51305"/>
    <cellStyle name="표준 6 2 2 2 23" xfId="51306"/>
    <cellStyle name="표준 6 2 2 2 24" xfId="51307"/>
    <cellStyle name="표준 6 2 2 2 25" xfId="51308"/>
    <cellStyle name="표준 6 2 2 2 26" xfId="51309"/>
    <cellStyle name="표준 6 2 2 2 27" xfId="51310"/>
    <cellStyle name="표준 6 2 2 2 3" xfId="51311"/>
    <cellStyle name="표준 6 2 2 2 3 10" xfId="51312"/>
    <cellStyle name="표준 6 2 2 2 3 11" xfId="51313"/>
    <cellStyle name="표준 6 2 2 2 3 12" xfId="51314"/>
    <cellStyle name="표준 6 2 2 2 3 13" xfId="51315"/>
    <cellStyle name="표준 6 2 2 2 3 14" xfId="51316"/>
    <cellStyle name="표준 6 2 2 2 3 15" xfId="51317"/>
    <cellStyle name="표준 6 2 2 2 3 16" xfId="51318"/>
    <cellStyle name="표준 6 2 2 2 3 17" xfId="51319"/>
    <cellStyle name="표준 6 2 2 2 3 18" xfId="51320"/>
    <cellStyle name="표준 6 2 2 2 3 19" xfId="51321"/>
    <cellStyle name="표준 6 2 2 2 3 2" xfId="51322"/>
    <cellStyle name="표준 6 2 2 2 3 3" xfId="51323"/>
    <cellStyle name="표준 6 2 2 2 3 4" xfId="51324"/>
    <cellStyle name="표준 6 2 2 2 3 5" xfId="51325"/>
    <cellStyle name="표준 6 2 2 2 3 6" xfId="51326"/>
    <cellStyle name="표준 6 2 2 2 3 7" xfId="51327"/>
    <cellStyle name="표준 6 2 2 2 3 8" xfId="51328"/>
    <cellStyle name="표준 6 2 2 2 3 9" xfId="51329"/>
    <cellStyle name="표준 6 2 2 2 4" xfId="51330"/>
    <cellStyle name="표준 6 2 2 2 4 10" xfId="51331"/>
    <cellStyle name="표준 6 2 2 2 4 11" xfId="51332"/>
    <cellStyle name="표준 6 2 2 2 4 12" xfId="51333"/>
    <cellStyle name="표준 6 2 2 2 4 13" xfId="51334"/>
    <cellStyle name="표준 6 2 2 2 4 14" xfId="51335"/>
    <cellStyle name="표준 6 2 2 2 4 15" xfId="51336"/>
    <cellStyle name="표준 6 2 2 2 4 16" xfId="51337"/>
    <cellStyle name="표준 6 2 2 2 4 17" xfId="51338"/>
    <cellStyle name="표준 6 2 2 2 4 18" xfId="51339"/>
    <cellStyle name="표준 6 2 2 2 4 19" xfId="51340"/>
    <cellStyle name="표준 6 2 2 2 4 2" xfId="51341"/>
    <cellStyle name="표준 6 2 2 2 4 3" xfId="51342"/>
    <cellStyle name="표준 6 2 2 2 4 4" xfId="51343"/>
    <cellStyle name="표준 6 2 2 2 4 5" xfId="51344"/>
    <cellStyle name="표준 6 2 2 2 4 6" xfId="51345"/>
    <cellStyle name="표준 6 2 2 2 4 7" xfId="51346"/>
    <cellStyle name="표준 6 2 2 2 4 8" xfId="51347"/>
    <cellStyle name="표준 6 2 2 2 4 9" xfId="51348"/>
    <cellStyle name="표준 6 2 2 2 5" xfId="51349"/>
    <cellStyle name="표준 6 2 2 2 5 10" xfId="51350"/>
    <cellStyle name="표준 6 2 2 2 5 11" xfId="51351"/>
    <cellStyle name="표준 6 2 2 2 5 12" xfId="51352"/>
    <cellStyle name="표준 6 2 2 2 5 13" xfId="51353"/>
    <cellStyle name="표준 6 2 2 2 5 14" xfId="51354"/>
    <cellStyle name="표준 6 2 2 2 5 15" xfId="51355"/>
    <cellStyle name="표준 6 2 2 2 5 16" xfId="51356"/>
    <cellStyle name="표준 6 2 2 2 5 17" xfId="51357"/>
    <cellStyle name="표준 6 2 2 2 5 18" xfId="51358"/>
    <cellStyle name="표준 6 2 2 2 5 19" xfId="51359"/>
    <cellStyle name="표준 6 2 2 2 5 2" xfId="51360"/>
    <cellStyle name="표준 6 2 2 2 5 3" xfId="51361"/>
    <cellStyle name="표준 6 2 2 2 5 4" xfId="51362"/>
    <cellStyle name="표준 6 2 2 2 5 5" xfId="51363"/>
    <cellStyle name="표준 6 2 2 2 5 6" xfId="51364"/>
    <cellStyle name="표준 6 2 2 2 5 7" xfId="51365"/>
    <cellStyle name="표준 6 2 2 2 5 8" xfId="51366"/>
    <cellStyle name="표준 6 2 2 2 5 9" xfId="51367"/>
    <cellStyle name="표준 6 2 2 2 6" xfId="51368"/>
    <cellStyle name="표준 6 2 2 2 6 10" xfId="51369"/>
    <cellStyle name="표준 6 2 2 2 6 11" xfId="51370"/>
    <cellStyle name="표준 6 2 2 2 6 12" xfId="51371"/>
    <cellStyle name="표준 6 2 2 2 6 13" xfId="51372"/>
    <cellStyle name="표준 6 2 2 2 6 14" xfId="51373"/>
    <cellStyle name="표준 6 2 2 2 6 15" xfId="51374"/>
    <cellStyle name="표준 6 2 2 2 6 16" xfId="51375"/>
    <cellStyle name="표준 6 2 2 2 6 17" xfId="51376"/>
    <cellStyle name="표준 6 2 2 2 6 18" xfId="51377"/>
    <cellStyle name="표준 6 2 2 2 6 19" xfId="51378"/>
    <cellStyle name="표준 6 2 2 2 6 2" xfId="51379"/>
    <cellStyle name="표준 6 2 2 2 6 3" xfId="51380"/>
    <cellStyle name="표준 6 2 2 2 6 4" xfId="51381"/>
    <cellStyle name="표준 6 2 2 2 6 5" xfId="51382"/>
    <cellStyle name="표준 6 2 2 2 6 6" xfId="51383"/>
    <cellStyle name="표준 6 2 2 2 6 7" xfId="51384"/>
    <cellStyle name="표준 6 2 2 2 6 8" xfId="51385"/>
    <cellStyle name="표준 6 2 2 2 6 9" xfId="51386"/>
    <cellStyle name="표준 6 2 2 2 7" xfId="51387"/>
    <cellStyle name="표준 6 2 2 2 7 10" xfId="51388"/>
    <cellStyle name="표준 6 2 2 2 7 11" xfId="51389"/>
    <cellStyle name="표준 6 2 2 2 7 12" xfId="51390"/>
    <cellStyle name="표준 6 2 2 2 7 13" xfId="51391"/>
    <cellStyle name="표준 6 2 2 2 7 14" xfId="51392"/>
    <cellStyle name="표준 6 2 2 2 7 15" xfId="51393"/>
    <cellStyle name="표준 6 2 2 2 7 16" xfId="51394"/>
    <cellStyle name="표준 6 2 2 2 7 17" xfId="51395"/>
    <cellStyle name="표준 6 2 2 2 7 18" xfId="51396"/>
    <cellStyle name="표준 6 2 2 2 7 19" xfId="51397"/>
    <cellStyle name="표준 6 2 2 2 7 2" xfId="51398"/>
    <cellStyle name="표준 6 2 2 2 7 3" xfId="51399"/>
    <cellStyle name="표준 6 2 2 2 7 4" xfId="51400"/>
    <cellStyle name="표준 6 2 2 2 7 5" xfId="51401"/>
    <cellStyle name="표준 6 2 2 2 7 6" xfId="51402"/>
    <cellStyle name="표준 6 2 2 2 7 7" xfId="51403"/>
    <cellStyle name="표준 6 2 2 2 7 8" xfId="51404"/>
    <cellStyle name="표준 6 2 2 2 7 9" xfId="51405"/>
    <cellStyle name="표준 6 2 2 2 8" xfId="51406"/>
    <cellStyle name="표준 6 2 2 2 8 10" xfId="51407"/>
    <cellStyle name="표준 6 2 2 2 8 11" xfId="51408"/>
    <cellStyle name="표준 6 2 2 2 8 12" xfId="51409"/>
    <cellStyle name="표준 6 2 2 2 8 13" xfId="51410"/>
    <cellStyle name="표준 6 2 2 2 8 14" xfId="51411"/>
    <cellStyle name="표준 6 2 2 2 8 15" xfId="51412"/>
    <cellStyle name="표준 6 2 2 2 8 16" xfId="51413"/>
    <cellStyle name="표준 6 2 2 2 8 17" xfId="51414"/>
    <cellStyle name="표준 6 2 2 2 8 18" xfId="51415"/>
    <cellStyle name="표준 6 2 2 2 8 19" xfId="51416"/>
    <cellStyle name="표준 6 2 2 2 8 2" xfId="51417"/>
    <cellStyle name="표준 6 2 2 2 8 3" xfId="51418"/>
    <cellStyle name="표준 6 2 2 2 8 4" xfId="51419"/>
    <cellStyle name="표준 6 2 2 2 8 5" xfId="51420"/>
    <cellStyle name="표준 6 2 2 2 8 6" xfId="51421"/>
    <cellStyle name="표준 6 2 2 2 8 7" xfId="51422"/>
    <cellStyle name="표준 6 2 2 2 8 8" xfId="51423"/>
    <cellStyle name="표준 6 2 2 2 8 9" xfId="51424"/>
    <cellStyle name="표준 6 2 2 2 9" xfId="51425"/>
    <cellStyle name="표준 6 2 2 2 9 10" xfId="51426"/>
    <cellStyle name="표준 6 2 2 2 9 11" xfId="51427"/>
    <cellStyle name="표준 6 2 2 2 9 12" xfId="51428"/>
    <cellStyle name="표준 6 2 2 2 9 13" xfId="51429"/>
    <cellStyle name="표준 6 2 2 2 9 14" xfId="51430"/>
    <cellStyle name="표준 6 2 2 2 9 15" xfId="51431"/>
    <cellStyle name="표준 6 2 2 2 9 16" xfId="51432"/>
    <cellStyle name="표준 6 2 2 2 9 17" xfId="51433"/>
    <cellStyle name="표준 6 2 2 2 9 18" xfId="51434"/>
    <cellStyle name="표준 6 2 2 2 9 19" xfId="51435"/>
    <cellStyle name="표준 6 2 2 2 9 2" xfId="51436"/>
    <cellStyle name="표준 6 2 2 2 9 3" xfId="51437"/>
    <cellStyle name="표준 6 2 2 2 9 4" xfId="51438"/>
    <cellStyle name="표준 6 2 2 2 9 5" xfId="51439"/>
    <cellStyle name="표준 6 2 2 2 9 6" xfId="51440"/>
    <cellStyle name="표준 6 2 2 2 9 7" xfId="51441"/>
    <cellStyle name="표준 6 2 2 2 9 8" xfId="51442"/>
    <cellStyle name="표준 6 2 2 2 9 9" xfId="51443"/>
    <cellStyle name="표준 6 2 2 20" xfId="51444"/>
    <cellStyle name="표준 6 2 2 21" xfId="51445"/>
    <cellStyle name="표준 6 2 2 22" xfId="51446"/>
    <cellStyle name="표준 6 2 2 23" xfId="51447"/>
    <cellStyle name="표준 6 2 2 24" xfId="51448"/>
    <cellStyle name="표준 6 2 2 25" xfId="51449"/>
    <cellStyle name="표준 6 2 2 26" xfId="51450"/>
    <cellStyle name="표준 6 2 2 27" xfId="51451"/>
    <cellStyle name="표준 6 2 2 28" xfId="51452"/>
    <cellStyle name="표준 6 2 2 3" xfId="51453"/>
    <cellStyle name="표준 6 2 2 3 10" xfId="51454"/>
    <cellStyle name="표준 6 2 2 3 11" xfId="51455"/>
    <cellStyle name="표준 6 2 2 3 12" xfId="51456"/>
    <cellStyle name="표준 6 2 2 3 13" xfId="51457"/>
    <cellStyle name="표준 6 2 2 3 14" xfId="51458"/>
    <cellStyle name="표준 6 2 2 3 15" xfId="51459"/>
    <cellStyle name="표준 6 2 2 3 16" xfId="51460"/>
    <cellStyle name="표준 6 2 2 3 17" xfId="51461"/>
    <cellStyle name="표준 6 2 2 3 18" xfId="51462"/>
    <cellStyle name="표준 6 2 2 3 19" xfId="51463"/>
    <cellStyle name="표준 6 2 2 3 2" xfId="51464"/>
    <cellStyle name="표준 6 2 2 3 2 10" xfId="51465"/>
    <cellStyle name="표준 6 2 2 3 2 11" xfId="51466"/>
    <cellStyle name="표준 6 2 2 3 2 12" xfId="51467"/>
    <cellStyle name="표준 6 2 2 3 2 13" xfId="51468"/>
    <cellStyle name="표준 6 2 2 3 2 14" xfId="51469"/>
    <cellStyle name="표준 6 2 2 3 2 15" xfId="51470"/>
    <cellStyle name="표준 6 2 2 3 2 16" xfId="51471"/>
    <cellStyle name="표준 6 2 2 3 2 17" xfId="51472"/>
    <cellStyle name="표준 6 2 2 3 2 18" xfId="51473"/>
    <cellStyle name="표준 6 2 2 3 2 19" xfId="51474"/>
    <cellStyle name="표준 6 2 2 3 2 2" xfId="51475"/>
    <cellStyle name="표준 6 2 2 3 2 3" xfId="51476"/>
    <cellStyle name="표준 6 2 2 3 2 4" xfId="51477"/>
    <cellStyle name="표준 6 2 2 3 2 5" xfId="51478"/>
    <cellStyle name="표준 6 2 2 3 2 6" xfId="51479"/>
    <cellStyle name="표준 6 2 2 3 2 7" xfId="51480"/>
    <cellStyle name="표준 6 2 2 3 2 8" xfId="51481"/>
    <cellStyle name="표준 6 2 2 3 2 9" xfId="51482"/>
    <cellStyle name="표준 6 2 2 3 20" xfId="51483"/>
    <cellStyle name="표준 6 2 2 3 21" xfId="51484"/>
    <cellStyle name="표준 6 2 2 3 22" xfId="51485"/>
    <cellStyle name="표준 6 2 2 3 23" xfId="51486"/>
    <cellStyle name="표준 6 2 2 3 24" xfId="51487"/>
    <cellStyle name="표준 6 2 2 3 25" xfId="51488"/>
    <cellStyle name="표준 6 2 2 3 26" xfId="51489"/>
    <cellStyle name="표준 6 2 2 3 3" xfId="51490"/>
    <cellStyle name="표준 6 2 2 3 3 10" xfId="51491"/>
    <cellStyle name="표준 6 2 2 3 3 11" xfId="51492"/>
    <cellStyle name="표준 6 2 2 3 3 12" xfId="51493"/>
    <cellStyle name="표준 6 2 2 3 3 13" xfId="51494"/>
    <cellStyle name="표준 6 2 2 3 3 14" xfId="51495"/>
    <cellStyle name="표준 6 2 2 3 3 15" xfId="51496"/>
    <cellStyle name="표준 6 2 2 3 3 16" xfId="51497"/>
    <cellStyle name="표준 6 2 2 3 3 17" xfId="51498"/>
    <cellStyle name="표준 6 2 2 3 3 18" xfId="51499"/>
    <cellStyle name="표준 6 2 2 3 3 19" xfId="51500"/>
    <cellStyle name="표준 6 2 2 3 3 2" xfId="51501"/>
    <cellStyle name="표준 6 2 2 3 3 3" xfId="51502"/>
    <cellStyle name="표준 6 2 2 3 3 4" xfId="51503"/>
    <cellStyle name="표준 6 2 2 3 3 5" xfId="51504"/>
    <cellStyle name="표준 6 2 2 3 3 6" xfId="51505"/>
    <cellStyle name="표준 6 2 2 3 3 7" xfId="51506"/>
    <cellStyle name="표준 6 2 2 3 3 8" xfId="51507"/>
    <cellStyle name="표준 6 2 2 3 3 9" xfId="51508"/>
    <cellStyle name="표준 6 2 2 3 4" xfId="51509"/>
    <cellStyle name="표준 6 2 2 3 4 10" xfId="51510"/>
    <cellStyle name="표준 6 2 2 3 4 11" xfId="51511"/>
    <cellStyle name="표준 6 2 2 3 4 12" xfId="51512"/>
    <cellStyle name="표준 6 2 2 3 4 13" xfId="51513"/>
    <cellStyle name="표준 6 2 2 3 4 14" xfId="51514"/>
    <cellStyle name="표준 6 2 2 3 4 15" xfId="51515"/>
    <cellStyle name="표준 6 2 2 3 4 16" xfId="51516"/>
    <cellStyle name="표준 6 2 2 3 4 17" xfId="51517"/>
    <cellStyle name="표준 6 2 2 3 4 18" xfId="51518"/>
    <cellStyle name="표준 6 2 2 3 4 19" xfId="51519"/>
    <cellStyle name="표준 6 2 2 3 4 2" xfId="51520"/>
    <cellStyle name="표준 6 2 2 3 4 3" xfId="51521"/>
    <cellStyle name="표준 6 2 2 3 4 4" xfId="51522"/>
    <cellStyle name="표준 6 2 2 3 4 5" xfId="51523"/>
    <cellStyle name="표준 6 2 2 3 4 6" xfId="51524"/>
    <cellStyle name="표준 6 2 2 3 4 7" xfId="51525"/>
    <cellStyle name="표준 6 2 2 3 4 8" xfId="51526"/>
    <cellStyle name="표준 6 2 2 3 4 9" xfId="51527"/>
    <cellStyle name="표준 6 2 2 3 5" xfId="51528"/>
    <cellStyle name="표준 6 2 2 3 5 10" xfId="51529"/>
    <cellStyle name="표준 6 2 2 3 5 11" xfId="51530"/>
    <cellStyle name="표준 6 2 2 3 5 12" xfId="51531"/>
    <cellStyle name="표준 6 2 2 3 5 13" xfId="51532"/>
    <cellStyle name="표준 6 2 2 3 5 14" xfId="51533"/>
    <cellStyle name="표준 6 2 2 3 5 15" xfId="51534"/>
    <cellStyle name="표준 6 2 2 3 5 16" xfId="51535"/>
    <cellStyle name="표준 6 2 2 3 5 17" xfId="51536"/>
    <cellStyle name="표준 6 2 2 3 5 18" xfId="51537"/>
    <cellStyle name="표준 6 2 2 3 5 19" xfId="51538"/>
    <cellStyle name="표준 6 2 2 3 5 2" xfId="51539"/>
    <cellStyle name="표준 6 2 2 3 5 3" xfId="51540"/>
    <cellStyle name="표준 6 2 2 3 5 4" xfId="51541"/>
    <cellStyle name="표준 6 2 2 3 5 5" xfId="51542"/>
    <cellStyle name="표준 6 2 2 3 5 6" xfId="51543"/>
    <cellStyle name="표준 6 2 2 3 5 7" xfId="51544"/>
    <cellStyle name="표준 6 2 2 3 5 8" xfId="51545"/>
    <cellStyle name="표준 6 2 2 3 5 9" xfId="51546"/>
    <cellStyle name="표준 6 2 2 3 6" xfId="51547"/>
    <cellStyle name="표준 6 2 2 3 6 10" xfId="51548"/>
    <cellStyle name="표준 6 2 2 3 6 11" xfId="51549"/>
    <cellStyle name="표준 6 2 2 3 6 12" xfId="51550"/>
    <cellStyle name="표준 6 2 2 3 6 13" xfId="51551"/>
    <cellStyle name="표준 6 2 2 3 6 14" xfId="51552"/>
    <cellStyle name="표준 6 2 2 3 6 15" xfId="51553"/>
    <cellStyle name="표준 6 2 2 3 6 16" xfId="51554"/>
    <cellStyle name="표준 6 2 2 3 6 17" xfId="51555"/>
    <cellStyle name="표준 6 2 2 3 6 18" xfId="51556"/>
    <cellStyle name="표준 6 2 2 3 6 19" xfId="51557"/>
    <cellStyle name="표준 6 2 2 3 6 2" xfId="51558"/>
    <cellStyle name="표준 6 2 2 3 6 3" xfId="51559"/>
    <cellStyle name="표준 6 2 2 3 6 4" xfId="51560"/>
    <cellStyle name="표준 6 2 2 3 6 5" xfId="51561"/>
    <cellStyle name="표준 6 2 2 3 6 6" xfId="51562"/>
    <cellStyle name="표준 6 2 2 3 6 7" xfId="51563"/>
    <cellStyle name="표준 6 2 2 3 6 8" xfId="51564"/>
    <cellStyle name="표준 6 2 2 3 6 9" xfId="51565"/>
    <cellStyle name="표준 6 2 2 3 7" xfId="51566"/>
    <cellStyle name="표준 6 2 2 3 7 10" xfId="51567"/>
    <cellStyle name="표준 6 2 2 3 7 11" xfId="51568"/>
    <cellStyle name="표준 6 2 2 3 7 12" xfId="51569"/>
    <cellStyle name="표준 6 2 2 3 7 13" xfId="51570"/>
    <cellStyle name="표준 6 2 2 3 7 14" xfId="51571"/>
    <cellStyle name="표준 6 2 2 3 7 15" xfId="51572"/>
    <cellStyle name="표준 6 2 2 3 7 16" xfId="51573"/>
    <cellStyle name="표준 6 2 2 3 7 17" xfId="51574"/>
    <cellStyle name="표준 6 2 2 3 7 18" xfId="51575"/>
    <cellStyle name="표준 6 2 2 3 7 19" xfId="51576"/>
    <cellStyle name="표준 6 2 2 3 7 2" xfId="51577"/>
    <cellStyle name="표준 6 2 2 3 7 3" xfId="51578"/>
    <cellStyle name="표준 6 2 2 3 7 4" xfId="51579"/>
    <cellStyle name="표준 6 2 2 3 7 5" xfId="51580"/>
    <cellStyle name="표준 6 2 2 3 7 6" xfId="51581"/>
    <cellStyle name="표준 6 2 2 3 7 7" xfId="51582"/>
    <cellStyle name="표준 6 2 2 3 7 8" xfId="51583"/>
    <cellStyle name="표준 6 2 2 3 7 9" xfId="51584"/>
    <cellStyle name="표준 6 2 2 3 8" xfId="51585"/>
    <cellStyle name="표준 6 2 2 3 8 10" xfId="51586"/>
    <cellStyle name="표준 6 2 2 3 8 11" xfId="51587"/>
    <cellStyle name="표준 6 2 2 3 8 12" xfId="51588"/>
    <cellStyle name="표준 6 2 2 3 8 13" xfId="51589"/>
    <cellStyle name="표준 6 2 2 3 8 14" xfId="51590"/>
    <cellStyle name="표준 6 2 2 3 8 15" xfId="51591"/>
    <cellStyle name="표준 6 2 2 3 8 16" xfId="51592"/>
    <cellStyle name="표준 6 2 2 3 8 17" xfId="51593"/>
    <cellStyle name="표준 6 2 2 3 8 18" xfId="51594"/>
    <cellStyle name="표준 6 2 2 3 8 19" xfId="51595"/>
    <cellStyle name="표준 6 2 2 3 8 2" xfId="51596"/>
    <cellStyle name="표준 6 2 2 3 8 3" xfId="51597"/>
    <cellStyle name="표준 6 2 2 3 8 4" xfId="51598"/>
    <cellStyle name="표준 6 2 2 3 8 5" xfId="51599"/>
    <cellStyle name="표준 6 2 2 3 8 6" xfId="51600"/>
    <cellStyle name="표준 6 2 2 3 8 7" xfId="51601"/>
    <cellStyle name="표준 6 2 2 3 8 8" xfId="51602"/>
    <cellStyle name="표준 6 2 2 3 8 9" xfId="51603"/>
    <cellStyle name="표준 6 2 2 3 9" xfId="51604"/>
    <cellStyle name="표준 6 2 2 4" xfId="51605"/>
    <cellStyle name="표준 6 2 2 4 10" xfId="51606"/>
    <cellStyle name="표준 6 2 2 4 11" xfId="51607"/>
    <cellStyle name="표준 6 2 2 4 12" xfId="51608"/>
    <cellStyle name="표준 6 2 2 4 13" xfId="51609"/>
    <cellStyle name="표준 6 2 2 4 14" xfId="51610"/>
    <cellStyle name="표준 6 2 2 4 15" xfId="51611"/>
    <cellStyle name="표준 6 2 2 4 16" xfId="51612"/>
    <cellStyle name="표준 6 2 2 4 17" xfId="51613"/>
    <cellStyle name="표준 6 2 2 4 18" xfId="51614"/>
    <cellStyle name="표준 6 2 2 4 19" xfId="51615"/>
    <cellStyle name="표준 6 2 2 4 2" xfId="51616"/>
    <cellStyle name="표준 6 2 2 4 3" xfId="51617"/>
    <cellStyle name="표준 6 2 2 4 4" xfId="51618"/>
    <cellStyle name="표준 6 2 2 4 5" xfId="51619"/>
    <cellStyle name="표준 6 2 2 4 6" xfId="51620"/>
    <cellStyle name="표준 6 2 2 4 7" xfId="51621"/>
    <cellStyle name="표준 6 2 2 4 8" xfId="51622"/>
    <cellStyle name="표준 6 2 2 4 9" xfId="51623"/>
    <cellStyle name="표준 6 2 2 5" xfId="51624"/>
    <cellStyle name="표준 6 2 2 5 10" xfId="51625"/>
    <cellStyle name="표준 6 2 2 5 11" xfId="51626"/>
    <cellStyle name="표준 6 2 2 5 12" xfId="51627"/>
    <cellStyle name="표준 6 2 2 5 13" xfId="51628"/>
    <cellStyle name="표준 6 2 2 5 14" xfId="51629"/>
    <cellStyle name="표준 6 2 2 5 15" xfId="51630"/>
    <cellStyle name="표준 6 2 2 5 16" xfId="51631"/>
    <cellStyle name="표준 6 2 2 5 17" xfId="51632"/>
    <cellStyle name="표준 6 2 2 5 18" xfId="51633"/>
    <cellStyle name="표준 6 2 2 5 19" xfId="51634"/>
    <cellStyle name="표준 6 2 2 5 2" xfId="51635"/>
    <cellStyle name="표준 6 2 2 5 3" xfId="51636"/>
    <cellStyle name="표준 6 2 2 5 4" xfId="51637"/>
    <cellStyle name="표준 6 2 2 5 5" xfId="51638"/>
    <cellStyle name="표준 6 2 2 5 6" xfId="51639"/>
    <cellStyle name="표준 6 2 2 5 7" xfId="51640"/>
    <cellStyle name="표준 6 2 2 5 8" xfId="51641"/>
    <cellStyle name="표준 6 2 2 5 9" xfId="51642"/>
    <cellStyle name="표준 6 2 2 6" xfId="51643"/>
    <cellStyle name="표준 6 2 2 6 10" xfId="51644"/>
    <cellStyle name="표준 6 2 2 6 11" xfId="51645"/>
    <cellStyle name="표준 6 2 2 6 12" xfId="51646"/>
    <cellStyle name="표준 6 2 2 6 13" xfId="51647"/>
    <cellStyle name="표준 6 2 2 6 14" xfId="51648"/>
    <cellStyle name="표준 6 2 2 6 15" xfId="51649"/>
    <cellStyle name="표준 6 2 2 6 16" xfId="51650"/>
    <cellStyle name="표준 6 2 2 6 17" xfId="51651"/>
    <cellStyle name="표준 6 2 2 6 18" xfId="51652"/>
    <cellStyle name="표준 6 2 2 6 19" xfId="51653"/>
    <cellStyle name="표준 6 2 2 6 2" xfId="51654"/>
    <cellStyle name="표준 6 2 2 6 3" xfId="51655"/>
    <cellStyle name="표준 6 2 2 6 4" xfId="51656"/>
    <cellStyle name="표준 6 2 2 6 5" xfId="51657"/>
    <cellStyle name="표준 6 2 2 6 6" xfId="51658"/>
    <cellStyle name="표준 6 2 2 6 7" xfId="51659"/>
    <cellStyle name="표준 6 2 2 6 8" xfId="51660"/>
    <cellStyle name="표준 6 2 2 6 9" xfId="51661"/>
    <cellStyle name="표준 6 2 2 7" xfId="51662"/>
    <cellStyle name="표준 6 2 2 7 10" xfId="51663"/>
    <cellStyle name="표준 6 2 2 7 11" xfId="51664"/>
    <cellStyle name="표준 6 2 2 7 12" xfId="51665"/>
    <cellStyle name="표준 6 2 2 7 13" xfId="51666"/>
    <cellStyle name="표준 6 2 2 7 14" xfId="51667"/>
    <cellStyle name="표준 6 2 2 7 15" xfId="51668"/>
    <cellStyle name="표준 6 2 2 7 16" xfId="51669"/>
    <cellStyle name="표준 6 2 2 7 17" xfId="51670"/>
    <cellStyle name="표준 6 2 2 7 18" xfId="51671"/>
    <cellStyle name="표준 6 2 2 7 19" xfId="51672"/>
    <cellStyle name="표준 6 2 2 7 2" xfId="51673"/>
    <cellStyle name="표준 6 2 2 7 3" xfId="51674"/>
    <cellStyle name="표준 6 2 2 7 4" xfId="51675"/>
    <cellStyle name="표준 6 2 2 7 5" xfId="51676"/>
    <cellStyle name="표준 6 2 2 7 6" xfId="51677"/>
    <cellStyle name="표준 6 2 2 7 7" xfId="51678"/>
    <cellStyle name="표준 6 2 2 7 8" xfId="51679"/>
    <cellStyle name="표준 6 2 2 7 9" xfId="51680"/>
    <cellStyle name="표준 6 2 2 8" xfId="51681"/>
    <cellStyle name="표준 6 2 2 8 10" xfId="51682"/>
    <cellStyle name="표준 6 2 2 8 11" xfId="51683"/>
    <cellStyle name="표준 6 2 2 8 12" xfId="51684"/>
    <cellStyle name="표준 6 2 2 8 13" xfId="51685"/>
    <cellStyle name="표준 6 2 2 8 14" xfId="51686"/>
    <cellStyle name="표준 6 2 2 8 15" xfId="51687"/>
    <cellStyle name="표준 6 2 2 8 16" xfId="51688"/>
    <cellStyle name="표준 6 2 2 8 17" xfId="51689"/>
    <cellStyle name="표준 6 2 2 8 18" xfId="51690"/>
    <cellStyle name="표준 6 2 2 8 19" xfId="51691"/>
    <cellStyle name="표준 6 2 2 8 2" xfId="51692"/>
    <cellStyle name="표준 6 2 2 8 3" xfId="51693"/>
    <cellStyle name="표준 6 2 2 8 4" xfId="51694"/>
    <cellStyle name="표준 6 2 2 8 5" xfId="51695"/>
    <cellStyle name="표준 6 2 2 8 6" xfId="51696"/>
    <cellStyle name="표준 6 2 2 8 7" xfId="51697"/>
    <cellStyle name="표준 6 2 2 8 8" xfId="51698"/>
    <cellStyle name="표준 6 2 2 8 9" xfId="51699"/>
    <cellStyle name="표준 6 2 2 9" xfId="51700"/>
    <cellStyle name="표준 6 2 2 9 10" xfId="51701"/>
    <cellStyle name="표준 6 2 2 9 11" xfId="51702"/>
    <cellStyle name="표준 6 2 2 9 12" xfId="51703"/>
    <cellStyle name="표준 6 2 2 9 13" xfId="51704"/>
    <cellStyle name="표준 6 2 2 9 14" xfId="51705"/>
    <cellStyle name="표준 6 2 2 9 15" xfId="51706"/>
    <cellStyle name="표준 6 2 2 9 16" xfId="51707"/>
    <cellStyle name="표준 6 2 2 9 17" xfId="51708"/>
    <cellStyle name="표준 6 2 2 9 18" xfId="51709"/>
    <cellStyle name="표준 6 2 2 9 19" xfId="51710"/>
    <cellStyle name="표준 6 2 2 9 2" xfId="51711"/>
    <cellStyle name="표준 6 2 2 9 3" xfId="51712"/>
    <cellStyle name="표준 6 2 2 9 4" xfId="51713"/>
    <cellStyle name="표준 6 2 2 9 5" xfId="51714"/>
    <cellStyle name="표준 6 2 2 9 6" xfId="51715"/>
    <cellStyle name="표준 6 2 2 9 7" xfId="51716"/>
    <cellStyle name="표준 6 2 2 9 8" xfId="51717"/>
    <cellStyle name="표준 6 2 2 9 9" xfId="51718"/>
    <cellStyle name="표준 6 2 20" xfId="51719"/>
    <cellStyle name="표준 6 2 21" xfId="51720"/>
    <cellStyle name="표준 6 2 22" xfId="51721"/>
    <cellStyle name="표준 6 2 23" xfId="51722"/>
    <cellStyle name="표준 6 2 24" xfId="51723"/>
    <cellStyle name="표준 6 2 25" xfId="51724"/>
    <cellStyle name="표준 6 2 26" xfId="51725"/>
    <cellStyle name="표준 6 2 27" xfId="51726"/>
    <cellStyle name="표준 6 2 28" xfId="51727"/>
    <cellStyle name="표준 6 2 3" xfId="51728"/>
    <cellStyle name="표준 6 2 3 10" xfId="51729"/>
    <cellStyle name="표준 6 2 3 11" xfId="51730"/>
    <cellStyle name="표준 6 2 3 12" xfId="51731"/>
    <cellStyle name="표준 6 2 3 13" xfId="51732"/>
    <cellStyle name="표준 6 2 3 14" xfId="51733"/>
    <cellStyle name="표준 6 2 3 15" xfId="51734"/>
    <cellStyle name="표준 6 2 3 16" xfId="51735"/>
    <cellStyle name="표준 6 2 3 17" xfId="51736"/>
    <cellStyle name="표준 6 2 3 18" xfId="51737"/>
    <cellStyle name="표준 6 2 3 19" xfId="51738"/>
    <cellStyle name="표준 6 2 3 2" xfId="51739"/>
    <cellStyle name="표준 6 2 3 2 10" xfId="51740"/>
    <cellStyle name="표준 6 2 3 2 11" xfId="51741"/>
    <cellStyle name="표준 6 2 3 2 12" xfId="51742"/>
    <cellStyle name="표준 6 2 3 2 13" xfId="51743"/>
    <cellStyle name="표준 6 2 3 2 14" xfId="51744"/>
    <cellStyle name="표준 6 2 3 2 15" xfId="51745"/>
    <cellStyle name="표준 6 2 3 2 16" xfId="51746"/>
    <cellStyle name="표준 6 2 3 2 17" xfId="51747"/>
    <cellStyle name="표준 6 2 3 2 18" xfId="51748"/>
    <cellStyle name="표준 6 2 3 2 19" xfId="51749"/>
    <cellStyle name="표준 6 2 3 2 2" xfId="51750"/>
    <cellStyle name="표준 6 2 3 2 2 10" xfId="51751"/>
    <cellStyle name="표준 6 2 3 2 2 11" xfId="51752"/>
    <cellStyle name="표준 6 2 3 2 2 12" xfId="51753"/>
    <cellStyle name="표준 6 2 3 2 2 13" xfId="51754"/>
    <cellStyle name="표준 6 2 3 2 2 14" xfId="51755"/>
    <cellStyle name="표준 6 2 3 2 2 15" xfId="51756"/>
    <cellStyle name="표준 6 2 3 2 2 16" xfId="51757"/>
    <cellStyle name="표준 6 2 3 2 2 17" xfId="51758"/>
    <cellStyle name="표준 6 2 3 2 2 18" xfId="51759"/>
    <cellStyle name="표준 6 2 3 2 2 19" xfId="51760"/>
    <cellStyle name="표준 6 2 3 2 2 2" xfId="51761"/>
    <cellStyle name="표준 6 2 3 2 2 3" xfId="51762"/>
    <cellStyle name="표준 6 2 3 2 2 4" xfId="51763"/>
    <cellStyle name="표준 6 2 3 2 2 5" xfId="51764"/>
    <cellStyle name="표준 6 2 3 2 2 6" xfId="51765"/>
    <cellStyle name="표준 6 2 3 2 2 7" xfId="51766"/>
    <cellStyle name="표준 6 2 3 2 2 8" xfId="51767"/>
    <cellStyle name="표준 6 2 3 2 2 9" xfId="51768"/>
    <cellStyle name="표준 6 2 3 2 20" xfId="51769"/>
    <cellStyle name="표준 6 2 3 2 21" xfId="51770"/>
    <cellStyle name="표준 6 2 3 2 22" xfId="51771"/>
    <cellStyle name="표준 6 2 3 2 23" xfId="51772"/>
    <cellStyle name="표준 6 2 3 2 24" xfId="51773"/>
    <cellStyle name="표준 6 2 3 2 25" xfId="51774"/>
    <cellStyle name="표준 6 2 3 2 26" xfId="51775"/>
    <cellStyle name="표준 6 2 3 2 3" xfId="51776"/>
    <cellStyle name="표준 6 2 3 2 3 10" xfId="51777"/>
    <cellStyle name="표준 6 2 3 2 3 11" xfId="51778"/>
    <cellStyle name="표준 6 2 3 2 3 12" xfId="51779"/>
    <cellStyle name="표준 6 2 3 2 3 13" xfId="51780"/>
    <cellStyle name="표준 6 2 3 2 3 14" xfId="51781"/>
    <cellStyle name="표준 6 2 3 2 3 15" xfId="51782"/>
    <cellStyle name="표준 6 2 3 2 3 16" xfId="51783"/>
    <cellStyle name="표준 6 2 3 2 3 17" xfId="51784"/>
    <cellStyle name="표준 6 2 3 2 3 18" xfId="51785"/>
    <cellStyle name="표준 6 2 3 2 3 19" xfId="51786"/>
    <cellStyle name="표준 6 2 3 2 3 2" xfId="51787"/>
    <cellStyle name="표준 6 2 3 2 3 3" xfId="51788"/>
    <cellStyle name="표준 6 2 3 2 3 4" xfId="51789"/>
    <cellStyle name="표준 6 2 3 2 3 5" xfId="51790"/>
    <cellStyle name="표준 6 2 3 2 3 6" xfId="51791"/>
    <cellStyle name="표준 6 2 3 2 3 7" xfId="51792"/>
    <cellStyle name="표준 6 2 3 2 3 8" xfId="51793"/>
    <cellStyle name="표준 6 2 3 2 3 9" xfId="51794"/>
    <cellStyle name="표준 6 2 3 2 4" xfId="51795"/>
    <cellStyle name="표준 6 2 3 2 4 10" xfId="51796"/>
    <cellStyle name="표준 6 2 3 2 4 11" xfId="51797"/>
    <cellStyle name="표준 6 2 3 2 4 12" xfId="51798"/>
    <cellStyle name="표준 6 2 3 2 4 13" xfId="51799"/>
    <cellStyle name="표준 6 2 3 2 4 14" xfId="51800"/>
    <cellStyle name="표준 6 2 3 2 4 15" xfId="51801"/>
    <cellStyle name="표준 6 2 3 2 4 16" xfId="51802"/>
    <cellStyle name="표준 6 2 3 2 4 17" xfId="51803"/>
    <cellStyle name="표준 6 2 3 2 4 18" xfId="51804"/>
    <cellStyle name="표준 6 2 3 2 4 19" xfId="51805"/>
    <cellStyle name="표준 6 2 3 2 4 2" xfId="51806"/>
    <cellStyle name="표준 6 2 3 2 4 3" xfId="51807"/>
    <cellStyle name="표준 6 2 3 2 4 4" xfId="51808"/>
    <cellStyle name="표준 6 2 3 2 4 5" xfId="51809"/>
    <cellStyle name="표준 6 2 3 2 4 6" xfId="51810"/>
    <cellStyle name="표준 6 2 3 2 4 7" xfId="51811"/>
    <cellStyle name="표준 6 2 3 2 4 8" xfId="51812"/>
    <cellStyle name="표준 6 2 3 2 4 9" xfId="51813"/>
    <cellStyle name="표준 6 2 3 2 5" xfId="51814"/>
    <cellStyle name="표준 6 2 3 2 5 10" xfId="51815"/>
    <cellStyle name="표준 6 2 3 2 5 11" xfId="51816"/>
    <cellStyle name="표준 6 2 3 2 5 12" xfId="51817"/>
    <cellStyle name="표준 6 2 3 2 5 13" xfId="51818"/>
    <cellStyle name="표준 6 2 3 2 5 14" xfId="51819"/>
    <cellStyle name="표준 6 2 3 2 5 15" xfId="51820"/>
    <cellStyle name="표준 6 2 3 2 5 16" xfId="51821"/>
    <cellStyle name="표준 6 2 3 2 5 17" xfId="51822"/>
    <cellStyle name="표준 6 2 3 2 5 18" xfId="51823"/>
    <cellStyle name="표준 6 2 3 2 5 19" xfId="51824"/>
    <cellStyle name="표준 6 2 3 2 5 2" xfId="51825"/>
    <cellStyle name="표준 6 2 3 2 5 3" xfId="51826"/>
    <cellStyle name="표준 6 2 3 2 5 4" xfId="51827"/>
    <cellStyle name="표준 6 2 3 2 5 5" xfId="51828"/>
    <cellStyle name="표준 6 2 3 2 5 6" xfId="51829"/>
    <cellStyle name="표준 6 2 3 2 5 7" xfId="51830"/>
    <cellStyle name="표준 6 2 3 2 5 8" xfId="51831"/>
    <cellStyle name="표준 6 2 3 2 5 9" xfId="51832"/>
    <cellStyle name="표준 6 2 3 2 6" xfId="51833"/>
    <cellStyle name="표준 6 2 3 2 6 10" xfId="51834"/>
    <cellStyle name="표준 6 2 3 2 6 11" xfId="51835"/>
    <cellStyle name="표준 6 2 3 2 6 12" xfId="51836"/>
    <cellStyle name="표준 6 2 3 2 6 13" xfId="51837"/>
    <cellStyle name="표준 6 2 3 2 6 14" xfId="51838"/>
    <cellStyle name="표준 6 2 3 2 6 15" xfId="51839"/>
    <cellStyle name="표준 6 2 3 2 6 16" xfId="51840"/>
    <cellStyle name="표준 6 2 3 2 6 17" xfId="51841"/>
    <cellStyle name="표준 6 2 3 2 6 18" xfId="51842"/>
    <cellStyle name="표준 6 2 3 2 6 19" xfId="51843"/>
    <cellStyle name="표준 6 2 3 2 6 2" xfId="51844"/>
    <cellStyle name="표준 6 2 3 2 6 3" xfId="51845"/>
    <cellStyle name="표준 6 2 3 2 6 4" xfId="51846"/>
    <cellStyle name="표준 6 2 3 2 6 5" xfId="51847"/>
    <cellStyle name="표준 6 2 3 2 6 6" xfId="51848"/>
    <cellStyle name="표준 6 2 3 2 6 7" xfId="51849"/>
    <cellStyle name="표준 6 2 3 2 6 8" xfId="51850"/>
    <cellStyle name="표준 6 2 3 2 6 9" xfId="51851"/>
    <cellStyle name="표준 6 2 3 2 7" xfId="51852"/>
    <cellStyle name="표준 6 2 3 2 7 10" xfId="51853"/>
    <cellStyle name="표준 6 2 3 2 7 11" xfId="51854"/>
    <cellStyle name="표준 6 2 3 2 7 12" xfId="51855"/>
    <cellStyle name="표준 6 2 3 2 7 13" xfId="51856"/>
    <cellStyle name="표준 6 2 3 2 7 14" xfId="51857"/>
    <cellStyle name="표준 6 2 3 2 7 15" xfId="51858"/>
    <cellStyle name="표준 6 2 3 2 7 16" xfId="51859"/>
    <cellStyle name="표준 6 2 3 2 7 17" xfId="51860"/>
    <cellStyle name="표준 6 2 3 2 7 18" xfId="51861"/>
    <cellStyle name="표준 6 2 3 2 7 19" xfId="51862"/>
    <cellStyle name="표준 6 2 3 2 7 2" xfId="51863"/>
    <cellStyle name="표준 6 2 3 2 7 3" xfId="51864"/>
    <cellStyle name="표준 6 2 3 2 7 4" xfId="51865"/>
    <cellStyle name="표준 6 2 3 2 7 5" xfId="51866"/>
    <cellStyle name="표준 6 2 3 2 7 6" xfId="51867"/>
    <cellStyle name="표준 6 2 3 2 7 7" xfId="51868"/>
    <cellStyle name="표준 6 2 3 2 7 8" xfId="51869"/>
    <cellStyle name="표준 6 2 3 2 7 9" xfId="51870"/>
    <cellStyle name="표준 6 2 3 2 8" xfId="51871"/>
    <cellStyle name="표준 6 2 3 2 8 10" xfId="51872"/>
    <cellStyle name="표준 6 2 3 2 8 11" xfId="51873"/>
    <cellStyle name="표준 6 2 3 2 8 12" xfId="51874"/>
    <cellStyle name="표준 6 2 3 2 8 13" xfId="51875"/>
    <cellStyle name="표준 6 2 3 2 8 14" xfId="51876"/>
    <cellStyle name="표준 6 2 3 2 8 15" xfId="51877"/>
    <cellStyle name="표준 6 2 3 2 8 16" xfId="51878"/>
    <cellStyle name="표준 6 2 3 2 8 17" xfId="51879"/>
    <cellStyle name="표준 6 2 3 2 8 18" xfId="51880"/>
    <cellStyle name="표준 6 2 3 2 8 19" xfId="51881"/>
    <cellStyle name="표준 6 2 3 2 8 2" xfId="51882"/>
    <cellStyle name="표준 6 2 3 2 8 3" xfId="51883"/>
    <cellStyle name="표준 6 2 3 2 8 4" xfId="51884"/>
    <cellStyle name="표준 6 2 3 2 8 5" xfId="51885"/>
    <cellStyle name="표준 6 2 3 2 8 6" xfId="51886"/>
    <cellStyle name="표준 6 2 3 2 8 7" xfId="51887"/>
    <cellStyle name="표준 6 2 3 2 8 8" xfId="51888"/>
    <cellStyle name="표준 6 2 3 2 8 9" xfId="51889"/>
    <cellStyle name="표준 6 2 3 2 9" xfId="51890"/>
    <cellStyle name="표준 6 2 3 20" xfId="51891"/>
    <cellStyle name="표준 6 2 3 21" xfId="51892"/>
    <cellStyle name="표준 6 2 3 22" xfId="51893"/>
    <cellStyle name="표준 6 2 3 23" xfId="51894"/>
    <cellStyle name="표준 6 2 3 24" xfId="51895"/>
    <cellStyle name="표준 6 2 3 25" xfId="51896"/>
    <cellStyle name="표준 6 2 3 26" xfId="51897"/>
    <cellStyle name="표준 6 2 3 27" xfId="51898"/>
    <cellStyle name="표준 6 2 3 3" xfId="51899"/>
    <cellStyle name="표준 6 2 3 3 10" xfId="51900"/>
    <cellStyle name="표준 6 2 3 3 11" xfId="51901"/>
    <cellStyle name="표준 6 2 3 3 12" xfId="51902"/>
    <cellStyle name="표준 6 2 3 3 13" xfId="51903"/>
    <cellStyle name="표준 6 2 3 3 14" xfId="51904"/>
    <cellStyle name="표준 6 2 3 3 15" xfId="51905"/>
    <cellStyle name="표준 6 2 3 3 16" xfId="51906"/>
    <cellStyle name="표준 6 2 3 3 17" xfId="51907"/>
    <cellStyle name="표준 6 2 3 3 18" xfId="51908"/>
    <cellStyle name="표준 6 2 3 3 19" xfId="51909"/>
    <cellStyle name="표준 6 2 3 3 2" xfId="51910"/>
    <cellStyle name="표준 6 2 3 3 3" xfId="51911"/>
    <cellStyle name="표준 6 2 3 3 4" xfId="51912"/>
    <cellStyle name="표준 6 2 3 3 5" xfId="51913"/>
    <cellStyle name="표준 6 2 3 3 6" xfId="51914"/>
    <cellStyle name="표준 6 2 3 3 7" xfId="51915"/>
    <cellStyle name="표준 6 2 3 3 8" xfId="51916"/>
    <cellStyle name="표준 6 2 3 3 9" xfId="51917"/>
    <cellStyle name="표준 6 2 3 4" xfId="51918"/>
    <cellStyle name="표준 6 2 3 4 10" xfId="51919"/>
    <cellStyle name="표준 6 2 3 4 11" xfId="51920"/>
    <cellStyle name="표준 6 2 3 4 12" xfId="51921"/>
    <cellStyle name="표준 6 2 3 4 13" xfId="51922"/>
    <cellStyle name="표준 6 2 3 4 14" xfId="51923"/>
    <cellStyle name="표준 6 2 3 4 15" xfId="51924"/>
    <cellStyle name="표준 6 2 3 4 16" xfId="51925"/>
    <cellStyle name="표준 6 2 3 4 17" xfId="51926"/>
    <cellStyle name="표준 6 2 3 4 18" xfId="51927"/>
    <cellStyle name="표준 6 2 3 4 19" xfId="51928"/>
    <cellStyle name="표준 6 2 3 4 2" xfId="51929"/>
    <cellStyle name="표준 6 2 3 4 3" xfId="51930"/>
    <cellStyle name="표준 6 2 3 4 4" xfId="51931"/>
    <cellStyle name="표준 6 2 3 4 5" xfId="51932"/>
    <cellStyle name="표준 6 2 3 4 6" xfId="51933"/>
    <cellStyle name="표준 6 2 3 4 7" xfId="51934"/>
    <cellStyle name="표준 6 2 3 4 8" xfId="51935"/>
    <cellStyle name="표준 6 2 3 4 9" xfId="51936"/>
    <cellStyle name="표준 6 2 3 5" xfId="51937"/>
    <cellStyle name="표준 6 2 3 5 10" xfId="51938"/>
    <cellStyle name="표준 6 2 3 5 11" xfId="51939"/>
    <cellStyle name="표준 6 2 3 5 12" xfId="51940"/>
    <cellStyle name="표준 6 2 3 5 13" xfId="51941"/>
    <cellStyle name="표준 6 2 3 5 14" xfId="51942"/>
    <cellStyle name="표준 6 2 3 5 15" xfId="51943"/>
    <cellStyle name="표준 6 2 3 5 16" xfId="51944"/>
    <cellStyle name="표준 6 2 3 5 17" xfId="51945"/>
    <cellStyle name="표준 6 2 3 5 18" xfId="51946"/>
    <cellStyle name="표준 6 2 3 5 19" xfId="51947"/>
    <cellStyle name="표준 6 2 3 5 2" xfId="51948"/>
    <cellStyle name="표준 6 2 3 5 3" xfId="51949"/>
    <cellStyle name="표준 6 2 3 5 4" xfId="51950"/>
    <cellStyle name="표준 6 2 3 5 5" xfId="51951"/>
    <cellStyle name="표준 6 2 3 5 6" xfId="51952"/>
    <cellStyle name="표준 6 2 3 5 7" xfId="51953"/>
    <cellStyle name="표준 6 2 3 5 8" xfId="51954"/>
    <cellStyle name="표준 6 2 3 5 9" xfId="51955"/>
    <cellStyle name="표준 6 2 3 6" xfId="51956"/>
    <cellStyle name="표준 6 2 3 6 10" xfId="51957"/>
    <cellStyle name="표준 6 2 3 6 11" xfId="51958"/>
    <cellStyle name="표준 6 2 3 6 12" xfId="51959"/>
    <cellStyle name="표준 6 2 3 6 13" xfId="51960"/>
    <cellStyle name="표준 6 2 3 6 14" xfId="51961"/>
    <cellStyle name="표준 6 2 3 6 15" xfId="51962"/>
    <cellStyle name="표준 6 2 3 6 16" xfId="51963"/>
    <cellStyle name="표준 6 2 3 6 17" xfId="51964"/>
    <cellStyle name="표준 6 2 3 6 18" xfId="51965"/>
    <cellStyle name="표준 6 2 3 6 19" xfId="51966"/>
    <cellStyle name="표준 6 2 3 6 2" xfId="51967"/>
    <cellStyle name="표준 6 2 3 6 3" xfId="51968"/>
    <cellStyle name="표준 6 2 3 6 4" xfId="51969"/>
    <cellStyle name="표준 6 2 3 6 5" xfId="51970"/>
    <cellStyle name="표준 6 2 3 6 6" xfId="51971"/>
    <cellStyle name="표준 6 2 3 6 7" xfId="51972"/>
    <cellStyle name="표준 6 2 3 6 8" xfId="51973"/>
    <cellStyle name="표준 6 2 3 6 9" xfId="51974"/>
    <cellStyle name="표준 6 2 3 7" xfId="51975"/>
    <cellStyle name="표준 6 2 3 7 10" xfId="51976"/>
    <cellStyle name="표준 6 2 3 7 11" xfId="51977"/>
    <cellStyle name="표준 6 2 3 7 12" xfId="51978"/>
    <cellStyle name="표준 6 2 3 7 13" xfId="51979"/>
    <cellStyle name="표준 6 2 3 7 14" xfId="51980"/>
    <cellStyle name="표준 6 2 3 7 15" xfId="51981"/>
    <cellStyle name="표준 6 2 3 7 16" xfId="51982"/>
    <cellStyle name="표준 6 2 3 7 17" xfId="51983"/>
    <cellStyle name="표준 6 2 3 7 18" xfId="51984"/>
    <cellStyle name="표준 6 2 3 7 19" xfId="51985"/>
    <cellStyle name="표준 6 2 3 7 2" xfId="51986"/>
    <cellStyle name="표준 6 2 3 7 3" xfId="51987"/>
    <cellStyle name="표준 6 2 3 7 4" xfId="51988"/>
    <cellStyle name="표준 6 2 3 7 5" xfId="51989"/>
    <cellStyle name="표준 6 2 3 7 6" xfId="51990"/>
    <cellStyle name="표준 6 2 3 7 7" xfId="51991"/>
    <cellStyle name="표준 6 2 3 7 8" xfId="51992"/>
    <cellStyle name="표준 6 2 3 7 9" xfId="51993"/>
    <cellStyle name="표준 6 2 3 8" xfId="51994"/>
    <cellStyle name="표준 6 2 3 8 10" xfId="51995"/>
    <cellStyle name="표준 6 2 3 8 11" xfId="51996"/>
    <cellStyle name="표준 6 2 3 8 12" xfId="51997"/>
    <cellStyle name="표준 6 2 3 8 13" xfId="51998"/>
    <cellStyle name="표준 6 2 3 8 14" xfId="51999"/>
    <cellStyle name="표준 6 2 3 8 15" xfId="52000"/>
    <cellStyle name="표준 6 2 3 8 16" xfId="52001"/>
    <cellStyle name="표준 6 2 3 8 17" xfId="52002"/>
    <cellStyle name="표준 6 2 3 8 18" xfId="52003"/>
    <cellStyle name="표준 6 2 3 8 19" xfId="52004"/>
    <cellStyle name="표준 6 2 3 8 2" xfId="52005"/>
    <cellStyle name="표준 6 2 3 8 3" xfId="52006"/>
    <cellStyle name="표준 6 2 3 8 4" xfId="52007"/>
    <cellStyle name="표준 6 2 3 8 5" xfId="52008"/>
    <cellStyle name="표준 6 2 3 8 6" xfId="52009"/>
    <cellStyle name="표준 6 2 3 8 7" xfId="52010"/>
    <cellStyle name="표준 6 2 3 8 8" xfId="52011"/>
    <cellStyle name="표준 6 2 3 8 9" xfId="52012"/>
    <cellStyle name="표준 6 2 3 9" xfId="52013"/>
    <cellStyle name="표준 6 2 3 9 10" xfId="52014"/>
    <cellStyle name="표준 6 2 3 9 11" xfId="52015"/>
    <cellStyle name="표준 6 2 3 9 12" xfId="52016"/>
    <cellStyle name="표준 6 2 3 9 13" xfId="52017"/>
    <cellStyle name="표준 6 2 3 9 14" xfId="52018"/>
    <cellStyle name="표준 6 2 3 9 15" xfId="52019"/>
    <cellStyle name="표준 6 2 3 9 16" xfId="52020"/>
    <cellStyle name="표준 6 2 3 9 17" xfId="52021"/>
    <cellStyle name="표준 6 2 3 9 18" xfId="52022"/>
    <cellStyle name="표준 6 2 3 9 19" xfId="52023"/>
    <cellStyle name="표준 6 2 3 9 2" xfId="52024"/>
    <cellStyle name="표준 6 2 3 9 3" xfId="52025"/>
    <cellStyle name="표준 6 2 3 9 4" xfId="52026"/>
    <cellStyle name="표준 6 2 3 9 5" xfId="52027"/>
    <cellStyle name="표준 6 2 3 9 6" xfId="52028"/>
    <cellStyle name="표준 6 2 3 9 7" xfId="52029"/>
    <cellStyle name="표준 6 2 3 9 8" xfId="52030"/>
    <cellStyle name="표준 6 2 3 9 9" xfId="52031"/>
    <cellStyle name="표준 6 2 4" xfId="52032"/>
    <cellStyle name="표준 6 2 4 10" xfId="52033"/>
    <cellStyle name="표준 6 2 4 11" xfId="52034"/>
    <cellStyle name="표준 6 2 4 12" xfId="52035"/>
    <cellStyle name="표준 6 2 4 13" xfId="52036"/>
    <cellStyle name="표준 6 2 4 14" xfId="52037"/>
    <cellStyle name="표준 6 2 4 15" xfId="52038"/>
    <cellStyle name="표준 6 2 4 16" xfId="52039"/>
    <cellStyle name="표준 6 2 4 17" xfId="52040"/>
    <cellStyle name="표준 6 2 4 18" xfId="52041"/>
    <cellStyle name="표준 6 2 4 19" xfId="52042"/>
    <cellStyle name="표준 6 2 4 2" xfId="52043"/>
    <cellStyle name="표준 6 2 4 3" xfId="52044"/>
    <cellStyle name="표준 6 2 4 4" xfId="52045"/>
    <cellStyle name="표준 6 2 4 5" xfId="52046"/>
    <cellStyle name="표준 6 2 4 6" xfId="52047"/>
    <cellStyle name="표준 6 2 4 7" xfId="52048"/>
    <cellStyle name="표준 6 2 4 8" xfId="52049"/>
    <cellStyle name="표준 6 2 4 9" xfId="52050"/>
    <cellStyle name="표준 6 2 5" xfId="52051"/>
    <cellStyle name="표준 6 2 5 10" xfId="52052"/>
    <cellStyle name="표준 6 2 5 11" xfId="52053"/>
    <cellStyle name="표준 6 2 5 12" xfId="52054"/>
    <cellStyle name="표준 6 2 5 13" xfId="52055"/>
    <cellStyle name="표준 6 2 5 14" xfId="52056"/>
    <cellStyle name="표준 6 2 5 15" xfId="52057"/>
    <cellStyle name="표준 6 2 5 16" xfId="52058"/>
    <cellStyle name="표준 6 2 5 17" xfId="52059"/>
    <cellStyle name="표준 6 2 5 18" xfId="52060"/>
    <cellStyle name="표준 6 2 5 19" xfId="52061"/>
    <cellStyle name="표준 6 2 5 2" xfId="52062"/>
    <cellStyle name="표준 6 2 5 3" xfId="52063"/>
    <cellStyle name="표준 6 2 5 4" xfId="52064"/>
    <cellStyle name="표준 6 2 5 5" xfId="52065"/>
    <cellStyle name="표준 6 2 5 6" xfId="52066"/>
    <cellStyle name="표준 6 2 5 7" xfId="52067"/>
    <cellStyle name="표준 6 2 5 8" xfId="52068"/>
    <cellStyle name="표준 6 2 5 9" xfId="52069"/>
    <cellStyle name="표준 6 2 6" xfId="52070"/>
    <cellStyle name="표준 6 2 6 10" xfId="52071"/>
    <cellStyle name="표준 6 2 6 11" xfId="52072"/>
    <cellStyle name="표준 6 2 6 12" xfId="52073"/>
    <cellStyle name="표준 6 2 6 13" xfId="52074"/>
    <cellStyle name="표준 6 2 6 14" xfId="52075"/>
    <cellStyle name="표준 6 2 6 15" xfId="52076"/>
    <cellStyle name="표준 6 2 6 16" xfId="52077"/>
    <cellStyle name="표준 6 2 6 17" xfId="52078"/>
    <cellStyle name="표준 6 2 6 18" xfId="52079"/>
    <cellStyle name="표준 6 2 6 19" xfId="52080"/>
    <cellStyle name="표준 6 2 6 2" xfId="52081"/>
    <cellStyle name="표준 6 2 6 3" xfId="52082"/>
    <cellStyle name="표준 6 2 6 4" xfId="52083"/>
    <cellStyle name="표준 6 2 6 5" xfId="52084"/>
    <cellStyle name="표준 6 2 6 6" xfId="52085"/>
    <cellStyle name="표준 6 2 6 7" xfId="52086"/>
    <cellStyle name="표준 6 2 6 8" xfId="52087"/>
    <cellStyle name="표준 6 2 6 9" xfId="52088"/>
    <cellStyle name="표준 6 2 7" xfId="52089"/>
    <cellStyle name="표준 6 2 7 10" xfId="52090"/>
    <cellStyle name="표준 6 2 7 11" xfId="52091"/>
    <cellStyle name="표준 6 2 7 12" xfId="52092"/>
    <cellStyle name="표준 6 2 7 13" xfId="52093"/>
    <cellStyle name="표준 6 2 7 14" xfId="52094"/>
    <cellStyle name="표준 6 2 7 15" xfId="52095"/>
    <cellStyle name="표준 6 2 7 16" xfId="52096"/>
    <cellStyle name="표준 6 2 7 17" xfId="52097"/>
    <cellStyle name="표준 6 2 7 18" xfId="52098"/>
    <cellStyle name="표준 6 2 7 19" xfId="52099"/>
    <cellStyle name="표준 6 2 7 2" xfId="52100"/>
    <cellStyle name="표준 6 2 7 3" xfId="52101"/>
    <cellStyle name="표준 6 2 7 4" xfId="52102"/>
    <cellStyle name="표준 6 2 7 5" xfId="52103"/>
    <cellStyle name="표준 6 2 7 6" xfId="52104"/>
    <cellStyle name="표준 6 2 7 7" xfId="52105"/>
    <cellStyle name="표준 6 2 7 8" xfId="52106"/>
    <cellStyle name="표준 6 2 7 9" xfId="52107"/>
    <cellStyle name="표준 6 2 8" xfId="52108"/>
    <cellStyle name="표준 6 2 8 10" xfId="52109"/>
    <cellStyle name="표준 6 2 8 11" xfId="52110"/>
    <cellStyle name="표준 6 2 8 12" xfId="52111"/>
    <cellStyle name="표준 6 2 8 13" xfId="52112"/>
    <cellStyle name="표준 6 2 8 14" xfId="52113"/>
    <cellStyle name="표준 6 2 8 15" xfId="52114"/>
    <cellStyle name="표준 6 2 8 16" xfId="52115"/>
    <cellStyle name="표준 6 2 8 17" xfId="52116"/>
    <cellStyle name="표준 6 2 8 18" xfId="52117"/>
    <cellStyle name="표준 6 2 8 19" xfId="52118"/>
    <cellStyle name="표준 6 2 8 2" xfId="52119"/>
    <cellStyle name="표준 6 2 8 3" xfId="52120"/>
    <cellStyle name="표준 6 2 8 4" xfId="52121"/>
    <cellStyle name="표준 6 2 8 5" xfId="52122"/>
    <cellStyle name="표준 6 2 8 6" xfId="52123"/>
    <cellStyle name="표준 6 2 8 7" xfId="52124"/>
    <cellStyle name="표준 6 2 8 8" xfId="52125"/>
    <cellStyle name="표준 6 2 8 9" xfId="52126"/>
    <cellStyle name="표준 6 2 9" xfId="52127"/>
    <cellStyle name="표준 6 2 9 10" xfId="52128"/>
    <cellStyle name="표준 6 2 9 11" xfId="52129"/>
    <cellStyle name="표준 6 2 9 12" xfId="52130"/>
    <cellStyle name="표준 6 2 9 13" xfId="52131"/>
    <cellStyle name="표준 6 2 9 14" xfId="52132"/>
    <cellStyle name="표준 6 2 9 15" xfId="52133"/>
    <cellStyle name="표준 6 2 9 16" xfId="52134"/>
    <cellStyle name="표준 6 2 9 17" xfId="52135"/>
    <cellStyle name="표준 6 2 9 18" xfId="52136"/>
    <cellStyle name="표준 6 2 9 19" xfId="52137"/>
    <cellStyle name="표준 6 2 9 2" xfId="52138"/>
    <cellStyle name="표준 6 2 9 3" xfId="52139"/>
    <cellStyle name="표준 6 2 9 4" xfId="52140"/>
    <cellStyle name="표준 6 2 9 5" xfId="52141"/>
    <cellStyle name="표준 6 2 9 6" xfId="52142"/>
    <cellStyle name="표준 6 2 9 7" xfId="52143"/>
    <cellStyle name="표준 6 2 9 8" xfId="52144"/>
    <cellStyle name="표준 6 2 9 9" xfId="52145"/>
    <cellStyle name="표준 6 20" xfId="52146"/>
    <cellStyle name="표준 6 21" xfId="52147"/>
    <cellStyle name="표준 6 22" xfId="52148"/>
    <cellStyle name="표준 6 23" xfId="52149"/>
    <cellStyle name="표준 6 24" xfId="52150"/>
    <cellStyle name="표준 6 25" xfId="52151"/>
    <cellStyle name="표준 6 26" xfId="52152"/>
    <cellStyle name="표준 6 27" xfId="52153"/>
    <cellStyle name="표준 6 28" xfId="52154"/>
    <cellStyle name="표준 6 3" xfId="52155"/>
    <cellStyle name="표준 6 3 10" xfId="52156"/>
    <cellStyle name="표준 6 3 11" xfId="52157"/>
    <cellStyle name="표준 6 3 12" xfId="52158"/>
    <cellStyle name="표준 6 3 13" xfId="52159"/>
    <cellStyle name="표준 6 3 14" xfId="52160"/>
    <cellStyle name="표준 6 3 15" xfId="52161"/>
    <cellStyle name="표준 6 3 16" xfId="52162"/>
    <cellStyle name="표준 6 3 17" xfId="52163"/>
    <cellStyle name="표준 6 3 18" xfId="52164"/>
    <cellStyle name="표준 6 3 19" xfId="52165"/>
    <cellStyle name="표준 6 3 2" xfId="52166"/>
    <cellStyle name="표준 6 3 2 10" xfId="52167"/>
    <cellStyle name="표준 6 3 2 11" xfId="52168"/>
    <cellStyle name="표준 6 3 2 12" xfId="52169"/>
    <cellStyle name="표준 6 3 2 13" xfId="52170"/>
    <cellStyle name="표준 6 3 2 14" xfId="52171"/>
    <cellStyle name="표준 6 3 2 15" xfId="52172"/>
    <cellStyle name="표준 6 3 2 16" xfId="52173"/>
    <cellStyle name="표준 6 3 2 17" xfId="52174"/>
    <cellStyle name="표준 6 3 2 18" xfId="52175"/>
    <cellStyle name="표준 6 3 2 19" xfId="52176"/>
    <cellStyle name="표준 6 3 2 2" xfId="52177"/>
    <cellStyle name="표준 6 3 2 3" xfId="52178"/>
    <cellStyle name="표준 6 3 2 4" xfId="52179"/>
    <cellStyle name="표준 6 3 2 5" xfId="52180"/>
    <cellStyle name="표준 6 3 2 6" xfId="52181"/>
    <cellStyle name="표준 6 3 2 7" xfId="52182"/>
    <cellStyle name="표준 6 3 2 8" xfId="52183"/>
    <cellStyle name="표준 6 3 2 9" xfId="52184"/>
    <cellStyle name="표준 6 3 20" xfId="52185"/>
    <cellStyle name="표준 6 3 21" xfId="52186"/>
    <cellStyle name="표준 6 3 22" xfId="52187"/>
    <cellStyle name="표준 6 3 23" xfId="52188"/>
    <cellStyle name="표준 6 3 24" xfId="52189"/>
    <cellStyle name="표준 6 3 25" xfId="52190"/>
    <cellStyle name="표준 6 3 26" xfId="52191"/>
    <cellStyle name="표준 6 3 3" xfId="52192"/>
    <cellStyle name="표준 6 3 3 10" xfId="52193"/>
    <cellStyle name="표준 6 3 3 11" xfId="52194"/>
    <cellStyle name="표준 6 3 3 12" xfId="52195"/>
    <cellStyle name="표준 6 3 3 13" xfId="52196"/>
    <cellStyle name="표준 6 3 3 14" xfId="52197"/>
    <cellStyle name="표준 6 3 3 15" xfId="52198"/>
    <cellStyle name="표준 6 3 3 16" xfId="52199"/>
    <cellStyle name="표준 6 3 3 17" xfId="52200"/>
    <cellStyle name="표준 6 3 3 18" xfId="52201"/>
    <cellStyle name="표준 6 3 3 19" xfId="52202"/>
    <cellStyle name="표준 6 3 3 2" xfId="52203"/>
    <cellStyle name="표준 6 3 3 3" xfId="52204"/>
    <cellStyle name="표준 6 3 3 4" xfId="52205"/>
    <cellStyle name="표준 6 3 3 5" xfId="52206"/>
    <cellStyle name="표준 6 3 3 6" xfId="52207"/>
    <cellStyle name="표준 6 3 3 7" xfId="52208"/>
    <cellStyle name="표준 6 3 3 8" xfId="52209"/>
    <cellStyle name="표준 6 3 3 9" xfId="52210"/>
    <cellStyle name="표준 6 3 4" xfId="52211"/>
    <cellStyle name="표준 6 3 4 10" xfId="52212"/>
    <cellStyle name="표준 6 3 4 11" xfId="52213"/>
    <cellStyle name="표준 6 3 4 12" xfId="52214"/>
    <cellStyle name="표준 6 3 4 13" xfId="52215"/>
    <cellStyle name="표준 6 3 4 14" xfId="52216"/>
    <cellStyle name="표준 6 3 4 15" xfId="52217"/>
    <cellStyle name="표준 6 3 4 16" xfId="52218"/>
    <cellStyle name="표준 6 3 4 17" xfId="52219"/>
    <cellStyle name="표준 6 3 4 18" xfId="52220"/>
    <cellStyle name="표준 6 3 4 19" xfId="52221"/>
    <cellStyle name="표준 6 3 4 2" xfId="52222"/>
    <cellStyle name="표준 6 3 4 3" xfId="52223"/>
    <cellStyle name="표준 6 3 4 4" xfId="52224"/>
    <cellStyle name="표준 6 3 4 5" xfId="52225"/>
    <cellStyle name="표준 6 3 4 6" xfId="52226"/>
    <cellStyle name="표준 6 3 4 7" xfId="52227"/>
    <cellStyle name="표준 6 3 4 8" xfId="52228"/>
    <cellStyle name="표준 6 3 4 9" xfId="52229"/>
    <cellStyle name="표준 6 3 5" xfId="52230"/>
    <cellStyle name="표준 6 3 5 10" xfId="52231"/>
    <cellStyle name="표준 6 3 5 11" xfId="52232"/>
    <cellStyle name="표준 6 3 5 12" xfId="52233"/>
    <cellStyle name="표준 6 3 5 13" xfId="52234"/>
    <cellStyle name="표준 6 3 5 14" xfId="52235"/>
    <cellStyle name="표준 6 3 5 15" xfId="52236"/>
    <cellStyle name="표준 6 3 5 16" xfId="52237"/>
    <cellStyle name="표준 6 3 5 17" xfId="52238"/>
    <cellStyle name="표준 6 3 5 18" xfId="52239"/>
    <cellStyle name="표준 6 3 5 19" xfId="52240"/>
    <cellStyle name="표준 6 3 5 2" xfId="52241"/>
    <cellStyle name="표준 6 3 5 3" xfId="52242"/>
    <cellStyle name="표준 6 3 5 4" xfId="52243"/>
    <cellStyle name="표준 6 3 5 5" xfId="52244"/>
    <cellStyle name="표준 6 3 5 6" xfId="52245"/>
    <cellStyle name="표준 6 3 5 7" xfId="52246"/>
    <cellStyle name="표준 6 3 5 8" xfId="52247"/>
    <cellStyle name="표준 6 3 5 9" xfId="52248"/>
    <cellStyle name="표준 6 3 6" xfId="52249"/>
    <cellStyle name="표준 6 3 6 10" xfId="52250"/>
    <cellStyle name="표준 6 3 6 11" xfId="52251"/>
    <cellStyle name="표준 6 3 6 12" xfId="52252"/>
    <cellStyle name="표준 6 3 6 13" xfId="52253"/>
    <cellStyle name="표준 6 3 6 14" xfId="52254"/>
    <cellStyle name="표준 6 3 6 15" xfId="52255"/>
    <cellStyle name="표준 6 3 6 16" xfId="52256"/>
    <cellStyle name="표준 6 3 6 17" xfId="52257"/>
    <cellStyle name="표준 6 3 6 18" xfId="52258"/>
    <cellStyle name="표준 6 3 6 19" xfId="52259"/>
    <cellStyle name="표준 6 3 6 2" xfId="52260"/>
    <cellStyle name="표준 6 3 6 3" xfId="52261"/>
    <cellStyle name="표준 6 3 6 4" xfId="52262"/>
    <cellStyle name="표준 6 3 6 5" xfId="52263"/>
    <cellStyle name="표준 6 3 6 6" xfId="52264"/>
    <cellStyle name="표준 6 3 6 7" xfId="52265"/>
    <cellStyle name="표준 6 3 6 8" xfId="52266"/>
    <cellStyle name="표준 6 3 6 9" xfId="52267"/>
    <cellStyle name="표준 6 3 7" xfId="52268"/>
    <cellStyle name="표준 6 3 7 10" xfId="52269"/>
    <cellStyle name="표준 6 3 7 11" xfId="52270"/>
    <cellStyle name="표준 6 3 7 12" xfId="52271"/>
    <cellStyle name="표준 6 3 7 13" xfId="52272"/>
    <cellStyle name="표준 6 3 7 14" xfId="52273"/>
    <cellStyle name="표준 6 3 7 15" xfId="52274"/>
    <cellStyle name="표준 6 3 7 16" xfId="52275"/>
    <cellStyle name="표준 6 3 7 17" xfId="52276"/>
    <cellStyle name="표준 6 3 7 18" xfId="52277"/>
    <cellStyle name="표준 6 3 7 19" xfId="52278"/>
    <cellStyle name="표준 6 3 7 2" xfId="52279"/>
    <cellStyle name="표준 6 3 7 3" xfId="52280"/>
    <cellStyle name="표준 6 3 7 4" xfId="52281"/>
    <cellStyle name="표준 6 3 7 5" xfId="52282"/>
    <cellStyle name="표준 6 3 7 6" xfId="52283"/>
    <cellStyle name="표준 6 3 7 7" xfId="52284"/>
    <cellStyle name="표준 6 3 7 8" xfId="52285"/>
    <cellStyle name="표준 6 3 7 9" xfId="52286"/>
    <cellStyle name="표준 6 3 8" xfId="52287"/>
    <cellStyle name="표준 6 3 8 10" xfId="52288"/>
    <cellStyle name="표준 6 3 8 11" xfId="52289"/>
    <cellStyle name="표준 6 3 8 12" xfId="52290"/>
    <cellStyle name="표준 6 3 8 13" xfId="52291"/>
    <cellStyle name="표준 6 3 8 14" xfId="52292"/>
    <cellStyle name="표준 6 3 8 15" xfId="52293"/>
    <cellStyle name="표준 6 3 8 16" xfId="52294"/>
    <cellStyle name="표준 6 3 8 17" xfId="52295"/>
    <cellStyle name="표준 6 3 8 18" xfId="52296"/>
    <cellStyle name="표준 6 3 8 19" xfId="52297"/>
    <cellStyle name="표준 6 3 8 2" xfId="52298"/>
    <cellStyle name="표준 6 3 8 3" xfId="52299"/>
    <cellStyle name="표준 6 3 8 4" xfId="52300"/>
    <cellStyle name="표준 6 3 8 5" xfId="52301"/>
    <cellStyle name="표준 6 3 8 6" xfId="52302"/>
    <cellStyle name="표준 6 3 8 7" xfId="52303"/>
    <cellStyle name="표준 6 3 8 8" xfId="52304"/>
    <cellStyle name="표준 6 3 8 9" xfId="52305"/>
    <cellStyle name="표준 6 3 9" xfId="52306"/>
    <cellStyle name="표준 6 4" xfId="52307"/>
    <cellStyle name="표준 6 4 10" xfId="52308"/>
    <cellStyle name="표준 6 4 11" xfId="52309"/>
    <cellStyle name="표준 6 4 12" xfId="52310"/>
    <cellStyle name="표준 6 4 13" xfId="52311"/>
    <cellStyle name="표준 6 4 14" xfId="52312"/>
    <cellStyle name="표준 6 4 15" xfId="52313"/>
    <cellStyle name="표준 6 4 16" xfId="52314"/>
    <cellStyle name="표준 6 4 17" xfId="52315"/>
    <cellStyle name="표준 6 4 18" xfId="52316"/>
    <cellStyle name="표준 6 4 19" xfId="52317"/>
    <cellStyle name="표준 6 4 2" xfId="52318"/>
    <cellStyle name="표준 6 4 3" xfId="52319"/>
    <cellStyle name="표준 6 4 4" xfId="52320"/>
    <cellStyle name="표준 6 4 5" xfId="52321"/>
    <cellStyle name="표준 6 4 6" xfId="52322"/>
    <cellStyle name="표준 6 4 7" xfId="52323"/>
    <cellStyle name="표준 6 4 8" xfId="52324"/>
    <cellStyle name="표준 6 4 9" xfId="52325"/>
    <cellStyle name="표준 6 5" xfId="52326"/>
    <cellStyle name="표준 6 5 10" xfId="52327"/>
    <cellStyle name="표준 6 5 11" xfId="52328"/>
    <cellStyle name="표준 6 5 12" xfId="52329"/>
    <cellStyle name="표준 6 5 13" xfId="52330"/>
    <cellStyle name="표준 6 5 14" xfId="52331"/>
    <cellStyle name="표준 6 5 15" xfId="52332"/>
    <cellStyle name="표준 6 5 16" xfId="52333"/>
    <cellStyle name="표준 6 5 17" xfId="52334"/>
    <cellStyle name="표준 6 5 18" xfId="52335"/>
    <cellStyle name="표준 6 5 19" xfId="52336"/>
    <cellStyle name="표준 6 5 2" xfId="52337"/>
    <cellStyle name="표준 6 5 3" xfId="52338"/>
    <cellStyle name="표준 6 5 4" xfId="52339"/>
    <cellStyle name="표준 6 5 5" xfId="52340"/>
    <cellStyle name="표준 6 5 6" xfId="52341"/>
    <cellStyle name="표준 6 5 7" xfId="52342"/>
    <cellStyle name="표준 6 5 8" xfId="52343"/>
    <cellStyle name="표준 6 5 9" xfId="52344"/>
    <cellStyle name="표준 6 6" xfId="52345"/>
    <cellStyle name="표준 6 6 10" xfId="52346"/>
    <cellStyle name="표준 6 6 11" xfId="52347"/>
    <cellStyle name="표준 6 6 12" xfId="52348"/>
    <cellStyle name="표준 6 6 13" xfId="52349"/>
    <cellStyle name="표준 6 6 14" xfId="52350"/>
    <cellStyle name="표준 6 6 15" xfId="52351"/>
    <cellStyle name="표준 6 6 16" xfId="52352"/>
    <cellStyle name="표준 6 6 17" xfId="52353"/>
    <cellStyle name="표준 6 6 18" xfId="52354"/>
    <cellStyle name="표준 6 6 19" xfId="52355"/>
    <cellStyle name="표준 6 6 2" xfId="52356"/>
    <cellStyle name="표준 6 6 3" xfId="52357"/>
    <cellStyle name="표준 6 6 4" xfId="52358"/>
    <cellStyle name="표준 6 6 5" xfId="52359"/>
    <cellStyle name="표준 6 6 6" xfId="52360"/>
    <cellStyle name="표준 6 6 7" xfId="52361"/>
    <cellStyle name="표준 6 6 8" xfId="52362"/>
    <cellStyle name="표준 6 6 9" xfId="52363"/>
    <cellStyle name="표준 6 7" xfId="52364"/>
    <cellStyle name="표준 6 7 10" xfId="52365"/>
    <cellStyle name="표준 6 7 11" xfId="52366"/>
    <cellStyle name="표준 6 7 12" xfId="52367"/>
    <cellStyle name="표준 6 7 13" xfId="52368"/>
    <cellStyle name="표준 6 7 14" xfId="52369"/>
    <cellStyle name="표준 6 7 15" xfId="52370"/>
    <cellStyle name="표준 6 7 16" xfId="52371"/>
    <cellStyle name="표준 6 7 17" xfId="52372"/>
    <cellStyle name="표준 6 7 18" xfId="52373"/>
    <cellStyle name="표준 6 7 19" xfId="52374"/>
    <cellStyle name="표준 6 7 2" xfId="52375"/>
    <cellStyle name="표준 6 7 3" xfId="52376"/>
    <cellStyle name="표준 6 7 4" xfId="52377"/>
    <cellStyle name="표준 6 7 5" xfId="52378"/>
    <cellStyle name="표준 6 7 6" xfId="52379"/>
    <cellStyle name="표준 6 7 7" xfId="52380"/>
    <cellStyle name="표준 6 7 8" xfId="52381"/>
    <cellStyle name="표준 6 7 9" xfId="52382"/>
    <cellStyle name="표준 6 8" xfId="52383"/>
    <cellStyle name="표준 6 8 10" xfId="52384"/>
    <cellStyle name="표준 6 8 11" xfId="52385"/>
    <cellStyle name="표준 6 8 12" xfId="52386"/>
    <cellStyle name="표준 6 8 13" xfId="52387"/>
    <cellStyle name="표준 6 8 14" xfId="52388"/>
    <cellStyle name="표준 6 8 15" xfId="52389"/>
    <cellStyle name="표준 6 8 16" xfId="52390"/>
    <cellStyle name="표준 6 8 17" xfId="52391"/>
    <cellStyle name="표준 6 8 18" xfId="52392"/>
    <cellStyle name="표준 6 8 19" xfId="52393"/>
    <cellStyle name="표준 6 8 2" xfId="52394"/>
    <cellStyle name="표준 6 8 3" xfId="52395"/>
    <cellStyle name="표준 6 8 4" xfId="52396"/>
    <cellStyle name="표준 6 8 5" xfId="52397"/>
    <cellStyle name="표준 6 8 6" xfId="52398"/>
    <cellStyle name="표준 6 8 7" xfId="52399"/>
    <cellStyle name="표준 6 8 8" xfId="52400"/>
    <cellStyle name="표준 6 8 9" xfId="52401"/>
    <cellStyle name="표준 6 9" xfId="52402"/>
    <cellStyle name="표준 6 9 10" xfId="52403"/>
    <cellStyle name="표준 6 9 11" xfId="52404"/>
    <cellStyle name="표준 6 9 12" xfId="52405"/>
    <cellStyle name="표준 6 9 13" xfId="52406"/>
    <cellStyle name="표준 6 9 14" xfId="52407"/>
    <cellStyle name="표준 6 9 15" xfId="52408"/>
    <cellStyle name="표준 6 9 16" xfId="52409"/>
    <cellStyle name="표준 6 9 17" xfId="52410"/>
    <cellStyle name="표준 6 9 18" xfId="52411"/>
    <cellStyle name="표준 6 9 19" xfId="52412"/>
    <cellStyle name="표준 6 9 2" xfId="52413"/>
    <cellStyle name="표준 6 9 3" xfId="52414"/>
    <cellStyle name="표준 6 9 4" xfId="52415"/>
    <cellStyle name="표준 6 9 5" xfId="52416"/>
    <cellStyle name="표준 6 9 6" xfId="52417"/>
    <cellStyle name="표준 6 9 7" xfId="52418"/>
    <cellStyle name="표준 6 9 8" xfId="52419"/>
    <cellStyle name="표준 6 9 9" xfId="52420"/>
    <cellStyle name="표준 7" xfId="52421"/>
    <cellStyle name="표준 7 2" xfId="52422"/>
    <cellStyle name="표준 7 2 10" xfId="52423"/>
    <cellStyle name="표준 7 2 11" xfId="52424"/>
    <cellStyle name="표준 7 2 12" xfId="52425"/>
    <cellStyle name="표준 7 2 13" xfId="52426"/>
    <cellStyle name="표준 7 2 14" xfId="52427"/>
    <cellStyle name="표준 7 2 15" xfId="52428"/>
    <cellStyle name="표준 7 2 16" xfId="52429"/>
    <cellStyle name="표준 7 2 17" xfId="52430"/>
    <cellStyle name="표준 7 2 18" xfId="52431"/>
    <cellStyle name="표준 7 2 19" xfId="52432"/>
    <cellStyle name="표준 7 2 2" xfId="52433"/>
    <cellStyle name="표준 7 2 2 10" xfId="52434"/>
    <cellStyle name="표준 7 2 2 11" xfId="52435"/>
    <cellStyle name="표준 7 2 2 12" xfId="52436"/>
    <cellStyle name="표준 7 2 2 13" xfId="52437"/>
    <cellStyle name="표준 7 2 2 14" xfId="52438"/>
    <cellStyle name="표준 7 2 2 15" xfId="52439"/>
    <cellStyle name="표준 7 2 2 16" xfId="52440"/>
    <cellStyle name="표준 7 2 2 17" xfId="52441"/>
    <cellStyle name="표준 7 2 2 18" xfId="52442"/>
    <cellStyle name="표준 7 2 2 19" xfId="52443"/>
    <cellStyle name="표준 7 2 2 2" xfId="52444"/>
    <cellStyle name="표준 7 2 2 3" xfId="52445"/>
    <cellStyle name="표준 7 2 2 4" xfId="52446"/>
    <cellStyle name="표준 7 2 2 5" xfId="52447"/>
    <cellStyle name="표준 7 2 2 6" xfId="52448"/>
    <cellStyle name="표준 7 2 2 7" xfId="52449"/>
    <cellStyle name="표준 7 2 2 8" xfId="52450"/>
    <cellStyle name="표준 7 2 2 9" xfId="52451"/>
    <cellStyle name="표준 7 2 20" xfId="52452"/>
    <cellStyle name="표준 7 2 21" xfId="52453"/>
    <cellStyle name="표준 7 2 22" xfId="52454"/>
    <cellStyle name="표준 7 2 23" xfId="52455"/>
    <cellStyle name="표준 7 2 24" xfId="52456"/>
    <cellStyle name="표준 7 2 25" xfId="52457"/>
    <cellStyle name="표준 7 2 26" xfId="52458"/>
    <cellStyle name="표준 7 2 3" xfId="52459"/>
    <cellStyle name="표준 7 2 3 10" xfId="52460"/>
    <cellStyle name="표준 7 2 3 11" xfId="52461"/>
    <cellStyle name="표준 7 2 3 12" xfId="52462"/>
    <cellStyle name="표준 7 2 3 13" xfId="52463"/>
    <cellStyle name="표준 7 2 3 14" xfId="52464"/>
    <cellStyle name="표준 7 2 3 15" xfId="52465"/>
    <cellStyle name="표준 7 2 3 16" xfId="52466"/>
    <cellStyle name="표준 7 2 3 17" xfId="52467"/>
    <cellStyle name="표준 7 2 3 18" xfId="52468"/>
    <cellStyle name="표준 7 2 3 19" xfId="52469"/>
    <cellStyle name="표준 7 2 3 2" xfId="52470"/>
    <cellStyle name="표준 7 2 3 3" xfId="52471"/>
    <cellStyle name="표준 7 2 3 4" xfId="52472"/>
    <cellStyle name="표준 7 2 3 5" xfId="52473"/>
    <cellStyle name="표준 7 2 3 6" xfId="52474"/>
    <cellStyle name="표준 7 2 3 7" xfId="52475"/>
    <cellStyle name="표준 7 2 3 8" xfId="52476"/>
    <cellStyle name="표준 7 2 3 9" xfId="52477"/>
    <cellStyle name="표준 7 2 4" xfId="52478"/>
    <cellStyle name="표준 7 2 4 10" xfId="52479"/>
    <cellStyle name="표준 7 2 4 11" xfId="52480"/>
    <cellStyle name="표준 7 2 4 12" xfId="52481"/>
    <cellStyle name="표준 7 2 4 13" xfId="52482"/>
    <cellStyle name="표준 7 2 4 14" xfId="52483"/>
    <cellStyle name="표준 7 2 4 15" xfId="52484"/>
    <cellStyle name="표준 7 2 4 16" xfId="52485"/>
    <cellStyle name="표준 7 2 4 17" xfId="52486"/>
    <cellStyle name="표준 7 2 4 18" xfId="52487"/>
    <cellStyle name="표준 7 2 4 19" xfId="52488"/>
    <cellStyle name="표준 7 2 4 2" xfId="52489"/>
    <cellStyle name="표준 7 2 4 3" xfId="52490"/>
    <cellStyle name="표준 7 2 4 4" xfId="52491"/>
    <cellStyle name="표준 7 2 4 5" xfId="52492"/>
    <cellStyle name="표준 7 2 4 6" xfId="52493"/>
    <cellStyle name="표준 7 2 4 7" xfId="52494"/>
    <cellStyle name="표준 7 2 4 8" xfId="52495"/>
    <cellStyle name="표준 7 2 4 9" xfId="52496"/>
    <cellStyle name="표준 7 2 5" xfId="52497"/>
    <cellStyle name="표준 7 2 5 10" xfId="52498"/>
    <cellStyle name="표준 7 2 5 11" xfId="52499"/>
    <cellStyle name="표준 7 2 5 12" xfId="52500"/>
    <cellStyle name="표준 7 2 5 13" xfId="52501"/>
    <cellStyle name="표준 7 2 5 14" xfId="52502"/>
    <cellStyle name="표준 7 2 5 15" xfId="52503"/>
    <cellStyle name="표준 7 2 5 16" xfId="52504"/>
    <cellStyle name="표준 7 2 5 17" xfId="52505"/>
    <cellStyle name="표준 7 2 5 18" xfId="52506"/>
    <cellStyle name="표준 7 2 5 19" xfId="52507"/>
    <cellStyle name="표준 7 2 5 2" xfId="52508"/>
    <cellStyle name="표준 7 2 5 3" xfId="52509"/>
    <cellStyle name="표준 7 2 5 4" xfId="52510"/>
    <cellStyle name="표준 7 2 5 5" xfId="52511"/>
    <cellStyle name="표준 7 2 5 6" xfId="52512"/>
    <cellStyle name="표준 7 2 5 7" xfId="52513"/>
    <cellStyle name="표준 7 2 5 8" xfId="52514"/>
    <cellStyle name="표준 7 2 5 9" xfId="52515"/>
    <cellStyle name="표준 7 2 6" xfId="52516"/>
    <cellStyle name="표준 7 2 6 10" xfId="52517"/>
    <cellStyle name="표준 7 2 6 11" xfId="52518"/>
    <cellStyle name="표준 7 2 6 12" xfId="52519"/>
    <cellStyle name="표준 7 2 6 13" xfId="52520"/>
    <cellStyle name="표준 7 2 6 14" xfId="52521"/>
    <cellStyle name="표준 7 2 6 15" xfId="52522"/>
    <cellStyle name="표준 7 2 6 16" xfId="52523"/>
    <cellStyle name="표준 7 2 6 17" xfId="52524"/>
    <cellStyle name="표준 7 2 6 18" xfId="52525"/>
    <cellStyle name="표준 7 2 6 19" xfId="52526"/>
    <cellStyle name="표준 7 2 6 2" xfId="52527"/>
    <cellStyle name="표준 7 2 6 3" xfId="52528"/>
    <cellStyle name="표준 7 2 6 4" xfId="52529"/>
    <cellStyle name="표준 7 2 6 5" xfId="52530"/>
    <cellStyle name="표준 7 2 6 6" xfId="52531"/>
    <cellStyle name="표준 7 2 6 7" xfId="52532"/>
    <cellStyle name="표준 7 2 6 8" xfId="52533"/>
    <cellStyle name="표준 7 2 6 9" xfId="52534"/>
    <cellStyle name="표준 7 2 7" xfId="52535"/>
    <cellStyle name="표준 7 2 7 10" xfId="52536"/>
    <cellStyle name="표준 7 2 7 11" xfId="52537"/>
    <cellStyle name="표준 7 2 7 12" xfId="52538"/>
    <cellStyle name="표준 7 2 7 13" xfId="52539"/>
    <cellStyle name="표준 7 2 7 14" xfId="52540"/>
    <cellStyle name="표준 7 2 7 15" xfId="52541"/>
    <cellStyle name="표준 7 2 7 16" xfId="52542"/>
    <cellStyle name="표준 7 2 7 17" xfId="52543"/>
    <cellStyle name="표준 7 2 7 18" xfId="52544"/>
    <cellStyle name="표준 7 2 7 19" xfId="52545"/>
    <cellStyle name="표준 7 2 7 2" xfId="52546"/>
    <cellStyle name="표준 7 2 7 3" xfId="52547"/>
    <cellStyle name="표준 7 2 7 4" xfId="52548"/>
    <cellStyle name="표준 7 2 7 5" xfId="52549"/>
    <cellStyle name="표준 7 2 7 6" xfId="52550"/>
    <cellStyle name="표준 7 2 7 7" xfId="52551"/>
    <cellStyle name="표준 7 2 7 8" xfId="52552"/>
    <cellStyle name="표준 7 2 7 9" xfId="52553"/>
    <cellStyle name="표준 7 2 8" xfId="52554"/>
    <cellStyle name="표준 7 2 8 10" xfId="52555"/>
    <cellStyle name="표준 7 2 8 11" xfId="52556"/>
    <cellStyle name="표준 7 2 8 12" xfId="52557"/>
    <cellStyle name="표준 7 2 8 13" xfId="52558"/>
    <cellStyle name="표준 7 2 8 14" xfId="52559"/>
    <cellStyle name="표준 7 2 8 15" xfId="52560"/>
    <cellStyle name="표준 7 2 8 16" xfId="52561"/>
    <cellStyle name="표준 7 2 8 17" xfId="52562"/>
    <cellStyle name="표준 7 2 8 18" xfId="52563"/>
    <cellStyle name="표준 7 2 8 19" xfId="52564"/>
    <cellStyle name="표준 7 2 8 2" xfId="52565"/>
    <cellStyle name="표준 7 2 8 3" xfId="52566"/>
    <cellStyle name="표준 7 2 8 4" xfId="52567"/>
    <cellStyle name="표준 7 2 8 5" xfId="52568"/>
    <cellStyle name="표준 7 2 8 6" xfId="52569"/>
    <cellStyle name="표준 7 2 8 7" xfId="52570"/>
    <cellStyle name="표준 7 2 8 8" xfId="52571"/>
    <cellStyle name="표준 7 2 8 9" xfId="52572"/>
    <cellStyle name="표준 7 2 9" xfId="52573"/>
    <cellStyle name="표준 7 3" xfId="52574"/>
    <cellStyle name="표준 7 4" xfId="52575"/>
    <cellStyle name="표준 7 5" xfId="52576"/>
    <cellStyle name="표준 7 6" xfId="52577"/>
    <cellStyle name="표준 8" xfId="52578"/>
    <cellStyle name="표준 8 2" xfId="52579"/>
    <cellStyle name="표준 8 2 10" xfId="52580"/>
    <cellStyle name="표준 8 2 11" xfId="52581"/>
    <cellStyle name="표준 8 2 12" xfId="52582"/>
    <cellStyle name="표준 8 2 13" xfId="52583"/>
    <cellStyle name="표준 8 2 14" xfId="52584"/>
    <cellStyle name="표준 8 2 15" xfId="52585"/>
    <cellStyle name="표준 8 2 16" xfId="52586"/>
    <cellStyle name="표준 8 2 17" xfId="52587"/>
    <cellStyle name="표준 8 2 18" xfId="52588"/>
    <cellStyle name="표준 8 2 19" xfId="52589"/>
    <cellStyle name="표준 8 2 2" xfId="52590"/>
    <cellStyle name="표준 8 2 2 10" xfId="52591"/>
    <cellStyle name="표준 8 2 2 11" xfId="52592"/>
    <cellStyle name="표준 8 2 2 12" xfId="52593"/>
    <cellStyle name="표준 8 2 2 13" xfId="52594"/>
    <cellStyle name="표준 8 2 2 14" xfId="52595"/>
    <cellStyle name="표준 8 2 2 15" xfId="52596"/>
    <cellStyle name="표준 8 2 2 16" xfId="52597"/>
    <cellStyle name="표준 8 2 2 17" xfId="52598"/>
    <cellStyle name="표준 8 2 2 18" xfId="52599"/>
    <cellStyle name="표준 8 2 2 19" xfId="52600"/>
    <cellStyle name="표준 8 2 2 2" xfId="52601"/>
    <cellStyle name="표준 8 2 2 3" xfId="52602"/>
    <cellStyle name="표준 8 2 2 4" xfId="52603"/>
    <cellStyle name="표준 8 2 2 5" xfId="52604"/>
    <cellStyle name="표준 8 2 2 6" xfId="52605"/>
    <cellStyle name="표준 8 2 2 7" xfId="52606"/>
    <cellStyle name="표준 8 2 2 8" xfId="52607"/>
    <cellStyle name="표준 8 2 2 9" xfId="52608"/>
    <cellStyle name="표준 8 2 20" xfId="52609"/>
    <cellStyle name="표준 8 2 21" xfId="52610"/>
    <cellStyle name="표준 8 2 22" xfId="52611"/>
    <cellStyle name="표준 8 2 23" xfId="52612"/>
    <cellStyle name="표준 8 2 24" xfId="52613"/>
    <cellStyle name="표준 8 2 25" xfId="52614"/>
    <cellStyle name="표준 8 2 26" xfId="52615"/>
    <cellStyle name="표준 8 2 3" xfId="52616"/>
    <cellStyle name="표준 8 2 3 10" xfId="52617"/>
    <cellStyle name="표준 8 2 3 11" xfId="52618"/>
    <cellStyle name="표준 8 2 3 12" xfId="52619"/>
    <cellStyle name="표준 8 2 3 13" xfId="52620"/>
    <cellStyle name="표준 8 2 3 14" xfId="52621"/>
    <cellStyle name="표준 8 2 3 15" xfId="52622"/>
    <cellStyle name="표준 8 2 3 16" xfId="52623"/>
    <cellStyle name="표준 8 2 3 17" xfId="52624"/>
    <cellStyle name="표준 8 2 3 18" xfId="52625"/>
    <cellStyle name="표준 8 2 3 19" xfId="52626"/>
    <cellStyle name="표준 8 2 3 2" xfId="52627"/>
    <cellStyle name="표준 8 2 3 3" xfId="52628"/>
    <cellStyle name="표준 8 2 3 4" xfId="52629"/>
    <cellStyle name="표준 8 2 3 5" xfId="52630"/>
    <cellStyle name="표준 8 2 3 6" xfId="52631"/>
    <cellStyle name="표준 8 2 3 7" xfId="52632"/>
    <cellStyle name="표준 8 2 3 8" xfId="52633"/>
    <cellStyle name="표준 8 2 3 9" xfId="52634"/>
    <cellStyle name="표준 8 2 4" xfId="52635"/>
    <cellStyle name="표준 8 2 4 10" xfId="52636"/>
    <cellStyle name="표준 8 2 4 11" xfId="52637"/>
    <cellStyle name="표준 8 2 4 12" xfId="52638"/>
    <cellStyle name="표준 8 2 4 13" xfId="52639"/>
    <cellStyle name="표준 8 2 4 14" xfId="52640"/>
    <cellStyle name="표준 8 2 4 15" xfId="52641"/>
    <cellStyle name="표준 8 2 4 16" xfId="52642"/>
    <cellStyle name="표준 8 2 4 17" xfId="52643"/>
    <cellStyle name="표준 8 2 4 18" xfId="52644"/>
    <cellStyle name="표준 8 2 4 19" xfId="52645"/>
    <cellStyle name="표준 8 2 4 2" xfId="52646"/>
    <cellStyle name="표준 8 2 4 3" xfId="52647"/>
    <cellStyle name="표준 8 2 4 4" xfId="52648"/>
    <cellStyle name="표준 8 2 4 5" xfId="52649"/>
    <cellStyle name="표준 8 2 4 6" xfId="52650"/>
    <cellStyle name="표준 8 2 4 7" xfId="52651"/>
    <cellStyle name="표준 8 2 4 8" xfId="52652"/>
    <cellStyle name="표준 8 2 4 9" xfId="52653"/>
    <cellStyle name="표준 8 2 5" xfId="52654"/>
    <cellStyle name="표준 8 2 5 10" xfId="52655"/>
    <cellStyle name="표준 8 2 5 11" xfId="52656"/>
    <cellStyle name="표준 8 2 5 12" xfId="52657"/>
    <cellStyle name="표준 8 2 5 13" xfId="52658"/>
    <cellStyle name="표준 8 2 5 14" xfId="52659"/>
    <cellStyle name="표준 8 2 5 15" xfId="52660"/>
    <cellStyle name="표준 8 2 5 16" xfId="52661"/>
    <cellStyle name="표준 8 2 5 17" xfId="52662"/>
    <cellStyle name="표준 8 2 5 18" xfId="52663"/>
    <cellStyle name="표준 8 2 5 19" xfId="52664"/>
    <cellStyle name="표준 8 2 5 2" xfId="52665"/>
    <cellStyle name="표준 8 2 5 3" xfId="52666"/>
    <cellStyle name="표준 8 2 5 4" xfId="52667"/>
    <cellStyle name="표준 8 2 5 5" xfId="52668"/>
    <cellStyle name="표준 8 2 5 6" xfId="52669"/>
    <cellStyle name="표준 8 2 5 7" xfId="52670"/>
    <cellStyle name="표준 8 2 5 8" xfId="52671"/>
    <cellStyle name="표준 8 2 5 9" xfId="52672"/>
    <cellStyle name="표준 8 2 6" xfId="52673"/>
    <cellStyle name="표준 8 2 6 10" xfId="52674"/>
    <cellStyle name="표준 8 2 6 11" xfId="52675"/>
    <cellStyle name="표준 8 2 6 12" xfId="52676"/>
    <cellStyle name="표준 8 2 6 13" xfId="52677"/>
    <cellStyle name="표준 8 2 6 14" xfId="52678"/>
    <cellStyle name="표준 8 2 6 15" xfId="52679"/>
    <cellStyle name="표준 8 2 6 16" xfId="52680"/>
    <cellStyle name="표준 8 2 6 17" xfId="52681"/>
    <cellStyle name="표준 8 2 6 18" xfId="52682"/>
    <cellStyle name="표준 8 2 6 19" xfId="52683"/>
    <cellStyle name="표준 8 2 6 2" xfId="52684"/>
    <cellStyle name="표준 8 2 6 3" xfId="52685"/>
    <cellStyle name="표준 8 2 6 4" xfId="52686"/>
    <cellStyle name="표준 8 2 6 5" xfId="52687"/>
    <cellStyle name="표준 8 2 6 6" xfId="52688"/>
    <cellStyle name="표준 8 2 6 7" xfId="52689"/>
    <cellStyle name="표준 8 2 6 8" xfId="52690"/>
    <cellStyle name="표준 8 2 6 9" xfId="52691"/>
    <cellStyle name="표준 8 2 7" xfId="52692"/>
    <cellStyle name="표준 8 2 7 10" xfId="52693"/>
    <cellStyle name="표준 8 2 7 11" xfId="52694"/>
    <cellStyle name="표준 8 2 7 12" xfId="52695"/>
    <cellStyle name="표준 8 2 7 13" xfId="52696"/>
    <cellStyle name="표준 8 2 7 14" xfId="52697"/>
    <cellStyle name="표준 8 2 7 15" xfId="52698"/>
    <cellStyle name="표준 8 2 7 16" xfId="52699"/>
    <cellStyle name="표준 8 2 7 17" xfId="52700"/>
    <cellStyle name="표준 8 2 7 18" xfId="52701"/>
    <cellStyle name="표준 8 2 7 19" xfId="52702"/>
    <cellStyle name="표준 8 2 7 2" xfId="52703"/>
    <cellStyle name="표준 8 2 7 3" xfId="52704"/>
    <cellStyle name="표준 8 2 7 4" xfId="52705"/>
    <cellStyle name="표준 8 2 7 5" xfId="52706"/>
    <cellStyle name="표준 8 2 7 6" xfId="52707"/>
    <cellStyle name="표준 8 2 7 7" xfId="52708"/>
    <cellStyle name="표준 8 2 7 8" xfId="52709"/>
    <cellStyle name="표준 8 2 7 9" xfId="52710"/>
    <cellStyle name="표준 8 2 8" xfId="52711"/>
    <cellStyle name="표준 8 2 8 10" xfId="52712"/>
    <cellStyle name="표준 8 2 8 11" xfId="52713"/>
    <cellStyle name="표준 8 2 8 12" xfId="52714"/>
    <cellStyle name="표준 8 2 8 13" xfId="52715"/>
    <cellStyle name="표준 8 2 8 14" xfId="52716"/>
    <cellStyle name="표준 8 2 8 15" xfId="52717"/>
    <cellStyle name="표준 8 2 8 16" xfId="52718"/>
    <cellStyle name="표준 8 2 8 17" xfId="52719"/>
    <cellStyle name="표준 8 2 8 18" xfId="52720"/>
    <cellStyle name="표준 8 2 8 19" xfId="52721"/>
    <cellStyle name="표준 8 2 8 2" xfId="52722"/>
    <cellStyle name="표준 8 2 8 3" xfId="52723"/>
    <cellStyle name="표준 8 2 8 4" xfId="52724"/>
    <cellStyle name="표준 8 2 8 5" xfId="52725"/>
    <cellStyle name="표준 8 2 8 6" xfId="52726"/>
    <cellStyle name="표준 8 2 8 7" xfId="52727"/>
    <cellStyle name="표준 8 2 8 8" xfId="52728"/>
    <cellStyle name="표준 8 2 8 9" xfId="52729"/>
    <cellStyle name="표준 8 2 9" xfId="52730"/>
    <cellStyle name="표준 8 3" xfId="52731"/>
    <cellStyle name="표준 8 4" xfId="52732"/>
    <cellStyle name="표준 8 5" xfId="52733"/>
    <cellStyle name="표준 8 6" xfId="52734"/>
    <cellStyle name="표준 9" xfId="52735"/>
    <cellStyle name="표준 9 2" xfId="52736"/>
    <cellStyle name="표준 9 2 2" xfId="52737"/>
    <cellStyle name="표준 9 2 3" xfId="52738"/>
    <cellStyle name="표준 9 2 4" xfId="52739"/>
    <cellStyle name="표준 9 2 5" xfId="52740"/>
    <cellStyle name="표준 9 3" xfId="52741"/>
    <cellStyle name="표준 9 4" xfId="52742"/>
    <cellStyle name="표준 9 5" xfId="52743"/>
    <cellStyle name="표준 9 6" xfId="52744"/>
    <cellStyle name="標準_BKS-ESTIMATE" xfId="52745"/>
    <cellStyle name="표준_D-3191" xfId="12"/>
    <cellStyle name="標準_Short Spec_PC_Agitator" xfId="52746"/>
    <cellStyle name="표준_Vessel(2001.2.5, final)" xfId="8"/>
    <cellStyle name="합산" xfId="52747"/>
    <cellStyle name="합산 10" xfId="52748"/>
    <cellStyle name="합산 11" xfId="52749"/>
    <cellStyle name="합산 12" xfId="52750"/>
    <cellStyle name="합산 13" xfId="52751"/>
    <cellStyle name="합산 14" xfId="52752"/>
    <cellStyle name="합산 15" xfId="52753"/>
    <cellStyle name="합산 16" xfId="52754"/>
    <cellStyle name="합산 17" xfId="52755"/>
    <cellStyle name="합산 18" xfId="52756"/>
    <cellStyle name="합산 19" xfId="52757"/>
    <cellStyle name="합산 2" xfId="52758"/>
    <cellStyle name="합산 2 2" xfId="52759"/>
    <cellStyle name="합산 2 3" xfId="52760"/>
    <cellStyle name="합산 2 4" xfId="52761"/>
    <cellStyle name="합산 2 5" xfId="52762"/>
    <cellStyle name="합산 20" xfId="52763"/>
    <cellStyle name="합산 21" xfId="52764"/>
    <cellStyle name="합산 22" xfId="52765"/>
    <cellStyle name="합산 23" xfId="52766"/>
    <cellStyle name="합산 24" xfId="52767"/>
    <cellStyle name="합산 25" xfId="52768"/>
    <cellStyle name="합산 26" xfId="52769"/>
    <cellStyle name="합산 27" xfId="52770"/>
    <cellStyle name="합산 3" xfId="52771"/>
    <cellStyle name="합산 4" xfId="52772"/>
    <cellStyle name="합산 5" xfId="52773"/>
    <cellStyle name="합산 6" xfId="52774"/>
    <cellStyle name="합산 7" xfId="52775"/>
    <cellStyle name="합산 8" xfId="52776"/>
    <cellStyle name="합산 9" xfId="52777"/>
    <cellStyle name="桁区切り [0.00]_BKS-ESTIMATE" xfId="52778"/>
    <cellStyle name="桁区切り_BKS-ESTIMATE" xfId="52779"/>
    <cellStyle name="화폐기호" xfId="52780"/>
    <cellStyle name="화폐기호 2" xfId="52781"/>
    <cellStyle name="화폐기호 2 2" xfId="52782"/>
    <cellStyle name="화폐기호 2 3" xfId="52783"/>
    <cellStyle name="화폐기호 2 4" xfId="52784"/>
    <cellStyle name="화폐기호 3" xfId="52785"/>
    <cellStyle name="화폐기호 4" xfId="52786"/>
    <cellStyle name="화폐기호 5" xfId="52787"/>
    <cellStyle name="화폐기호 6" xfId="52788"/>
    <cellStyle name="화폐기호0" xfId="52789"/>
    <cellStyle name="화폐기호0 2" xfId="52790"/>
    <cellStyle name="화폐기호0 2 2" xfId="52791"/>
    <cellStyle name="화폐기호0 2 3" xfId="52792"/>
    <cellStyle name="화폐기호0 2 4" xfId="52793"/>
    <cellStyle name="화폐기호0 3" xfId="52794"/>
    <cellStyle name="화폐기호0 4" xfId="52795"/>
    <cellStyle name="화폐기호0 5" xfId="52796"/>
    <cellStyle name="화폐기호0 6" xfId="52797"/>
    <cellStyle name="횅" xfId="52798"/>
    <cellStyle name="횅 2" xfId="52799"/>
    <cellStyle name="횅 2 2" xfId="52800"/>
    <cellStyle name="횅 2 3" xfId="52801"/>
    <cellStyle name="횅 2 4" xfId="52802"/>
    <cellStyle name="횅 2 5" xfId="52803"/>
    <cellStyle name="횅 3" xfId="52804"/>
    <cellStyle name="횅 4" xfId="52805"/>
    <cellStyle name="횅 5" xfId="52806"/>
    <cellStyle name="횅 6" xfId="52807"/>
  </cellStyles>
  <dxfs count="0"/>
  <tableStyles count="0" defaultTableStyle="TableStyleMedium9" defaultPivotStyle="PivotStyleLight16"/>
  <colors>
    <mruColors>
      <color rgb="FF0000FF"/>
      <color rgb="FFCCFFCC"/>
      <color rgb="FFFFFF66"/>
      <color rgb="FF00FFFF"/>
      <color rgb="FF99FF99"/>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0</xdr:col>
      <xdr:colOff>28575</xdr:colOff>
      <xdr:row>5</xdr:row>
      <xdr:rowOff>123825</xdr:rowOff>
    </xdr:from>
    <xdr:to>
      <xdr:col>1</xdr:col>
      <xdr:colOff>19050</xdr:colOff>
      <xdr:row>7</xdr:row>
      <xdr:rowOff>0</xdr:rowOff>
    </xdr:to>
    <xdr:sp macro="" textlink="">
      <xdr:nvSpPr>
        <xdr:cNvPr id="161" name="Text Box 618"/>
        <xdr:cNvSpPr txBox="1">
          <a:spLocks noChangeArrowheads="1"/>
        </xdr:cNvSpPr>
      </xdr:nvSpPr>
      <xdr:spPr bwMode="auto">
        <a:xfrm>
          <a:off x="28575" y="866775"/>
          <a:ext cx="1562100" cy="219075"/>
        </a:xfrm>
        <a:prstGeom prst="rect">
          <a:avLst/>
        </a:prstGeom>
        <a:solidFill>
          <a:srgbClr val="FFFF99"/>
        </a:solidFill>
        <a:ln w="9525">
          <a:solidFill>
            <a:srgbClr val="000000"/>
          </a:solidFill>
          <a:miter lim="800000"/>
          <a:headEnd/>
          <a:tailEnd/>
        </a:ln>
      </xdr:spPr>
      <xdr:txBody>
        <a:bodyPr vertOverflow="clip" wrap="square" lIns="36576" tIns="27432" rIns="36576" bIns="0" anchor="t" upright="1"/>
        <a:lstStyle/>
        <a:p>
          <a:pPr algn="ctr" rtl="0">
            <a:defRPr sz="1000"/>
          </a:pPr>
          <a:r>
            <a:rPr lang="en-US" altLang="ko-KR" sz="1200" b="1" i="0" u="none" strike="noStrike" baseline="0">
              <a:solidFill>
                <a:srgbClr val="000000"/>
              </a:solidFill>
              <a:latin typeface="Arial"/>
              <a:cs typeface="Arial"/>
            </a:rPr>
            <a:t>Rated Flow Case</a:t>
          </a:r>
        </a:p>
      </xdr:txBody>
    </xdr:sp>
    <xdr:clientData/>
  </xdr:twoCellAnchor>
  <xdr:twoCellAnchor>
    <xdr:from>
      <xdr:col>0</xdr:col>
      <xdr:colOff>344941</xdr:colOff>
      <xdr:row>1</xdr:row>
      <xdr:rowOff>78562</xdr:rowOff>
    </xdr:from>
    <xdr:to>
      <xdr:col>2</xdr:col>
      <xdr:colOff>472848</xdr:colOff>
      <xdr:row>4</xdr:row>
      <xdr:rowOff>88247</xdr:rowOff>
    </xdr:to>
    <xdr:grpSp>
      <xdr:nvGrpSpPr>
        <xdr:cNvPr id="8" name="그룹 14"/>
        <xdr:cNvGrpSpPr>
          <a:grpSpLocks/>
        </xdr:cNvGrpSpPr>
      </xdr:nvGrpSpPr>
      <xdr:grpSpPr bwMode="auto">
        <a:xfrm>
          <a:off x="344941" y="147835"/>
          <a:ext cx="2413907" cy="494594"/>
          <a:chOff x="8613040" y="2332547"/>
          <a:chExt cx="2152822" cy="413488"/>
        </a:xfrm>
      </xdr:grpSpPr>
      <xdr:pic>
        <xdr:nvPicPr>
          <xdr:cNvPr id="9"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8986367" y="2581883"/>
            <a:ext cx="1779495" cy="115586"/>
          </a:xfrm>
          <a:prstGeom prst="rect">
            <a:avLst/>
          </a:prstGeom>
          <a:noFill/>
          <a:ln w="1">
            <a:noFill/>
            <a:miter lim="800000"/>
            <a:headEnd/>
            <a:tailEnd/>
          </a:ln>
        </xdr:spPr>
      </xdr:pic>
      <xdr:pic>
        <xdr:nvPicPr>
          <xdr:cNvPr id="10"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8613040" y="2332547"/>
            <a:ext cx="368831" cy="413488"/>
          </a:xfrm>
          <a:prstGeom prst="rect">
            <a:avLst/>
          </a:prstGeom>
          <a:noFill/>
          <a:ln w="1">
            <a:noFill/>
            <a:miter lim="800000"/>
            <a:headEnd/>
            <a:tailEnd/>
          </a:ln>
        </xdr:spPr>
      </xdr:pic>
    </xdr:grpSp>
    <xdr:clientData/>
  </xdr:twoCellAnchor>
  <xdr:twoCellAnchor editAs="oneCell">
    <xdr:from>
      <xdr:col>0</xdr:col>
      <xdr:colOff>1020475</xdr:colOff>
      <xdr:row>24</xdr:row>
      <xdr:rowOff>83323</xdr:rowOff>
    </xdr:from>
    <xdr:to>
      <xdr:col>18</xdr:col>
      <xdr:colOff>418780</xdr:colOff>
      <xdr:row>42</xdr:row>
      <xdr:rowOff>18999</xdr:rowOff>
    </xdr:to>
    <xdr:pic>
      <xdr:nvPicPr>
        <xdr:cNvPr id="86" name="그림 85" descr="캡처.JPG"/>
        <xdr:cNvPicPr>
          <a:picLocks noChangeAspect="1"/>
        </xdr:cNvPicPr>
      </xdr:nvPicPr>
      <xdr:blipFill>
        <a:blip xmlns:r="http://schemas.openxmlformats.org/officeDocument/2006/relationships" r:embed="rId3"/>
        <a:stretch>
          <a:fillRect/>
        </a:stretch>
      </xdr:blipFill>
      <xdr:spPr>
        <a:xfrm>
          <a:off x="1020475" y="4015787"/>
          <a:ext cx="13236769" cy="28748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13610</xdr:colOff>
      <xdr:row>3</xdr:row>
      <xdr:rowOff>22412</xdr:rowOff>
    </xdr:from>
    <xdr:to>
      <xdr:col>17</xdr:col>
      <xdr:colOff>56031</xdr:colOff>
      <xdr:row>5</xdr:row>
      <xdr:rowOff>65295</xdr:rowOff>
    </xdr:to>
    <xdr:grpSp>
      <xdr:nvGrpSpPr>
        <xdr:cNvPr id="2" name="그룹 14"/>
        <xdr:cNvGrpSpPr>
          <a:grpSpLocks/>
        </xdr:cNvGrpSpPr>
      </xdr:nvGrpSpPr>
      <xdr:grpSpPr bwMode="auto">
        <a:xfrm>
          <a:off x="1718585" y="727262"/>
          <a:ext cx="4366771" cy="557233"/>
          <a:chOff x="8613040" y="2332547"/>
          <a:chExt cx="2152822" cy="413488"/>
        </a:xfrm>
      </xdr:grpSpPr>
      <xdr:pic>
        <xdr:nvPicPr>
          <xdr:cNvPr id="3"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8986367" y="2581883"/>
            <a:ext cx="1779495" cy="115586"/>
          </a:xfrm>
          <a:prstGeom prst="rect">
            <a:avLst/>
          </a:prstGeom>
          <a:noFill/>
          <a:ln w="1">
            <a:noFill/>
            <a:miter lim="800000"/>
            <a:headEnd/>
            <a:tailEnd/>
          </a:ln>
        </xdr:spPr>
      </xdr:pic>
      <xdr:pic>
        <xdr:nvPicPr>
          <xdr:cNvPr id="4"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8613040" y="2332547"/>
            <a:ext cx="368831" cy="413488"/>
          </a:xfrm>
          <a:prstGeom prst="rect">
            <a:avLst/>
          </a:prstGeom>
          <a:noFill/>
          <a:ln w="1">
            <a:noFill/>
            <a:miter lim="800000"/>
            <a:headEnd/>
            <a:tailEnd/>
          </a:ln>
        </xdr:spPr>
      </xdr:pic>
    </xdr:grpSp>
    <xdr:clientData/>
  </xdr:twoCellAnchor>
  <xdr:twoCellAnchor>
    <xdr:from>
      <xdr:col>43</xdr:col>
      <xdr:colOff>13610</xdr:colOff>
      <xdr:row>3</xdr:row>
      <xdr:rowOff>22412</xdr:rowOff>
    </xdr:from>
    <xdr:to>
      <xdr:col>55</xdr:col>
      <xdr:colOff>56031</xdr:colOff>
      <xdr:row>5</xdr:row>
      <xdr:rowOff>65295</xdr:rowOff>
    </xdr:to>
    <xdr:grpSp>
      <xdr:nvGrpSpPr>
        <xdr:cNvPr id="5" name="그룹 14"/>
        <xdr:cNvGrpSpPr>
          <a:grpSpLocks/>
        </xdr:cNvGrpSpPr>
      </xdr:nvGrpSpPr>
      <xdr:grpSpPr bwMode="auto">
        <a:xfrm>
          <a:off x="15072635" y="727262"/>
          <a:ext cx="4366771" cy="557233"/>
          <a:chOff x="8613040" y="2332547"/>
          <a:chExt cx="2152822" cy="413488"/>
        </a:xfrm>
      </xdr:grpSpPr>
      <xdr:pic>
        <xdr:nvPicPr>
          <xdr:cNvPr id="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8986367" y="2581883"/>
            <a:ext cx="1779495" cy="115586"/>
          </a:xfrm>
          <a:prstGeom prst="rect">
            <a:avLst/>
          </a:prstGeom>
          <a:noFill/>
          <a:ln w="1">
            <a:noFill/>
            <a:miter lim="800000"/>
            <a:headEnd/>
            <a:tailEnd/>
          </a:ln>
        </xdr:spPr>
      </xdr:pic>
      <xdr:pic>
        <xdr:nvPicPr>
          <xdr:cNvPr id="7"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8613040" y="2332547"/>
            <a:ext cx="368831" cy="413488"/>
          </a:xfrm>
          <a:prstGeom prst="rect">
            <a:avLst/>
          </a:prstGeom>
          <a:noFill/>
          <a:ln w="1">
            <a:noFill/>
            <a:miter lim="800000"/>
            <a:headEnd/>
            <a:tailEnd/>
          </a:ln>
        </xdr:spPr>
      </xdr:pic>
    </xdr:grpSp>
    <xdr:clientData/>
  </xdr:twoCellAnchor>
  <mc:AlternateContent xmlns:mc="http://schemas.openxmlformats.org/markup-compatibility/2006">
    <mc:Choice xmlns:a14="http://schemas.microsoft.com/office/drawing/2010/main" Requires="a14">
      <xdr:twoCellAnchor>
        <xdr:from>
          <xdr:col>77</xdr:col>
          <xdr:colOff>228600</xdr:colOff>
          <xdr:row>4</xdr:row>
          <xdr:rowOff>171450</xdr:rowOff>
        </xdr:from>
        <xdr:to>
          <xdr:col>79</xdr:col>
          <xdr:colOff>581025</xdr:colOff>
          <xdr:row>7</xdr:row>
          <xdr:rowOff>85725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500" b="0" i="0" u="none" strike="noStrike" baseline="0">
                  <a:solidFill>
                    <a:srgbClr val="000000"/>
                  </a:solidFill>
                  <a:latin typeface="돋움"/>
                  <a:ea typeface="돋움"/>
                </a:rPr>
                <a:t>양식</a:t>
              </a:r>
              <a:r>
                <a:rPr lang="ko-KR" altLang="en-US" sz="1500" b="0" i="0" u="none" strike="noStrike" baseline="0">
                  <a:solidFill>
                    <a:srgbClr val="000000"/>
                  </a:solidFill>
                  <a:latin typeface="Arial"/>
                  <a:ea typeface="돋움"/>
                  <a:cs typeface="Arial"/>
                </a:rPr>
                <a:t> </a:t>
              </a:r>
              <a:r>
                <a:rPr lang="ko-KR" altLang="en-US" sz="1500" b="0" i="0" u="none" strike="noStrike" baseline="0">
                  <a:solidFill>
                    <a:srgbClr val="000000"/>
                  </a:solidFill>
                  <a:latin typeface="돋움"/>
                  <a:ea typeface="돋움"/>
                  <a:cs typeface="Arial"/>
                </a:rPr>
                <a:t>복사</a:t>
              </a:r>
              <a:r>
                <a:rPr lang="ko-KR" altLang="en-US" sz="1500" b="0" i="0" u="none" strike="noStrike" baseline="0">
                  <a:solidFill>
                    <a:srgbClr val="000000"/>
                  </a:solidFill>
                  <a:latin typeface="Arial"/>
                  <a:ea typeface="돋움"/>
                  <a:cs typeface="Arial"/>
                </a:rPr>
                <a:t> </a:t>
              </a:r>
              <a:endParaRPr lang="ko-KR" altLang="en-US" sz="15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13610</xdr:colOff>
      <xdr:row>3</xdr:row>
      <xdr:rowOff>22412</xdr:rowOff>
    </xdr:from>
    <xdr:to>
      <xdr:col>17</xdr:col>
      <xdr:colOff>56031</xdr:colOff>
      <xdr:row>5</xdr:row>
      <xdr:rowOff>65295</xdr:rowOff>
    </xdr:to>
    <xdr:grpSp>
      <xdr:nvGrpSpPr>
        <xdr:cNvPr id="2" name="그룹 14"/>
        <xdr:cNvGrpSpPr>
          <a:grpSpLocks/>
        </xdr:cNvGrpSpPr>
      </xdr:nvGrpSpPr>
      <xdr:grpSpPr bwMode="auto">
        <a:xfrm>
          <a:off x="1714503" y="729983"/>
          <a:ext cx="4383099" cy="559955"/>
          <a:chOff x="8613040" y="2332547"/>
          <a:chExt cx="2152822" cy="413488"/>
        </a:xfrm>
      </xdr:grpSpPr>
      <xdr:pic>
        <xdr:nvPicPr>
          <xdr:cNvPr id="3"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8986367" y="2581883"/>
            <a:ext cx="1779495" cy="115586"/>
          </a:xfrm>
          <a:prstGeom prst="rect">
            <a:avLst/>
          </a:prstGeom>
          <a:noFill/>
          <a:ln w="1">
            <a:noFill/>
            <a:miter lim="800000"/>
            <a:headEnd/>
            <a:tailEnd/>
          </a:ln>
        </xdr:spPr>
      </xdr:pic>
      <xdr:pic>
        <xdr:nvPicPr>
          <xdr:cNvPr id="4"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8613040" y="2332547"/>
            <a:ext cx="368831" cy="413488"/>
          </a:xfrm>
          <a:prstGeom prst="rect">
            <a:avLst/>
          </a:prstGeom>
          <a:noFill/>
          <a:ln w="1">
            <a:noFill/>
            <a:miter lim="800000"/>
            <a:headEnd/>
            <a:tailEnd/>
          </a:ln>
        </xdr:spPr>
      </xdr:pic>
    </xdr:grpSp>
    <xdr:clientData/>
  </xdr:twoCellAnchor>
  <xdr:twoCellAnchor>
    <xdr:from>
      <xdr:col>43</xdr:col>
      <xdr:colOff>13610</xdr:colOff>
      <xdr:row>3</xdr:row>
      <xdr:rowOff>22412</xdr:rowOff>
    </xdr:from>
    <xdr:to>
      <xdr:col>55</xdr:col>
      <xdr:colOff>56031</xdr:colOff>
      <xdr:row>5</xdr:row>
      <xdr:rowOff>65295</xdr:rowOff>
    </xdr:to>
    <xdr:grpSp>
      <xdr:nvGrpSpPr>
        <xdr:cNvPr id="5" name="그룹 14"/>
        <xdr:cNvGrpSpPr>
          <a:grpSpLocks/>
        </xdr:cNvGrpSpPr>
      </xdr:nvGrpSpPr>
      <xdr:grpSpPr bwMode="auto">
        <a:xfrm>
          <a:off x="15103931" y="729983"/>
          <a:ext cx="4383100" cy="559955"/>
          <a:chOff x="8613040" y="2332547"/>
          <a:chExt cx="2152822" cy="413488"/>
        </a:xfrm>
      </xdr:grpSpPr>
      <xdr:pic>
        <xdr:nvPicPr>
          <xdr:cNvPr id="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8986367" y="2581883"/>
            <a:ext cx="1779495" cy="115586"/>
          </a:xfrm>
          <a:prstGeom prst="rect">
            <a:avLst/>
          </a:prstGeom>
          <a:noFill/>
          <a:ln w="1">
            <a:noFill/>
            <a:miter lim="800000"/>
            <a:headEnd/>
            <a:tailEnd/>
          </a:ln>
        </xdr:spPr>
      </xdr:pic>
      <xdr:pic>
        <xdr:nvPicPr>
          <xdr:cNvPr id="7"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8613040" y="2332547"/>
            <a:ext cx="368831" cy="413488"/>
          </a:xfrm>
          <a:prstGeom prst="rect">
            <a:avLst/>
          </a:prstGeom>
          <a:noFill/>
          <a:ln w="1">
            <a:noFill/>
            <a:miter lim="800000"/>
            <a:headEnd/>
            <a:tailEnd/>
          </a:ln>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285750</xdr:colOff>
      <xdr:row>45</xdr:row>
      <xdr:rowOff>52669</xdr:rowOff>
    </xdr:from>
    <xdr:to>
      <xdr:col>8</xdr:col>
      <xdr:colOff>456080</xdr:colOff>
      <xdr:row>48</xdr:row>
      <xdr:rowOff>110380</xdr:rowOff>
    </xdr:to>
    <xdr:pic>
      <xdr:nvPicPr>
        <xdr:cNvPr id="2" name="그림 1" descr="캡처.JPG"/>
        <xdr:cNvPicPr>
          <a:picLocks noChangeAspect="1"/>
        </xdr:cNvPicPr>
      </xdr:nvPicPr>
      <xdr:blipFill>
        <a:blip xmlns:r="http://schemas.openxmlformats.org/officeDocument/2006/relationships" r:embed="rId1"/>
        <a:stretch>
          <a:fillRect/>
        </a:stretch>
      </xdr:blipFill>
      <xdr:spPr>
        <a:xfrm>
          <a:off x="1047750" y="9454404"/>
          <a:ext cx="3554506" cy="987799"/>
        </a:xfrm>
        <a:prstGeom prst="rect">
          <a:avLst/>
        </a:prstGeom>
        <a:ln>
          <a:solidFill>
            <a:schemeClr val="tx1">
              <a:lumMod val="95000"/>
              <a:lumOff val="5000"/>
            </a:schemeClr>
          </a:solidFill>
        </a:ln>
      </xdr:spPr>
    </xdr:pic>
    <xdr:clientData/>
  </xdr:twoCellAnchor>
  <xdr:twoCellAnchor editAs="oneCell">
    <xdr:from>
      <xdr:col>2</xdr:col>
      <xdr:colOff>285750</xdr:colOff>
      <xdr:row>50</xdr:row>
      <xdr:rowOff>87409</xdr:rowOff>
    </xdr:from>
    <xdr:to>
      <xdr:col>12</xdr:col>
      <xdr:colOff>353546</xdr:colOff>
      <xdr:row>53</xdr:row>
      <xdr:rowOff>155765</xdr:rowOff>
    </xdr:to>
    <xdr:pic>
      <xdr:nvPicPr>
        <xdr:cNvPr id="3" name="그림 2" descr="캡처 1.JPG"/>
        <xdr:cNvPicPr>
          <a:picLocks noChangeAspect="1"/>
        </xdr:cNvPicPr>
      </xdr:nvPicPr>
      <xdr:blipFill>
        <a:blip xmlns:r="http://schemas.openxmlformats.org/officeDocument/2006/relationships" r:embed="rId2"/>
        <a:stretch>
          <a:fillRect/>
        </a:stretch>
      </xdr:blipFill>
      <xdr:spPr>
        <a:xfrm>
          <a:off x="1047750" y="10732997"/>
          <a:ext cx="5379384" cy="953621"/>
        </a:xfrm>
        <a:prstGeom prst="rect">
          <a:avLst/>
        </a:prstGeom>
        <a:ln>
          <a:solidFill>
            <a:schemeClr val="tx1">
              <a:lumMod val="95000"/>
              <a:lumOff val="5000"/>
            </a:schemeClr>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60"/>
  <sheetViews>
    <sheetView showGridLines="0" view="pageBreakPreview" zoomScale="55" zoomScaleNormal="70" zoomScaleSheetLayoutView="55" workbookViewId="0">
      <selection activeCell="AE49" sqref="AE49"/>
    </sheetView>
  </sheetViews>
  <sheetFormatPr defaultRowHeight="12.75"/>
  <cols>
    <col min="1" max="1" width="24.7109375" customWidth="1"/>
    <col min="2" max="2" width="9.7109375" customWidth="1"/>
    <col min="3" max="14" width="10.7109375" customWidth="1"/>
    <col min="15" max="15" width="10.7109375" style="88" customWidth="1"/>
    <col min="16" max="19" width="10.7109375" customWidth="1"/>
    <col min="20" max="20" width="10.7109375" style="88" customWidth="1"/>
    <col min="21" max="24" width="10.7109375" customWidth="1"/>
    <col min="25" max="27" width="9.28515625" customWidth="1"/>
    <col min="28" max="28" width="10.140625" bestFit="1" customWidth="1"/>
    <col min="30" max="30" width="9.140625" customWidth="1"/>
  </cols>
  <sheetData>
    <row r="1" spans="1:25" ht="6" customHeight="1" thickBot="1"/>
    <row r="2" spans="1:25" ht="12.75" customHeight="1">
      <c r="A2" s="307"/>
      <c r="B2" s="308"/>
      <c r="C2" s="308"/>
      <c r="D2" s="308"/>
      <c r="E2" s="308"/>
      <c r="F2" s="309"/>
      <c r="G2" s="286" t="s">
        <v>10</v>
      </c>
      <c r="H2" s="317"/>
      <c r="I2" s="317"/>
      <c r="J2" s="317"/>
      <c r="K2" s="318"/>
      <c r="L2" s="303" t="s">
        <v>134</v>
      </c>
      <c r="M2" s="304"/>
      <c r="N2" s="97"/>
      <c r="O2" s="97"/>
      <c r="P2" s="98"/>
      <c r="Q2" s="286" t="s">
        <v>11</v>
      </c>
      <c r="R2" s="287"/>
      <c r="S2" s="290">
        <f ca="1">TODAY()</f>
        <v>43903</v>
      </c>
      <c r="T2" s="290"/>
      <c r="U2" s="291"/>
      <c r="V2" s="162"/>
      <c r="W2" s="163"/>
      <c r="X2" s="145"/>
    </row>
    <row r="3" spans="1:25" ht="13.5" customHeight="1">
      <c r="A3" s="310"/>
      <c r="B3" s="311"/>
      <c r="C3" s="311"/>
      <c r="D3" s="311"/>
      <c r="E3" s="311"/>
      <c r="F3" s="312"/>
      <c r="G3" s="288"/>
      <c r="H3" s="319"/>
      <c r="I3" s="319"/>
      <c r="J3" s="319"/>
      <c r="K3" s="320"/>
      <c r="L3" s="284"/>
      <c r="M3" s="285"/>
      <c r="N3" s="99"/>
      <c r="O3" s="99"/>
      <c r="P3" s="100"/>
      <c r="Q3" s="288"/>
      <c r="R3" s="289"/>
      <c r="S3" s="292"/>
      <c r="T3" s="292"/>
      <c r="U3" s="293"/>
      <c r="V3" s="162"/>
      <c r="W3" s="163"/>
      <c r="X3" s="145"/>
    </row>
    <row r="4" spans="1:25">
      <c r="A4" s="310"/>
      <c r="B4" s="311"/>
      <c r="C4" s="311"/>
      <c r="D4" s="311"/>
      <c r="E4" s="311"/>
      <c r="F4" s="312"/>
      <c r="G4" s="316" t="s">
        <v>12</v>
      </c>
      <c r="H4" s="294"/>
      <c r="I4" s="294"/>
      <c r="J4" s="294"/>
      <c r="K4" s="301"/>
      <c r="L4" s="282" t="s">
        <v>133</v>
      </c>
      <c r="M4" s="298"/>
      <c r="N4" s="294"/>
      <c r="O4" s="294"/>
      <c r="P4" s="301"/>
      <c r="Q4" s="282" t="s">
        <v>13</v>
      </c>
      <c r="R4" s="283"/>
      <c r="S4" s="294"/>
      <c r="T4" s="294"/>
      <c r="U4" s="295"/>
      <c r="V4" s="164"/>
      <c r="W4" s="96"/>
      <c r="X4" s="96"/>
    </row>
    <row r="5" spans="1:25">
      <c r="A5" s="313"/>
      <c r="B5" s="314"/>
      <c r="C5" s="314"/>
      <c r="D5" s="314"/>
      <c r="E5" s="314"/>
      <c r="F5" s="315"/>
      <c r="G5" s="299"/>
      <c r="H5" s="296"/>
      <c r="I5" s="296"/>
      <c r="J5" s="296"/>
      <c r="K5" s="302"/>
      <c r="L5" s="299"/>
      <c r="M5" s="300"/>
      <c r="N5" s="296"/>
      <c r="O5" s="296"/>
      <c r="P5" s="302"/>
      <c r="Q5" s="284"/>
      <c r="R5" s="285"/>
      <c r="S5" s="296"/>
      <c r="T5" s="296"/>
      <c r="U5" s="297"/>
      <c r="V5" s="164"/>
      <c r="W5" s="96"/>
      <c r="X5" s="96"/>
    </row>
    <row r="6" spans="1:25" ht="14.1" customHeight="1">
      <c r="A6" s="12"/>
      <c r="B6" s="13"/>
      <c r="C6" s="13"/>
      <c r="D6" s="13"/>
      <c r="E6" s="13"/>
      <c r="F6" s="13"/>
      <c r="H6" s="27"/>
      <c r="I6" s="28"/>
      <c r="J6" s="28"/>
      <c r="K6" s="165" t="s">
        <v>135</v>
      </c>
      <c r="L6" s="15" t="s">
        <v>21</v>
      </c>
      <c r="M6" s="15"/>
      <c r="N6" s="15"/>
      <c r="O6" s="15"/>
      <c r="P6" s="15"/>
      <c r="Q6" s="14"/>
      <c r="R6" s="14"/>
      <c r="S6" s="14"/>
      <c r="T6" s="14"/>
      <c r="U6" s="143"/>
      <c r="V6" s="146"/>
      <c r="W6" s="28"/>
      <c r="X6" s="28"/>
    </row>
    <row r="7" spans="1:25" ht="14.1" customHeight="1">
      <c r="A7" s="12"/>
      <c r="B7" s="13"/>
      <c r="C7" s="13"/>
      <c r="D7" s="13"/>
      <c r="E7" s="13"/>
      <c r="F7" s="13"/>
      <c r="G7" s="13"/>
      <c r="H7" s="27"/>
      <c r="I7" s="28"/>
      <c r="J7" s="28"/>
      <c r="K7" s="28"/>
      <c r="L7" s="15" t="s">
        <v>22</v>
      </c>
      <c r="M7" s="15"/>
      <c r="N7" s="15"/>
      <c r="O7" s="15"/>
      <c r="P7" s="15"/>
      <c r="Q7" s="14"/>
      <c r="R7" s="14"/>
      <c r="S7" s="14"/>
      <c r="T7" s="14"/>
      <c r="U7" s="143"/>
      <c r="V7" s="146"/>
      <c r="W7" s="28"/>
      <c r="X7" s="28"/>
    </row>
    <row r="8" spans="1:25" ht="14.1" customHeight="1">
      <c r="A8" s="12"/>
      <c r="B8" s="13"/>
      <c r="C8" s="13"/>
      <c r="D8" s="13"/>
      <c r="E8" s="13"/>
      <c r="F8" s="13"/>
      <c r="G8" s="13"/>
      <c r="H8" s="27"/>
      <c r="I8" s="28"/>
      <c r="J8" s="28"/>
      <c r="K8" s="28"/>
      <c r="L8" s="15" t="s">
        <v>70</v>
      </c>
      <c r="M8" s="15"/>
      <c r="N8" s="15"/>
      <c r="O8" s="15"/>
      <c r="P8" s="15"/>
      <c r="Q8" s="14"/>
      <c r="R8" s="14"/>
      <c r="S8" s="14"/>
      <c r="T8" s="14"/>
      <c r="U8" s="143"/>
      <c r="V8" s="146"/>
      <c r="W8" s="28"/>
      <c r="X8" s="28"/>
    </row>
    <row r="9" spans="1:25" ht="14.1" customHeight="1">
      <c r="A9" s="12"/>
      <c r="B9" s="13"/>
      <c r="C9" s="13"/>
      <c r="D9" s="13"/>
      <c r="E9" s="13"/>
      <c r="F9" s="13"/>
      <c r="G9" s="13"/>
      <c r="H9" s="28"/>
      <c r="I9" s="28"/>
      <c r="J9" s="28"/>
      <c r="K9" s="28"/>
      <c r="L9" s="14"/>
      <c r="M9" s="14"/>
      <c r="N9" s="14"/>
      <c r="O9" s="14"/>
      <c r="P9" s="14"/>
      <c r="Q9" s="14"/>
      <c r="R9" s="14"/>
      <c r="S9" s="14"/>
      <c r="T9" s="14"/>
      <c r="U9" s="143"/>
      <c r="V9" s="146"/>
      <c r="W9" s="28"/>
      <c r="X9" s="28"/>
    </row>
    <row r="10" spans="1:25" ht="14.1" customHeight="1">
      <c r="A10" s="12"/>
      <c r="B10" s="13"/>
      <c r="C10" s="13"/>
      <c r="D10" s="13"/>
      <c r="E10" s="13"/>
      <c r="F10" s="13"/>
      <c r="G10" s="13"/>
      <c r="H10" s="28"/>
      <c r="I10" s="28"/>
      <c r="J10" s="28"/>
      <c r="K10" s="28"/>
      <c r="L10" s="14"/>
      <c r="M10" s="14"/>
      <c r="N10" s="14"/>
      <c r="O10" s="14"/>
      <c r="P10" s="14"/>
      <c r="Q10" s="14"/>
      <c r="R10" s="14"/>
      <c r="S10" s="14"/>
      <c r="T10" s="14"/>
      <c r="U10" s="143"/>
      <c r="V10" s="146"/>
      <c r="W10" s="28"/>
      <c r="X10" s="28"/>
    </row>
    <row r="11" spans="1:25" ht="14.1" customHeight="1">
      <c r="A11" s="12"/>
      <c r="B11" s="13"/>
      <c r="C11" s="13"/>
      <c r="D11" s="13"/>
      <c r="E11" s="13"/>
      <c r="F11" s="13"/>
      <c r="G11" s="13"/>
      <c r="H11" s="27"/>
      <c r="I11" s="28"/>
      <c r="J11" s="28"/>
      <c r="K11" s="28"/>
      <c r="L11" s="28"/>
      <c r="M11" s="28"/>
      <c r="N11" s="28"/>
      <c r="O11" s="28"/>
      <c r="P11" s="28"/>
      <c r="Q11" s="28"/>
      <c r="R11" s="28"/>
      <c r="S11" s="28"/>
      <c r="T11" s="28"/>
      <c r="U11" s="144"/>
      <c r="V11" s="146"/>
      <c r="W11" s="28"/>
      <c r="X11" s="28"/>
    </row>
    <row r="12" spans="1:25" ht="12.75" customHeight="1">
      <c r="A12" s="12"/>
      <c r="B12" s="13"/>
      <c r="C12" s="13"/>
      <c r="D12" s="13"/>
      <c r="E12" s="13"/>
      <c r="F12" s="13"/>
      <c r="G12" s="13"/>
      <c r="H12" s="13"/>
      <c r="I12" s="13"/>
      <c r="J12" s="13"/>
      <c r="K12" s="13"/>
      <c r="L12" s="13"/>
      <c r="M12" s="13"/>
      <c r="N12" s="13"/>
      <c r="O12" s="66"/>
      <c r="P12" s="13"/>
      <c r="Q12" s="13"/>
      <c r="R12" s="13"/>
      <c r="S12" s="66"/>
      <c r="T12" s="66"/>
      <c r="U12" s="21"/>
      <c r="V12" s="147"/>
      <c r="W12" s="56"/>
      <c r="X12" s="56"/>
      <c r="Y12" s="73"/>
    </row>
    <row r="13" spans="1:25">
      <c r="A13" s="12"/>
      <c r="B13" s="13"/>
      <c r="C13" s="13"/>
      <c r="D13" s="13"/>
      <c r="E13" s="13"/>
      <c r="F13" s="13"/>
      <c r="G13" s="13"/>
      <c r="H13" s="13"/>
      <c r="I13" s="13"/>
      <c r="J13" s="13"/>
      <c r="K13" s="13"/>
      <c r="L13" s="13"/>
      <c r="M13" s="13"/>
      <c r="N13" s="13"/>
      <c r="O13" s="66"/>
      <c r="P13" s="13"/>
      <c r="Q13" s="13"/>
      <c r="R13" s="13"/>
      <c r="S13" s="66"/>
      <c r="T13" s="66"/>
      <c r="U13" s="21"/>
      <c r="V13" s="147"/>
      <c r="W13" s="56"/>
      <c r="X13" s="56"/>
      <c r="Y13" s="74"/>
    </row>
    <row r="14" spans="1:25">
      <c r="A14" s="12"/>
      <c r="B14" s="13"/>
      <c r="C14" s="13"/>
      <c r="D14" s="13"/>
      <c r="E14" s="13"/>
      <c r="F14" s="13"/>
      <c r="G14" s="13"/>
      <c r="H14" s="13"/>
      <c r="I14" s="13"/>
      <c r="J14" s="13"/>
      <c r="K14" s="13"/>
      <c r="L14" s="13"/>
      <c r="M14" s="13"/>
      <c r="N14" s="13"/>
      <c r="O14" s="66"/>
      <c r="P14" s="13"/>
      <c r="Q14" s="13"/>
      <c r="R14" s="13"/>
      <c r="S14" s="66"/>
      <c r="T14" s="66"/>
      <c r="U14" s="21"/>
      <c r="V14" s="147"/>
      <c r="W14" s="56"/>
      <c r="X14" s="56"/>
    </row>
    <row r="15" spans="1:25" ht="12.75" customHeight="1">
      <c r="S15" s="66"/>
      <c r="T15" s="66"/>
      <c r="U15" s="21"/>
      <c r="V15" s="147"/>
      <c r="W15" s="56"/>
      <c r="X15" s="56"/>
    </row>
    <row r="16" spans="1:25" ht="12.75" customHeight="1">
      <c r="S16" s="66"/>
      <c r="T16" s="66"/>
      <c r="U16" s="21"/>
      <c r="V16" s="147"/>
      <c r="W16" s="56"/>
      <c r="X16" s="56"/>
    </row>
    <row r="17" spans="19:26" ht="12.75" customHeight="1">
      <c r="S17" s="66"/>
      <c r="T17" s="66"/>
      <c r="U17" s="21"/>
      <c r="V17" s="147"/>
      <c r="W17" s="56"/>
      <c r="X17" s="56"/>
    </row>
    <row r="18" spans="19:26" ht="12.75" customHeight="1">
      <c r="S18" s="66"/>
      <c r="T18" s="66"/>
      <c r="U18" s="21"/>
      <c r="V18" s="147"/>
      <c r="W18" s="56"/>
      <c r="X18" s="56"/>
    </row>
    <row r="19" spans="19:26" ht="12.75" customHeight="1">
      <c r="S19" s="66"/>
      <c r="T19" s="66"/>
      <c r="U19" s="21"/>
      <c r="V19" s="147"/>
      <c r="W19" s="56"/>
      <c r="X19" s="56"/>
    </row>
    <row r="20" spans="19:26" ht="12.75" customHeight="1">
      <c r="S20" s="66"/>
      <c r="T20" s="66"/>
      <c r="U20" s="21"/>
      <c r="V20" s="147"/>
      <c r="W20" s="56"/>
      <c r="X20" s="56"/>
    </row>
    <row r="21" spans="19:26" ht="12.75" customHeight="1">
      <c r="S21" s="66"/>
      <c r="T21" s="66"/>
      <c r="U21" s="21"/>
      <c r="V21" s="147"/>
      <c r="W21" s="56"/>
      <c r="X21" s="56"/>
    </row>
    <row r="22" spans="19:26" ht="12.75" customHeight="1">
      <c r="S22" s="66"/>
      <c r="T22" s="66"/>
      <c r="U22" s="21"/>
      <c r="V22" s="147"/>
      <c r="W22" s="56"/>
      <c r="X22" s="56"/>
    </row>
    <row r="23" spans="19:26" ht="12.75" customHeight="1">
      <c r="S23" s="66"/>
      <c r="T23" s="66"/>
      <c r="U23" s="21"/>
      <c r="V23" s="147"/>
      <c r="W23" s="56"/>
      <c r="X23" s="56"/>
    </row>
    <row r="24" spans="19:26" ht="12.75" customHeight="1">
      <c r="S24" s="66"/>
      <c r="T24" s="66"/>
      <c r="U24" s="21"/>
      <c r="V24" s="147"/>
      <c r="W24" s="56"/>
      <c r="X24" s="56"/>
    </row>
    <row r="25" spans="19:26" ht="12.75" customHeight="1">
      <c r="S25" s="66"/>
      <c r="T25" s="66"/>
      <c r="U25" s="21"/>
      <c r="V25" s="147"/>
      <c r="W25" s="56"/>
      <c r="X25" s="56"/>
      <c r="Z25" s="64"/>
    </row>
    <row r="26" spans="19:26" ht="12.75" customHeight="1">
      <c r="S26" s="66"/>
      <c r="T26" s="66"/>
      <c r="U26" s="21"/>
      <c r="V26" s="147"/>
      <c r="W26" s="56"/>
      <c r="X26" s="56"/>
      <c r="Z26" s="64"/>
    </row>
    <row r="27" spans="19:26" ht="12.75" customHeight="1">
      <c r="S27" s="66"/>
      <c r="T27" s="66"/>
      <c r="U27" s="21"/>
      <c r="V27" s="147"/>
      <c r="W27" s="56"/>
      <c r="X27" s="56"/>
      <c r="Z27" s="64"/>
    </row>
    <row r="28" spans="19:26" ht="12.75" customHeight="1">
      <c r="S28" s="66"/>
      <c r="T28" s="66"/>
      <c r="U28" s="21"/>
      <c r="V28" s="147"/>
      <c r="W28" s="56"/>
      <c r="X28" s="56"/>
      <c r="Z28" s="64"/>
    </row>
    <row r="29" spans="19:26" ht="12.75" customHeight="1">
      <c r="S29" s="66"/>
      <c r="T29" s="66"/>
      <c r="U29" s="21"/>
      <c r="V29" s="147"/>
      <c r="W29" s="56"/>
      <c r="X29" s="56"/>
      <c r="Z29" s="64"/>
    </row>
    <row r="30" spans="19:26" ht="12.75" customHeight="1">
      <c r="S30" s="66"/>
      <c r="T30" s="66"/>
      <c r="U30" s="21"/>
      <c r="V30" s="147"/>
      <c r="W30" s="56"/>
      <c r="X30" s="56"/>
      <c r="Z30" s="64"/>
    </row>
    <row r="31" spans="19:26" ht="12.75" customHeight="1">
      <c r="S31" s="66"/>
      <c r="T31" s="66"/>
      <c r="U31" s="21"/>
      <c r="V31" s="147"/>
      <c r="W31" s="56"/>
      <c r="X31" s="56"/>
      <c r="Z31" s="64"/>
    </row>
    <row r="32" spans="19:26" ht="12.75" customHeight="1">
      <c r="S32" s="66"/>
      <c r="T32" s="66"/>
      <c r="U32" s="21"/>
      <c r="V32" s="147"/>
      <c r="W32" s="56"/>
      <c r="X32" s="56"/>
      <c r="Z32" s="64"/>
    </row>
    <row r="33" spans="1:30" ht="12.75" customHeight="1">
      <c r="S33" s="66"/>
      <c r="T33" s="66"/>
      <c r="U33" s="21"/>
      <c r="V33" s="147"/>
      <c r="W33" s="56"/>
      <c r="X33" s="56"/>
      <c r="Z33" s="64"/>
    </row>
    <row r="34" spans="1:30" ht="12.75" customHeight="1">
      <c r="S34" s="66"/>
      <c r="T34" s="66"/>
      <c r="U34" s="21"/>
      <c r="V34" s="147"/>
      <c r="W34" s="56"/>
      <c r="X34" s="56"/>
      <c r="Z34" s="64"/>
    </row>
    <row r="35" spans="1:30">
      <c r="S35" s="66"/>
      <c r="T35" s="66"/>
      <c r="U35" s="21"/>
      <c r="V35" s="147"/>
      <c r="W35" s="56"/>
      <c r="X35" s="56"/>
    </row>
    <row r="36" spans="1:30">
      <c r="A36" s="12"/>
      <c r="B36" s="13"/>
      <c r="C36" s="13"/>
      <c r="D36" s="13"/>
      <c r="E36" s="13"/>
      <c r="F36" s="13"/>
      <c r="G36" s="13"/>
      <c r="H36" s="13"/>
      <c r="I36" s="13"/>
      <c r="J36" s="13"/>
      <c r="K36" s="13"/>
      <c r="L36" s="13"/>
      <c r="M36" s="13"/>
      <c r="N36" s="13"/>
      <c r="O36" s="66"/>
      <c r="P36" s="13"/>
      <c r="Q36" s="13"/>
      <c r="R36" s="13"/>
      <c r="S36" s="66"/>
      <c r="T36" s="66"/>
      <c r="U36" s="21"/>
      <c r="V36" s="147"/>
      <c r="W36" s="56"/>
      <c r="X36" s="56"/>
      <c r="AB36" s="29"/>
    </row>
    <row r="37" spans="1:30">
      <c r="A37" s="12"/>
      <c r="B37" s="13"/>
      <c r="C37" s="13"/>
      <c r="D37" s="13"/>
      <c r="E37" s="13"/>
      <c r="F37" s="13"/>
      <c r="G37" s="13"/>
      <c r="H37" s="13"/>
      <c r="I37" s="13"/>
      <c r="J37" s="13"/>
      <c r="L37" s="13"/>
      <c r="M37" s="13"/>
      <c r="N37" s="13"/>
      <c r="O37" s="66"/>
      <c r="P37" s="13"/>
      <c r="Q37" s="13"/>
      <c r="R37" s="13"/>
      <c r="S37" s="66"/>
      <c r="T37" s="66"/>
      <c r="U37" s="21"/>
      <c r="V37" s="147"/>
      <c r="W37" s="56"/>
      <c r="X37" s="56"/>
      <c r="AB37" s="30"/>
    </row>
    <row r="38" spans="1:30">
      <c r="S38" s="66"/>
      <c r="T38" s="66"/>
      <c r="U38" s="21"/>
      <c r="V38" s="147"/>
      <c r="W38" s="56"/>
      <c r="X38" s="56"/>
      <c r="AB38" s="30"/>
    </row>
    <row r="39" spans="1:30">
      <c r="S39" s="66"/>
      <c r="T39" s="66"/>
      <c r="U39" s="21"/>
      <c r="V39" s="147"/>
      <c r="W39" s="56"/>
      <c r="X39" s="56"/>
      <c r="AB39" s="31"/>
    </row>
    <row r="40" spans="1:30">
      <c r="S40" s="66"/>
      <c r="T40" s="66"/>
      <c r="U40" s="21"/>
      <c r="V40" s="147"/>
      <c r="W40" s="56"/>
      <c r="X40" s="56"/>
      <c r="AB40" s="32"/>
    </row>
    <row r="41" spans="1:30">
      <c r="S41" s="66"/>
      <c r="T41" s="66"/>
      <c r="U41" s="21"/>
      <c r="V41" s="147"/>
      <c r="W41" s="56"/>
      <c r="X41" s="56"/>
      <c r="AB41" s="32"/>
    </row>
    <row r="42" spans="1:30">
      <c r="S42" s="66"/>
      <c r="T42" s="66"/>
      <c r="U42" s="21"/>
      <c r="V42" s="147"/>
      <c r="W42" s="56"/>
      <c r="X42" s="56"/>
      <c r="AB42" s="32"/>
    </row>
    <row r="43" spans="1:30">
      <c r="S43" s="66"/>
      <c r="T43" s="66"/>
      <c r="U43" s="21"/>
      <c r="V43" s="147"/>
      <c r="W43" s="56"/>
      <c r="X43" s="56"/>
      <c r="AB43" s="32"/>
    </row>
    <row r="44" spans="1:30" ht="12.75" customHeight="1">
      <c r="A44" s="305"/>
      <c r="B44" s="306"/>
      <c r="C44" s="56"/>
      <c r="D44" s="56"/>
      <c r="E44" s="56"/>
      <c r="F44" s="56"/>
      <c r="G44" s="56"/>
      <c r="H44" s="56"/>
      <c r="I44" s="56"/>
      <c r="J44" s="56"/>
      <c r="K44" s="56"/>
      <c r="L44" s="56"/>
      <c r="M44" s="56"/>
      <c r="N44" s="56"/>
      <c r="O44" s="56"/>
      <c r="P44" s="56"/>
      <c r="Q44" s="101"/>
      <c r="R44" s="16"/>
      <c r="S44" s="56"/>
      <c r="T44" s="56"/>
      <c r="U44" s="116"/>
      <c r="V44" s="147"/>
      <c r="W44" s="54"/>
      <c r="X44" s="54"/>
      <c r="AD44" s="26"/>
    </row>
    <row r="45" spans="1:30" ht="12.75" customHeight="1">
      <c r="A45" s="305"/>
      <c r="B45" s="306"/>
      <c r="C45" s="56"/>
      <c r="D45" s="56"/>
      <c r="E45" s="102"/>
      <c r="F45" s="56"/>
      <c r="G45" s="56"/>
      <c r="H45" s="56"/>
      <c r="I45" s="56"/>
      <c r="J45" s="56"/>
      <c r="K45" s="56"/>
      <c r="L45" s="56"/>
      <c r="M45" s="56"/>
      <c r="N45" s="56"/>
      <c r="O45" s="56"/>
      <c r="P45" s="56"/>
      <c r="Q45" s="56"/>
      <c r="R45" s="103"/>
      <c r="S45" s="56"/>
      <c r="T45" s="56"/>
      <c r="U45" s="116"/>
      <c r="V45" s="148"/>
      <c r="W45" s="54"/>
      <c r="X45" s="89"/>
      <c r="AD45" s="26"/>
    </row>
    <row r="46" spans="1:30" ht="12.75" customHeight="1">
      <c r="A46" s="105"/>
      <c r="B46" s="106"/>
      <c r="C46" s="60"/>
      <c r="D46" s="60"/>
      <c r="E46" s="60"/>
      <c r="F46" s="60"/>
      <c r="G46" s="60"/>
      <c r="H46" s="60"/>
      <c r="I46" s="60"/>
      <c r="J46" s="60"/>
      <c r="K46" s="60"/>
      <c r="L46" s="60"/>
      <c r="M46" s="60"/>
      <c r="N46" s="60"/>
      <c r="O46" s="60"/>
      <c r="P46" s="60"/>
      <c r="Q46" s="60"/>
      <c r="R46" s="60"/>
      <c r="S46" s="60"/>
      <c r="T46" s="60"/>
      <c r="U46" s="107"/>
      <c r="V46" s="149"/>
      <c r="W46" s="60"/>
      <c r="X46" s="60"/>
      <c r="AD46" s="26"/>
    </row>
    <row r="47" spans="1:30" ht="14.25">
      <c r="A47" s="108"/>
      <c r="B47" s="106"/>
      <c r="C47" s="106"/>
      <c r="D47" s="106"/>
      <c r="E47" s="106"/>
      <c r="F47" s="106"/>
      <c r="G47" s="106"/>
      <c r="H47" s="106"/>
      <c r="I47" s="106"/>
      <c r="J47" s="106"/>
      <c r="K47" s="106"/>
      <c r="L47" s="106"/>
      <c r="M47" s="106"/>
      <c r="N47" s="106"/>
      <c r="O47" s="106"/>
      <c r="P47" s="106"/>
      <c r="Q47" s="106"/>
      <c r="R47" s="106"/>
      <c r="S47" s="106"/>
      <c r="T47" s="106"/>
      <c r="U47" s="109"/>
      <c r="V47" s="150"/>
      <c r="W47" s="106"/>
      <c r="X47" s="106"/>
      <c r="AD47" s="26"/>
    </row>
    <row r="48" spans="1:30">
      <c r="A48" s="110"/>
      <c r="B48" s="111"/>
      <c r="C48" s="89"/>
      <c r="D48" s="89"/>
      <c r="E48" s="89"/>
      <c r="F48" s="89"/>
      <c r="G48" s="89"/>
      <c r="H48" s="89"/>
      <c r="I48" s="89"/>
      <c r="J48" s="89"/>
      <c r="K48" s="89"/>
      <c r="L48" s="89"/>
      <c r="M48" s="89"/>
      <c r="N48" s="89"/>
      <c r="O48" s="89"/>
      <c r="P48" s="89"/>
      <c r="Q48" s="89"/>
      <c r="R48" s="89"/>
      <c r="S48" s="89"/>
      <c r="T48" s="89"/>
      <c r="U48" s="104"/>
      <c r="V48" s="151"/>
      <c r="W48" s="89"/>
      <c r="X48" s="89"/>
      <c r="AD48" s="26"/>
    </row>
    <row r="49" spans="1:31">
      <c r="A49" s="112"/>
      <c r="B49" s="113"/>
      <c r="C49" s="114"/>
      <c r="D49" s="114"/>
      <c r="E49" s="115"/>
      <c r="F49" s="114"/>
      <c r="G49" s="114"/>
      <c r="H49" s="114"/>
      <c r="I49" s="114"/>
      <c r="J49" s="114"/>
      <c r="K49" s="114"/>
      <c r="L49" s="114"/>
      <c r="M49" s="114"/>
      <c r="N49" s="114"/>
      <c r="O49" s="114"/>
      <c r="P49" s="114"/>
      <c r="Q49" s="114"/>
      <c r="R49" s="114"/>
      <c r="S49" s="56"/>
      <c r="T49" s="56"/>
      <c r="U49" s="116"/>
      <c r="V49" s="147"/>
      <c r="W49" s="56"/>
      <c r="X49" s="56"/>
    </row>
    <row r="50" spans="1:31" s="37" customFormat="1">
      <c r="A50" s="110"/>
      <c r="B50" s="117"/>
      <c r="C50" s="118"/>
      <c r="D50" s="118"/>
      <c r="E50" s="118"/>
      <c r="F50" s="118"/>
      <c r="G50" s="118"/>
      <c r="H50" s="118"/>
      <c r="I50" s="118"/>
      <c r="J50" s="118"/>
      <c r="K50" s="118"/>
      <c r="L50" s="118"/>
      <c r="M50" s="118"/>
      <c r="N50" s="118"/>
      <c r="O50" s="118"/>
      <c r="P50" s="118"/>
      <c r="Q50" s="118"/>
      <c r="R50" s="118"/>
      <c r="S50" s="118"/>
      <c r="T50" s="118"/>
      <c r="U50" s="119"/>
      <c r="V50" s="152"/>
      <c r="W50" s="118"/>
      <c r="X50" s="118"/>
      <c r="AD50"/>
      <c r="AE50"/>
    </row>
    <row r="51" spans="1:31">
      <c r="A51" s="120"/>
      <c r="B51" s="117"/>
      <c r="C51" s="121"/>
      <c r="D51" s="121"/>
      <c r="E51" s="121"/>
      <c r="F51" s="121"/>
      <c r="G51" s="121"/>
      <c r="H51" s="121"/>
      <c r="I51" s="121"/>
      <c r="J51" s="121"/>
      <c r="K51" s="121"/>
      <c r="L51" s="121"/>
      <c r="M51" s="121"/>
      <c r="N51" s="121"/>
      <c r="O51" s="121"/>
      <c r="P51" s="121"/>
      <c r="Q51" s="121"/>
      <c r="R51" s="121"/>
      <c r="S51" s="121"/>
      <c r="T51" s="121"/>
      <c r="U51" s="122"/>
      <c r="V51" s="153"/>
      <c r="W51" s="121"/>
      <c r="X51" s="121"/>
    </row>
    <row r="52" spans="1:31" s="38" customFormat="1">
      <c r="A52" s="120"/>
      <c r="B52" s="117"/>
      <c r="C52" s="123"/>
      <c r="D52" s="123"/>
      <c r="E52" s="123"/>
      <c r="F52" s="123"/>
      <c r="G52" s="123"/>
      <c r="H52" s="123"/>
      <c r="I52" s="123"/>
      <c r="J52" s="123"/>
      <c r="K52" s="123"/>
      <c r="L52" s="123"/>
      <c r="M52" s="123"/>
      <c r="N52" s="123"/>
      <c r="O52" s="123"/>
      <c r="P52" s="123"/>
      <c r="Q52" s="123"/>
      <c r="R52" s="123"/>
      <c r="S52" s="123"/>
      <c r="T52" s="123"/>
      <c r="U52" s="124"/>
      <c r="V52" s="154"/>
      <c r="W52" s="123"/>
      <c r="X52" s="123"/>
      <c r="AD52"/>
      <c r="AE52"/>
    </row>
    <row r="53" spans="1:31" s="38" customFormat="1">
      <c r="A53" s="112"/>
      <c r="B53" s="113"/>
      <c r="C53" s="114"/>
      <c r="D53" s="114"/>
      <c r="E53" s="115"/>
      <c r="F53" s="114"/>
      <c r="G53" s="114"/>
      <c r="H53" s="114"/>
      <c r="I53" s="114"/>
      <c r="J53" s="114"/>
      <c r="K53" s="114"/>
      <c r="L53" s="114"/>
      <c r="M53" s="114"/>
      <c r="N53" s="114"/>
      <c r="O53" s="114"/>
      <c r="P53" s="114"/>
      <c r="Q53" s="114"/>
      <c r="R53" s="114"/>
      <c r="S53" s="56"/>
      <c r="T53" s="56"/>
      <c r="U53" s="116"/>
      <c r="V53" s="147"/>
      <c r="W53" s="56"/>
      <c r="X53" s="56"/>
      <c r="AD53"/>
      <c r="AE53"/>
    </row>
    <row r="54" spans="1:31" s="38" customFormat="1">
      <c r="A54" s="110"/>
      <c r="B54" s="125"/>
      <c r="C54" s="114"/>
      <c r="D54" s="114"/>
      <c r="E54" s="114"/>
      <c r="F54" s="114"/>
      <c r="G54" s="114"/>
      <c r="H54" s="114"/>
      <c r="I54" s="114"/>
      <c r="J54" s="114"/>
      <c r="K54" s="114"/>
      <c r="L54" s="114"/>
      <c r="M54" s="114"/>
      <c r="N54" s="114"/>
      <c r="O54" s="114"/>
      <c r="P54" s="114"/>
      <c r="Q54" s="114"/>
      <c r="R54" s="114"/>
      <c r="S54" s="114"/>
      <c r="T54" s="114"/>
      <c r="U54" s="126"/>
      <c r="V54" s="155"/>
      <c r="W54" s="114"/>
      <c r="X54" s="114"/>
      <c r="AD54"/>
      <c r="AE54"/>
    </row>
    <row r="55" spans="1:31" s="39" customFormat="1">
      <c r="A55" s="110"/>
      <c r="B55" s="127"/>
      <c r="C55" s="29"/>
      <c r="D55" s="29"/>
      <c r="E55" s="29"/>
      <c r="F55" s="29"/>
      <c r="G55" s="29"/>
      <c r="H55" s="29"/>
      <c r="I55" s="29"/>
      <c r="J55" s="29"/>
      <c r="K55" s="29"/>
      <c r="L55" s="29"/>
      <c r="M55" s="29"/>
      <c r="N55" s="29"/>
      <c r="O55" s="29"/>
      <c r="P55" s="29"/>
      <c r="Q55" s="29"/>
      <c r="R55" s="29"/>
      <c r="S55" s="29"/>
      <c r="T55" s="29"/>
      <c r="U55" s="128"/>
      <c r="V55" s="156"/>
      <c r="W55" s="29"/>
      <c r="X55" s="29"/>
      <c r="AD55"/>
      <c r="AE55"/>
    </row>
    <row r="56" spans="1:31" s="47" customFormat="1">
      <c r="A56" s="110"/>
      <c r="B56" s="129"/>
      <c r="C56" s="130"/>
      <c r="D56" s="130"/>
      <c r="E56" s="130"/>
      <c r="F56" s="130"/>
      <c r="G56" s="130"/>
      <c r="H56" s="130"/>
      <c r="I56" s="130"/>
      <c r="J56" s="130"/>
      <c r="K56" s="130"/>
      <c r="L56" s="130"/>
      <c r="M56" s="130"/>
      <c r="N56" s="130"/>
      <c r="O56" s="130"/>
      <c r="P56" s="130"/>
      <c r="Q56" s="130"/>
      <c r="R56" s="130"/>
      <c r="S56" s="130"/>
      <c r="T56" s="130"/>
      <c r="U56" s="131"/>
      <c r="V56" s="157"/>
      <c r="W56" s="130"/>
      <c r="X56" s="130"/>
      <c r="AD56"/>
      <c r="AE56"/>
    </row>
    <row r="57" spans="1:31" s="47" customFormat="1">
      <c r="A57" s="110"/>
      <c r="B57" s="129"/>
      <c r="C57" s="89"/>
      <c r="D57" s="89"/>
      <c r="E57" s="89"/>
      <c r="F57" s="89"/>
      <c r="G57" s="89"/>
      <c r="H57" s="89"/>
      <c r="I57" s="89"/>
      <c r="J57" s="89"/>
      <c r="K57" s="89"/>
      <c r="L57" s="89"/>
      <c r="M57" s="89"/>
      <c r="N57" s="89"/>
      <c r="O57" s="89"/>
      <c r="P57" s="89"/>
      <c r="Q57" s="89"/>
      <c r="R57" s="89"/>
      <c r="S57" s="89"/>
      <c r="T57" s="89"/>
      <c r="U57" s="104"/>
      <c r="V57" s="151"/>
      <c r="W57" s="89"/>
      <c r="X57" s="89"/>
      <c r="AD57"/>
      <c r="AE57"/>
    </row>
    <row r="58" spans="1:31">
      <c r="A58" s="110"/>
      <c r="B58" s="117"/>
      <c r="C58" s="132"/>
      <c r="D58" s="132"/>
      <c r="E58" s="132"/>
      <c r="F58" s="132"/>
      <c r="G58" s="132"/>
      <c r="H58" s="132"/>
      <c r="I58" s="132"/>
      <c r="J58" s="132"/>
      <c r="K58" s="132"/>
      <c r="L58" s="132"/>
      <c r="M58" s="132"/>
      <c r="N58" s="133"/>
      <c r="O58" s="133"/>
      <c r="P58" s="133"/>
      <c r="Q58" s="132"/>
      <c r="R58" s="133"/>
      <c r="S58" s="133"/>
      <c r="T58" s="133"/>
      <c r="U58" s="134"/>
      <c r="V58" s="158"/>
      <c r="W58" s="133"/>
      <c r="X58" s="133"/>
    </row>
    <row r="59" spans="1:31">
      <c r="A59" s="135"/>
      <c r="B59" s="136"/>
      <c r="C59" s="137"/>
      <c r="D59" s="137"/>
      <c r="E59" s="137"/>
      <c r="F59" s="137"/>
      <c r="G59" s="137"/>
      <c r="H59" s="137"/>
      <c r="I59" s="137"/>
      <c r="J59" s="137"/>
      <c r="K59" s="137"/>
      <c r="L59" s="137"/>
      <c r="M59" s="137"/>
      <c r="N59" s="137"/>
      <c r="O59" s="137"/>
      <c r="P59" s="137"/>
      <c r="Q59" s="137"/>
      <c r="R59" s="137"/>
      <c r="S59" s="137"/>
      <c r="T59" s="137"/>
      <c r="U59" s="138"/>
      <c r="V59" s="159"/>
      <c r="W59" s="137"/>
      <c r="X59" s="137"/>
    </row>
    <row r="60" spans="1:31" ht="13.5" thickBot="1">
      <c r="A60" s="139"/>
      <c r="B60" s="140"/>
      <c r="C60" s="141"/>
      <c r="D60" s="141"/>
      <c r="E60" s="141"/>
      <c r="F60" s="141"/>
      <c r="G60" s="141"/>
      <c r="H60" s="141"/>
      <c r="I60" s="141"/>
      <c r="J60" s="141"/>
      <c r="K60" s="141"/>
      <c r="L60" s="141"/>
      <c r="M60" s="141"/>
      <c r="N60" s="141"/>
      <c r="O60" s="141"/>
      <c r="P60" s="141"/>
      <c r="Q60" s="141"/>
      <c r="R60" s="141"/>
      <c r="S60" s="141"/>
      <c r="T60" s="141"/>
      <c r="U60" s="142"/>
      <c r="V60" s="160"/>
      <c r="W60" s="161"/>
      <c r="X60" s="161"/>
    </row>
  </sheetData>
  <mergeCells count="13">
    <mergeCell ref="A44:B45"/>
    <mergeCell ref="A2:F5"/>
    <mergeCell ref="G2:G3"/>
    <mergeCell ref="G4:G5"/>
    <mergeCell ref="H4:K5"/>
    <mergeCell ref="H2:K3"/>
    <mergeCell ref="Q4:R5"/>
    <mergeCell ref="Q2:R3"/>
    <mergeCell ref="S2:U3"/>
    <mergeCell ref="S4:U5"/>
    <mergeCell ref="L4:M5"/>
    <mergeCell ref="N4:P5"/>
    <mergeCell ref="L2:M3"/>
  </mergeCells>
  <phoneticPr fontId="2" type="noConversion"/>
  <dataValidations disablePrompts="1" count="1">
    <dataValidation type="list" allowBlank="1" showInputMessage="1" showErrorMessage="1" sqref="C47:X47">
      <formula1>#REF!</formula1>
    </dataValidation>
  </dataValidations>
  <pageMargins left="0.7" right="0.7" top="0.75" bottom="0.75" header="0.3" footer="0.3"/>
  <pageSetup paperSize="9" scale="24" orientation="portrait" r:id="rId1"/>
  <colBreaks count="1" manualBreakCount="1">
    <brk id="21" max="1048575" man="1"/>
  </col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Z92"/>
  <sheetViews>
    <sheetView showGridLines="0" tabSelected="1" view="pageBreakPreview" topLeftCell="AJ1" zoomScaleNormal="55" zoomScaleSheetLayoutView="100" workbookViewId="0">
      <selection activeCell="BZ3" sqref="BZ3"/>
    </sheetView>
  </sheetViews>
  <sheetFormatPr defaultRowHeight="16.5"/>
  <cols>
    <col min="1" max="1" width="6.42578125" style="197" customWidth="1"/>
    <col min="2" max="4" width="4.140625" style="197" customWidth="1"/>
    <col min="5" max="6" width="6.7109375" style="197" customWidth="1"/>
    <col min="7" max="37" width="5.28515625" style="197" customWidth="1"/>
    <col min="38" max="38" width="4.140625" style="197" customWidth="1"/>
    <col min="39" max="39" width="6.42578125" style="197" customWidth="1"/>
    <col min="40" max="42" width="4.140625" style="197" customWidth="1"/>
    <col min="43" max="44" width="6.7109375" style="197" customWidth="1"/>
    <col min="45" max="75" width="5.28515625" style="197" customWidth="1"/>
    <col min="76" max="76" width="4.140625" style="197" customWidth="1"/>
    <col min="77" max="154" width="14.7109375" style="197" customWidth="1"/>
    <col min="155" max="16384" width="9.140625" style="197"/>
  </cols>
  <sheetData>
    <row r="1" spans="1:78" s="166" customFormat="1" ht="20.25" customHeight="1">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N1" s="167"/>
      <c r="AO1" s="167"/>
      <c r="AP1" s="167"/>
      <c r="AQ1" s="167"/>
      <c r="AR1" s="167"/>
      <c r="AS1" s="167"/>
      <c r="AT1" s="167"/>
      <c r="AU1" s="167"/>
      <c r="AV1" s="167"/>
      <c r="AW1" s="167"/>
      <c r="AX1" s="167"/>
      <c r="AY1" s="167"/>
      <c r="AZ1" s="167"/>
      <c r="BA1" s="167"/>
      <c r="BB1" s="167"/>
      <c r="BC1" s="167"/>
      <c r="BD1" s="167"/>
      <c r="BE1" s="167"/>
      <c r="BF1" s="167"/>
      <c r="BG1" s="167"/>
      <c r="BH1" s="167"/>
      <c r="BI1" s="167"/>
      <c r="BJ1" s="167"/>
      <c r="BK1" s="167"/>
      <c r="BL1" s="167"/>
      <c r="BM1" s="167"/>
      <c r="BN1" s="167"/>
      <c r="BO1" s="167"/>
      <c r="BP1" s="167"/>
      <c r="BQ1" s="167"/>
      <c r="BR1" s="167"/>
      <c r="BS1" s="167"/>
      <c r="BT1" s="167"/>
      <c r="BU1" s="167"/>
      <c r="BV1" s="167"/>
      <c r="BW1" s="167"/>
      <c r="BX1" s="167"/>
    </row>
    <row r="2" spans="1:78" s="166" customFormat="1" ht="15" customHeight="1" thickBot="1">
      <c r="B2" s="168"/>
      <c r="C2" s="168"/>
      <c r="D2" s="168"/>
      <c r="E2" s="168"/>
      <c r="F2" s="168"/>
      <c r="G2" s="168"/>
      <c r="H2" s="168"/>
      <c r="I2" s="168"/>
      <c r="J2" s="168"/>
      <c r="K2" s="168"/>
      <c r="L2" s="168"/>
      <c r="M2" s="168"/>
      <c r="N2" s="168"/>
      <c r="O2" s="168"/>
      <c r="P2" s="168"/>
      <c r="Q2" s="168"/>
      <c r="R2" s="168"/>
      <c r="S2" s="168"/>
      <c r="T2" s="168"/>
      <c r="U2" s="168"/>
      <c r="V2" s="458"/>
      <c r="W2" s="458"/>
      <c r="X2" s="458"/>
      <c r="Y2" s="458"/>
      <c r="Z2" s="458"/>
      <c r="AA2" s="458"/>
      <c r="AB2" s="458"/>
      <c r="AC2" s="458"/>
      <c r="AD2" s="458"/>
      <c r="AE2" s="458"/>
      <c r="AF2" s="458"/>
      <c r="AG2" s="458"/>
      <c r="AH2" s="458"/>
      <c r="AI2" s="458"/>
      <c r="AJ2" s="458"/>
      <c r="AK2" s="458"/>
      <c r="AL2" s="169"/>
      <c r="AN2" s="168"/>
      <c r="AO2" s="168"/>
      <c r="AP2" s="168"/>
      <c r="AQ2" s="168"/>
      <c r="AR2" s="168"/>
      <c r="AS2" s="168"/>
      <c r="AT2" s="168"/>
      <c r="AU2" s="168"/>
      <c r="AV2" s="168"/>
      <c r="AW2" s="168"/>
      <c r="AX2" s="168"/>
      <c r="AY2" s="168"/>
      <c r="AZ2" s="168"/>
      <c r="BA2" s="168"/>
      <c r="BB2" s="168"/>
      <c r="BC2" s="168"/>
      <c r="BD2" s="168"/>
      <c r="BE2" s="168"/>
      <c r="BF2" s="168"/>
      <c r="BG2" s="168"/>
      <c r="BH2" s="458"/>
      <c r="BI2" s="458"/>
      <c r="BJ2" s="458"/>
      <c r="BK2" s="458"/>
      <c r="BL2" s="458"/>
      <c r="BM2" s="458"/>
      <c r="BN2" s="458"/>
      <c r="BO2" s="458"/>
      <c r="BP2" s="458"/>
      <c r="BQ2" s="458"/>
      <c r="BR2" s="458"/>
      <c r="BS2" s="458"/>
      <c r="BT2" s="458"/>
      <c r="BU2" s="458"/>
      <c r="BV2" s="458"/>
      <c r="BW2" s="458"/>
      <c r="BX2" s="274"/>
    </row>
    <row r="3" spans="1:78" s="166" customFormat="1" ht="20.25" customHeight="1">
      <c r="A3" s="459" t="s">
        <v>136</v>
      </c>
      <c r="B3" s="168"/>
      <c r="C3" s="170"/>
      <c r="D3" s="171"/>
      <c r="E3" s="171"/>
      <c r="F3" s="171"/>
      <c r="G3" s="171"/>
      <c r="H3" s="171"/>
      <c r="I3" s="171"/>
      <c r="J3" s="171"/>
      <c r="K3" s="171"/>
      <c r="L3" s="171"/>
      <c r="M3" s="171"/>
      <c r="N3" s="171"/>
      <c r="O3" s="171"/>
      <c r="P3" s="171"/>
      <c r="Q3" s="171"/>
      <c r="R3" s="171"/>
      <c r="S3" s="171"/>
      <c r="T3" s="171"/>
      <c r="U3" s="172"/>
      <c r="V3" s="173"/>
      <c r="W3" s="173"/>
      <c r="X3" s="214"/>
      <c r="Y3" s="173"/>
      <c r="Z3" s="173"/>
      <c r="AA3" s="174"/>
      <c r="AB3" s="174"/>
      <c r="AC3" s="174"/>
      <c r="AD3" s="255"/>
      <c r="AE3" s="175" t="s">
        <v>137</v>
      </c>
      <c r="AF3" s="255"/>
      <c r="AG3" s="460">
        <v>2</v>
      </c>
      <c r="AH3" s="460"/>
      <c r="AI3" s="257" t="s">
        <v>302</v>
      </c>
      <c r="AJ3" s="460">
        <v>2</v>
      </c>
      <c r="AK3" s="460"/>
      <c r="AL3" s="176"/>
      <c r="AM3" s="459" t="s">
        <v>136</v>
      </c>
      <c r="AN3" s="168"/>
      <c r="AO3" s="170"/>
      <c r="AP3" s="171"/>
      <c r="AQ3" s="171"/>
      <c r="AR3" s="171"/>
      <c r="AS3" s="171"/>
      <c r="AT3" s="171"/>
      <c r="AU3" s="171"/>
      <c r="AV3" s="171"/>
      <c r="AW3" s="171"/>
      <c r="AX3" s="171"/>
      <c r="AY3" s="171"/>
      <c r="AZ3" s="171"/>
      <c r="BA3" s="171"/>
      <c r="BB3" s="171"/>
      <c r="BC3" s="171"/>
      <c r="BD3" s="171"/>
      <c r="BE3" s="171"/>
      <c r="BF3" s="171"/>
      <c r="BG3" s="172"/>
      <c r="BH3" s="173"/>
      <c r="BI3" s="173"/>
      <c r="BJ3" s="214"/>
      <c r="BK3" s="173"/>
      <c r="BL3" s="173"/>
      <c r="BM3" s="174"/>
      <c r="BN3" s="174"/>
      <c r="BO3" s="174"/>
      <c r="BP3" s="255"/>
      <c r="BQ3" s="175" t="s">
        <v>137</v>
      </c>
      <c r="BR3" s="255"/>
      <c r="BS3" s="460">
        <v>2</v>
      </c>
      <c r="BT3" s="460"/>
      <c r="BU3" s="257" t="s">
        <v>302</v>
      </c>
      <c r="BV3" s="460">
        <v>2</v>
      </c>
      <c r="BW3" s="460"/>
      <c r="BX3" s="176"/>
      <c r="BZ3" s="166">
        <v>74</v>
      </c>
    </row>
    <row r="4" spans="1:78" s="166" customFormat="1" ht="20.25" customHeight="1">
      <c r="A4" s="459"/>
      <c r="B4" s="168"/>
      <c r="C4" s="177"/>
      <c r="D4" s="168"/>
      <c r="E4" s="168"/>
      <c r="F4" s="168"/>
      <c r="G4" s="168"/>
      <c r="H4" s="168"/>
      <c r="I4" s="168"/>
      <c r="J4" s="168"/>
      <c r="K4" s="168"/>
      <c r="L4" s="168"/>
      <c r="M4" s="168"/>
      <c r="N4" s="168"/>
      <c r="O4" s="168"/>
      <c r="P4" s="168"/>
      <c r="Q4" s="168"/>
      <c r="R4" s="168"/>
      <c r="S4" s="168"/>
      <c r="T4" s="168"/>
      <c r="U4" s="178" t="s">
        <v>138</v>
      </c>
      <c r="V4" s="179"/>
      <c r="W4" s="215"/>
      <c r="X4" s="215"/>
      <c r="Y4" s="179"/>
      <c r="Z4" s="461"/>
      <c r="AA4" s="461"/>
      <c r="AB4" s="461"/>
      <c r="AC4" s="461"/>
      <c r="AD4" s="461"/>
      <c r="AE4" s="461"/>
      <c r="AF4" s="461"/>
      <c r="AG4" s="461"/>
      <c r="AH4" s="461"/>
      <c r="AI4" s="461"/>
      <c r="AJ4" s="461"/>
      <c r="AK4" s="461"/>
      <c r="AL4" s="462"/>
      <c r="AM4" s="459"/>
      <c r="AN4" s="168"/>
      <c r="AO4" s="177"/>
      <c r="AP4" s="168"/>
      <c r="AQ4" s="168"/>
      <c r="AR4" s="168"/>
      <c r="AS4" s="168"/>
      <c r="AT4" s="168"/>
      <c r="AU4" s="168"/>
      <c r="AV4" s="168"/>
      <c r="AW4" s="168"/>
      <c r="AX4" s="168"/>
      <c r="AY4" s="168"/>
      <c r="AZ4" s="168"/>
      <c r="BA4" s="168"/>
      <c r="BB4" s="168"/>
      <c r="BC4" s="168"/>
      <c r="BD4" s="168"/>
      <c r="BE4" s="168"/>
      <c r="BF4" s="168"/>
      <c r="BG4" s="178" t="s">
        <v>138</v>
      </c>
      <c r="BH4" s="179"/>
      <c r="BI4" s="215"/>
      <c r="BJ4" s="215"/>
      <c r="BK4" s="179"/>
      <c r="BL4" s="461"/>
      <c r="BM4" s="461"/>
      <c r="BN4" s="461"/>
      <c r="BO4" s="461"/>
      <c r="BP4" s="461"/>
      <c r="BQ4" s="461"/>
      <c r="BR4" s="461"/>
      <c r="BS4" s="461"/>
      <c r="BT4" s="461"/>
      <c r="BU4" s="461"/>
      <c r="BV4" s="461"/>
      <c r="BW4" s="461"/>
      <c r="BX4" s="462"/>
    </row>
    <row r="5" spans="1:78" s="166" customFormat="1" ht="20.25" customHeight="1">
      <c r="A5" s="459"/>
      <c r="B5" s="168"/>
      <c r="C5" s="177"/>
      <c r="D5" s="168"/>
      <c r="E5" s="168"/>
      <c r="F5" s="168"/>
      <c r="G5" s="168"/>
      <c r="H5" s="168"/>
      <c r="I5" s="168"/>
      <c r="J5" s="168"/>
      <c r="K5" s="168"/>
      <c r="L5" s="168"/>
      <c r="M5" s="168"/>
      <c r="N5" s="168"/>
      <c r="O5" s="168"/>
      <c r="P5" s="168"/>
      <c r="Q5" s="168"/>
      <c r="R5" s="168"/>
      <c r="S5" s="168"/>
      <c r="T5" s="168"/>
      <c r="U5" s="178" t="s">
        <v>139</v>
      </c>
      <c r="V5" s="179"/>
      <c r="W5" s="215"/>
      <c r="X5" s="215"/>
      <c r="Y5" s="179"/>
      <c r="Z5" s="461"/>
      <c r="AA5" s="461"/>
      <c r="AB5" s="461"/>
      <c r="AC5" s="461"/>
      <c r="AD5" s="461"/>
      <c r="AE5" s="461"/>
      <c r="AF5" s="461"/>
      <c r="AG5" s="461"/>
      <c r="AH5" s="461"/>
      <c r="AI5" s="461"/>
      <c r="AJ5" s="461"/>
      <c r="AK5" s="461"/>
      <c r="AL5" s="462"/>
      <c r="AM5" s="459"/>
      <c r="AN5" s="168"/>
      <c r="AO5" s="177"/>
      <c r="AP5" s="168"/>
      <c r="AQ5" s="168"/>
      <c r="AR5" s="168"/>
      <c r="AS5" s="168"/>
      <c r="AT5" s="168"/>
      <c r="AU5" s="168"/>
      <c r="AV5" s="168"/>
      <c r="AW5" s="168"/>
      <c r="AX5" s="168"/>
      <c r="AY5" s="168"/>
      <c r="AZ5" s="168"/>
      <c r="BA5" s="168"/>
      <c r="BB5" s="168"/>
      <c r="BC5" s="168"/>
      <c r="BD5" s="168"/>
      <c r="BE5" s="168"/>
      <c r="BF5" s="168"/>
      <c r="BG5" s="178" t="s">
        <v>139</v>
      </c>
      <c r="BH5" s="179"/>
      <c r="BI5" s="215"/>
      <c r="BJ5" s="215"/>
      <c r="BK5" s="179"/>
      <c r="BL5" s="461"/>
      <c r="BM5" s="461"/>
      <c r="BN5" s="461"/>
      <c r="BO5" s="461"/>
      <c r="BP5" s="461"/>
      <c r="BQ5" s="461"/>
      <c r="BR5" s="461"/>
      <c r="BS5" s="461"/>
      <c r="BT5" s="461"/>
      <c r="BU5" s="461"/>
      <c r="BV5" s="461"/>
      <c r="BW5" s="461"/>
      <c r="BX5" s="462"/>
    </row>
    <row r="6" spans="1:78" s="166" customFormat="1" ht="20.25" customHeight="1">
      <c r="A6" s="459"/>
      <c r="B6" s="168"/>
      <c r="C6" s="177"/>
      <c r="D6" s="168"/>
      <c r="E6" s="168"/>
      <c r="F6" s="168"/>
      <c r="G6" s="168"/>
      <c r="H6" s="168"/>
      <c r="I6" s="168"/>
      <c r="J6" s="168"/>
      <c r="K6" s="168"/>
      <c r="L6" s="168"/>
      <c r="M6" s="168"/>
      <c r="N6" s="168"/>
      <c r="O6" s="168"/>
      <c r="P6" s="168"/>
      <c r="Q6" s="168"/>
      <c r="R6" s="168"/>
      <c r="S6" s="168"/>
      <c r="T6" s="168"/>
      <c r="U6" s="178" t="s">
        <v>140</v>
      </c>
      <c r="V6" s="179"/>
      <c r="W6" s="215"/>
      <c r="X6" s="215"/>
      <c r="Y6" s="179"/>
      <c r="Z6" s="461"/>
      <c r="AA6" s="461"/>
      <c r="AB6" s="461"/>
      <c r="AC6" s="461"/>
      <c r="AD6" s="461"/>
      <c r="AE6" s="461"/>
      <c r="AF6" s="461"/>
      <c r="AG6" s="461"/>
      <c r="AH6" s="461"/>
      <c r="AI6" s="461"/>
      <c r="AJ6" s="461"/>
      <c r="AK6" s="461"/>
      <c r="AL6" s="462"/>
      <c r="AM6" s="459"/>
      <c r="AN6" s="168"/>
      <c r="AO6" s="177"/>
      <c r="AP6" s="168"/>
      <c r="AQ6" s="168"/>
      <c r="AR6" s="168"/>
      <c r="AS6" s="168"/>
      <c r="AT6" s="168"/>
      <c r="AU6" s="168"/>
      <c r="AV6" s="168"/>
      <c r="AW6" s="168"/>
      <c r="AX6" s="168"/>
      <c r="AY6" s="168"/>
      <c r="AZ6" s="168"/>
      <c r="BA6" s="168"/>
      <c r="BB6" s="168"/>
      <c r="BC6" s="168"/>
      <c r="BD6" s="168"/>
      <c r="BE6" s="168"/>
      <c r="BF6" s="168"/>
      <c r="BG6" s="178" t="s">
        <v>140</v>
      </c>
      <c r="BH6" s="179"/>
      <c r="BI6" s="215"/>
      <c r="BJ6" s="215"/>
      <c r="BK6" s="179"/>
      <c r="BL6" s="461"/>
      <c r="BM6" s="461"/>
      <c r="BN6" s="461"/>
      <c r="BO6" s="461"/>
      <c r="BP6" s="461"/>
      <c r="BQ6" s="461"/>
      <c r="BR6" s="461"/>
      <c r="BS6" s="461"/>
      <c r="BT6" s="461"/>
      <c r="BU6" s="461"/>
      <c r="BV6" s="461"/>
      <c r="BW6" s="461"/>
      <c r="BX6" s="462"/>
    </row>
    <row r="7" spans="1:78" s="181" customFormat="1" ht="20.25" customHeight="1">
      <c r="A7" s="459"/>
      <c r="B7" s="180"/>
      <c r="C7" s="463" t="s">
        <v>203</v>
      </c>
      <c r="D7" s="464"/>
      <c r="E7" s="464"/>
      <c r="F7" s="464"/>
      <c r="G7" s="464"/>
      <c r="H7" s="464"/>
      <c r="I7" s="464"/>
      <c r="J7" s="464"/>
      <c r="K7" s="464"/>
      <c r="L7" s="464"/>
      <c r="M7" s="464"/>
      <c r="N7" s="464"/>
      <c r="O7" s="464"/>
      <c r="P7" s="464"/>
      <c r="Q7" s="464"/>
      <c r="R7" s="464"/>
      <c r="S7" s="464"/>
      <c r="T7" s="465"/>
      <c r="U7" s="178" t="s">
        <v>141</v>
      </c>
      <c r="V7" s="179"/>
      <c r="W7" s="216"/>
      <c r="X7" s="218"/>
      <c r="Y7" s="179"/>
      <c r="Z7" s="461"/>
      <c r="AA7" s="461"/>
      <c r="AB7" s="461"/>
      <c r="AC7" s="461"/>
      <c r="AD7" s="461"/>
      <c r="AE7" s="461"/>
      <c r="AF7" s="461"/>
      <c r="AG7" s="461"/>
      <c r="AH7" s="461"/>
      <c r="AI7" s="461"/>
      <c r="AJ7" s="461"/>
      <c r="AK7" s="461"/>
      <c r="AL7" s="211"/>
      <c r="AM7" s="459"/>
      <c r="AN7" s="180"/>
      <c r="AO7" s="463" t="s">
        <v>203</v>
      </c>
      <c r="AP7" s="464"/>
      <c r="AQ7" s="464"/>
      <c r="AR7" s="464"/>
      <c r="AS7" s="464"/>
      <c r="AT7" s="464"/>
      <c r="AU7" s="464"/>
      <c r="AV7" s="464"/>
      <c r="AW7" s="464"/>
      <c r="AX7" s="464"/>
      <c r="AY7" s="464"/>
      <c r="AZ7" s="464"/>
      <c r="BA7" s="464"/>
      <c r="BB7" s="464"/>
      <c r="BC7" s="464"/>
      <c r="BD7" s="464"/>
      <c r="BE7" s="464"/>
      <c r="BF7" s="465"/>
      <c r="BG7" s="178" t="s">
        <v>141</v>
      </c>
      <c r="BH7" s="179"/>
      <c r="BI7" s="216"/>
      <c r="BJ7" s="218"/>
      <c r="BK7" s="179"/>
      <c r="BL7" s="461"/>
      <c r="BM7" s="461"/>
      <c r="BN7" s="461"/>
      <c r="BO7" s="461"/>
      <c r="BP7" s="461"/>
      <c r="BQ7" s="461"/>
      <c r="BR7" s="461"/>
      <c r="BS7" s="461"/>
      <c r="BT7" s="461"/>
      <c r="BU7" s="461"/>
      <c r="BV7" s="461"/>
      <c r="BW7" s="461"/>
      <c r="BX7" s="211"/>
    </row>
    <row r="8" spans="1:78" s="181" customFormat="1" ht="20.25" customHeight="1">
      <c r="A8" s="459"/>
      <c r="B8" s="180"/>
      <c r="C8" s="466"/>
      <c r="D8" s="467"/>
      <c r="E8" s="467"/>
      <c r="F8" s="467"/>
      <c r="G8" s="467"/>
      <c r="H8" s="467"/>
      <c r="I8" s="467"/>
      <c r="J8" s="467"/>
      <c r="K8" s="467"/>
      <c r="L8" s="467"/>
      <c r="M8" s="467"/>
      <c r="N8" s="467"/>
      <c r="O8" s="467"/>
      <c r="P8" s="467"/>
      <c r="Q8" s="467"/>
      <c r="R8" s="467"/>
      <c r="S8" s="467"/>
      <c r="T8" s="468"/>
      <c r="U8" s="182"/>
      <c r="V8" s="183"/>
      <c r="W8" s="217"/>
      <c r="X8" s="219"/>
      <c r="Y8" s="183"/>
      <c r="Z8" s="256"/>
      <c r="AA8" s="256"/>
      <c r="AB8" s="256"/>
      <c r="AC8" s="256"/>
      <c r="AD8" s="256"/>
      <c r="AE8" s="256"/>
      <c r="AF8" s="256"/>
      <c r="AG8" s="469" t="s">
        <v>142</v>
      </c>
      <c r="AH8" s="469"/>
      <c r="AI8" s="470"/>
      <c r="AJ8" s="470"/>
      <c r="AK8" s="470"/>
      <c r="AL8" s="471"/>
      <c r="AM8" s="459"/>
      <c r="AN8" s="180"/>
      <c r="AO8" s="466"/>
      <c r="AP8" s="467"/>
      <c r="AQ8" s="467"/>
      <c r="AR8" s="467"/>
      <c r="AS8" s="467"/>
      <c r="AT8" s="467"/>
      <c r="AU8" s="467"/>
      <c r="AV8" s="467"/>
      <c r="AW8" s="467"/>
      <c r="AX8" s="467"/>
      <c r="AY8" s="467"/>
      <c r="AZ8" s="467"/>
      <c r="BA8" s="467"/>
      <c r="BB8" s="467"/>
      <c r="BC8" s="467"/>
      <c r="BD8" s="467"/>
      <c r="BE8" s="467"/>
      <c r="BF8" s="468"/>
      <c r="BG8" s="182"/>
      <c r="BH8" s="183"/>
      <c r="BI8" s="217"/>
      <c r="BJ8" s="219"/>
      <c r="BK8" s="183"/>
      <c r="BL8" s="256"/>
      <c r="BM8" s="256"/>
      <c r="BN8" s="256"/>
      <c r="BO8" s="256"/>
      <c r="BP8" s="256"/>
      <c r="BQ8" s="256"/>
      <c r="BR8" s="256"/>
      <c r="BS8" s="469" t="s">
        <v>142</v>
      </c>
      <c r="BT8" s="469"/>
      <c r="BU8" s="470"/>
      <c r="BV8" s="470"/>
      <c r="BW8" s="470"/>
      <c r="BX8" s="471"/>
    </row>
    <row r="9" spans="1:78" s="181" customFormat="1" ht="5.0999999999999996" customHeight="1">
      <c r="A9" s="459"/>
      <c r="B9" s="180"/>
      <c r="C9" s="184"/>
      <c r="D9" s="185"/>
      <c r="E9" s="186"/>
      <c r="F9" s="187"/>
      <c r="G9" s="188"/>
      <c r="H9" s="189"/>
      <c r="I9" s="190"/>
      <c r="J9" s="190"/>
      <c r="K9" s="190"/>
      <c r="L9" s="190"/>
      <c r="M9" s="190"/>
      <c r="N9" s="189"/>
      <c r="O9" s="190"/>
      <c r="P9" s="190"/>
      <c r="Q9" s="190"/>
      <c r="R9" s="190"/>
      <c r="S9" s="190"/>
      <c r="T9" s="190"/>
      <c r="U9" s="190"/>
      <c r="V9" s="185"/>
      <c r="W9" s="185"/>
      <c r="X9" s="185"/>
      <c r="Y9" s="185"/>
      <c r="Z9" s="185"/>
      <c r="AA9" s="187"/>
      <c r="AB9" s="187"/>
      <c r="AC9" s="191"/>
      <c r="AD9" s="186"/>
      <c r="AE9" s="186"/>
      <c r="AF9" s="185"/>
      <c r="AG9" s="185"/>
      <c r="AH9" s="186"/>
      <c r="AI9" s="192"/>
      <c r="AJ9" s="192"/>
      <c r="AK9" s="192"/>
      <c r="AL9" s="193"/>
      <c r="AM9" s="459"/>
      <c r="AN9" s="180"/>
      <c r="AO9" s="184"/>
      <c r="AP9" s="185"/>
      <c r="AQ9" s="186"/>
      <c r="AR9" s="187"/>
      <c r="AS9" s="188"/>
      <c r="AT9" s="189"/>
      <c r="AU9" s="190"/>
      <c r="AV9" s="190"/>
      <c r="AW9" s="190"/>
      <c r="AX9" s="190"/>
      <c r="AY9" s="190"/>
      <c r="AZ9" s="189"/>
      <c r="BA9" s="190"/>
      <c r="BB9" s="190"/>
      <c r="BC9" s="190"/>
      <c r="BD9" s="190"/>
      <c r="BE9" s="190"/>
      <c r="BF9" s="190"/>
      <c r="BG9" s="190"/>
      <c r="BH9" s="185"/>
      <c r="BI9" s="185"/>
      <c r="BJ9" s="185"/>
      <c r="BK9" s="185"/>
      <c r="BL9" s="185"/>
      <c r="BM9" s="187"/>
      <c r="BN9" s="187"/>
      <c r="BO9" s="191"/>
      <c r="BP9" s="186"/>
      <c r="BQ9" s="186"/>
      <c r="BR9" s="185"/>
      <c r="BS9" s="185"/>
      <c r="BT9" s="186"/>
      <c r="BU9" s="192"/>
      <c r="BV9" s="192"/>
      <c r="BW9" s="192"/>
      <c r="BX9" s="193"/>
    </row>
    <row r="10" spans="1:78" ht="20.25" customHeight="1">
      <c r="A10" s="459"/>
      <c r="B10" s="194" t="s">
        <v>143</v>
      </c>
      <c r="C10" s="195"/>
      <c r="D10" s="472"/>
      <c r="E10" s="473"/>
      <c r="F10" s="473"/>
      <c r="G10" s="473"/>
      <c r="H10" s="473"/>
      <c r="I10" s="473"/>
      <c r="J10" s="473"/>
      <c r="K10" s="473"/>
      <c r="L10" s="473"/>
      <c r="M10" s="473"/>
      <c r="N10" s="473"/>
      <c r="O10" s="473"/>
      <c r="P10" s="473"/>
      <c r="Q10" s="473"/>
      <c r="R10" s="473"/>
      <c r="S10" s="473"/>
      <c r="T10" s="473"/>
      <c r="U10" s="473"/>
      <c r="V10" s="473"/>
      <c r="W10" s="473"/>
      <c r="X10" s="473"/>
      <c r="Y10" s="473"/>
      <c r="Z10" s="473"/>
      <c r="AA10" s="473"/>
      <c r="AB10" s="473"/>
      <c r="AC10" s="473"/>
      <c r="AD10" s="473"/>
      <c r="AE10" s="473"/>
      <c r="AF10" s="473"/>
      <c r="AG10" s="473"/>
      <c r="AH10" s="473"/>
      <c r="AI10" s="473"/>
      <c r="AJ10" s="473"/>
      <c r="AK10" s="473"/>
      <c r="AL10" s="196"/>
      <c r="AM10" s="459"/>
      <c r="AN10" s="194" t="s">
        <v>143</v>
      </c>
      <c r="AO10" s="195"/>
      <c r="AP10" s="472"/>
      <c r="AQ10" s="473"/>
      <c r="AR10" s="473"/>
      <c r="AS10" s="473"/>
      <c r="AT10" s="473"/>
      <c r="AU10" s="473"/>
      <c r="AV10" s="473"/>
      <c r="AW10" s="473"/>
      <c r="AX10" s="473"/>
      <c r="AY10" s="473"/>
      <c r="AZ10" s="473"/>
      <c r="BA10" s="473"/>
      <c r="BB10" s="473"/>
      <c r="BC10" s="473"/>
      <c r="BD10" s="473"/>
      <c r="BE10" s="473"/>
      <c r="BF10" s="473"/>
      <c r="BG10" s="473"/>
      <c r="BH10" s="473"/>
      <c r="BI10" s="473"/>
      <c r="BJ10" s="473"/>
      <c r="BK10" s="473"/>
      <c r="BL10" s="473"/>
      <c r="BM10" s="473"/>
      <c r="BN10" s="473"/>
      <c r="BO10" s="473"/>
      <c r="BP10" s="473"/>
      <c r="BQ10" s="473"/>
      <c r="BR10" s="473"/>
      <c r="BS10" s="473"/>
      <c r="BT10" s="473"/>
      <c r="BU10" s="473"/>
      <c r="BV10" s="473"/>
      <c r="BW10" s="473"/>
      <c r="BX10" s="196"/>
    </row>
    <row r="11" spans="1:78" ht="20.25" customHeight="1">
      <c r="A11" s="459"/>
      <c r="B11" s="194" t="s">
        <v>275</v>
      </c>
      <c r="C11" s="198"/>
      <c r="D11" s="474" t="s">
        <v>314</v>
      </c>
      <c r="E11" s="475"/>
      <c r="F11" s="475"/>
      <c r="G11" s="475"/>
      <c r="H11" s="475"/>
      <c r="I11" s="475"/>
      <c r="J11" s="230"/>
      <c r="K11" s="230"/>
      <c r="L11" s="212"/>
      <c r="M11" s="212"/>
      <c r="N11" s="476" t="s">
        <v>316</v>
      </c>
      <c r="O11" s="477"/>
      <c r="P11" s="477"/>
      <c r="Q11" s="477"/>
      <c r="R11" s="477"/>
      <c r="S11" s="477"/>
      <c r="T11" s="477"/>
      <c r="U11" s="477"/>
      <c r="V11" s="476" t="s">
        <v>317</v>
      </c>
      <c r="W11" s="477"/>
      <c r="X11" s="477"/>
      <c r="Y11" s="477"/>
      <c r="Z11" s="477"/>
      <c r="AA11" s="477"/>
      <c r="AB11" s="477"/>
      <c r="AC11" s="478"/>
      <c r="AD11" s="477" t="s">
        <v>318</v>
      </c>
      <c r="AE11" s="477"/>
      <c r="AF11" s="477"/>
      <c r="AG11" s="477"/>
      <c r="AH11" s="477"/>
      <c r="AI11" s="477"/>
      <c r="AJ11" s="477"/>
      <c r="AK11" s="479"/>
      <c r="AL11" s="196"/>
      <c r="AM11" s="459"/>
      <c r="AN11" s="194" t="s">
        <v>275</v>
      </c>
      <c r="AO11" s="198"/>
      <c r="AP11" s="474" t="s">
        <v>314</v>
      </c>
      <c r="AQ11" s="475"/>
      <c r="AR11" s="475"/>
      <c r="AS11" s="475"/>
      <c r="AT11" s="475"/>
      <c r="AU11" s="475"/>
      <c r="AV11" s="230"/>
      <c r="AW11" s="230"/>
      <c r="AX11" s="271"/>
      <c r="AY11" s="271"/>
      <c r="AZ11" s="476" t="s">
        <v>319</v>
      </c>
      <c r="BA11" s="477"/>
      <c r="BB11" s="477"/>
      <c r="BC11" s="477"/>
      <c r="BD11" s="477"/>
      <c r="BE11" s="477"/>
      <c r="BF11" s="477"/>
      <c r="BG11" s="477"/>
      <c r="BH11" s="476"/>
      <c r="BI11" s="477"/>
      <c r="BJ11" s="477"/>
      <c r="BK11" s="477"/>
      <c r="BL11" s="477"/>
      <c r="BM11" s="477"/>
      <c r="BN11" s="477"/>
      <c r="BO11" s="478"/>
      <c r="BP11" s="477"/>
      <c r="BQ11" s="477"/>
      <c r="BR11" s="477"/>
      <c r="BS11" s="477"/>
      <c r="BT11" s="477"/>
      <c r="BU11" s="477"/>
      <c r="BV11" s="477"/>
      <c r="BW11" s="479"/>
      <c r="BX11" s="196"/>
    </row>
    <row r="12" spans="1:78" ht="20.25" customHeight="1">
      <c r="A12" s="459"/>
      <c r="B12" s="194" t="s">
        <v>192</v>
      </c>
      <c r="C12" s="198"/>
      <c r="D12" s="474" t="s">
        <v>315</v>
      </c>
      <c r="E12" s="475"/>
      <c r="F12" s="475"/>
      <c r="G12" s="475"/>
      <c r="H12" s="475"/>
      <c r="I12" s="475"/>
      <c r="J12" s="230"/>
      <c r="K12" s="231"/>
      <c r="L12" s="212"/>
      <c r="M12" s="212"/>
      <c r="N12" s="480">
        <v>1</v>
      </c>
      <c r="O12" s="455"/>
      <c r="P12" s="455"/>
      <c r="Q12" s="456"/>
      <c r="R12" s="457">
        <v>2</v>
      </c>
      <c r="S12" s="455"/>
      <c r="T12" s="455"/>
      <c r="U12" s="455"/>
      <c r="V12" s="480">
        <v>3</v>
      </c>
      <c r="W12" s="455"/>
      <c r="X12" s="455"/>
      <c r="Y12" s="456"/>
      <c r="Z12" s="457">
        <v>4</v>
      </c>
      <c r="AA12" s="455"/>
      <c r="AB12" s="455"/>
      <c r="AC12" s="481"/>
      <c r="AD12" s="455">
        <v>5</v>
      </c>
      <c r="AE12" s="455"/>
      <c r="AF12" s="455"/>
      <c r="AG12" s="456"/>
      <c r="AH12" s="457">
        <v>6</v>
      </c>
      <c r="AI12" s="455"/>
      <c r="AJ12" s="455"/>
      <c r="AK12" s="456"/>
      <c r="AL12" s="196"/>
      <c r="AM12" s="459"/>
      <c r="AN12" s="194" t="s">
        <v>192</v>
      </c>
      <c r="AO12" s="198"/>
      <c r="AP12" s="474" t="s">
        <v>315</v>
      </c>
      <c r="AQ12" s="475"/>
      <c r="AR12" s="475"/>
      <c r="AS12" s="475"/>
      <c r="AT12" s="475"/>
      <c r="AU12" s="475"/>
      <c r="AV12" s="230"/>
      <c r="AW12" s="231"/>
      <c r="AX12" s="271"/>
      <c r="AY12" s="271"/>
      <c r="AZ12" s="480">
        <v>1</v>
      </c>
      <c r="BA12" s="455"/>
      <c r="BB12" s="455"/>
      <c r="BC12" s="456"/>
      <c r="BD12" s="457">
        <v>2</v>
      </c>
      <c r="BE12" s="455"/>
      <c r="BF12" s="455"/>
      <c r="BG12" s="455"/>
      <c r="BH12" s="480"/>
      <c r="BI12" s="455"/>
      <c r="BJ12" s="455"/>
      <c r="BK12" s="456"/>
      <c r="BL12" s="457"/>
      <c r="BM12" s="455"/>
      <c r="BN12" s="455"/>
      <c r="BO12" s="481"/>
      <c r="BP12" s="455"/>
      <c r="BQ12" s="455"/>
      <c r="BR12" s="455"/>
      <c r="BS12" s="456"/>
      <c r="BT12" s="457"/>
      <c r="BU12" s="455"/>
      <c r="BV12" s="455"/>
      <c r="BW12" s="456"/>
      <c r="BX12" s="196"/>
    </row>
    <row r="13" spans="1:78" ht="20.25" customHeight="1">
      <c r="A13" s="459"/>
      <c r="B13" s="194" t="s">
        <v>276</v>
      </c>
      <c r="C13" s="198"/>
      <c r="D13" s="362" t="s">
        <v>195</v>
      </c>
      <c r="E13" s="363"/>
      <c r="F13" s="363"/>
      <c r="G13" s="363"/>
      <c r="H13" s="363"/>
      <c r="I13" s="363"/>
      <c r="J13" s="253"/>
      <c r="K13" s="364"/>
      <c r="L13" s="364"/>
      <c r="M13" s="364"/>
      <c r="N13" s="365"/>
      <c r="O13" s="365"/>
      <c r="P13" s="365"/>
      <c r="Q13" s="365"/>
      <c r="R13" s="365"/>
      <c r="S13" s="365"/>
      <c r="T13" s="365"/>
      <c r="U13" s="365"/>
      <c r="V13" s="366"/>
      <c r="W13" s="365"/>
      <c r="X13" s="365"/>
      <c r="Y13" s="365"/>
      <c r="Z13" s="365"/>
      <c r="AA13" s="365"/>
      <c r="AB13" s="365"/>
      <c r="AC13" s="367"/>
      <c r="AD13" s="365"/>
      <c r="AE13" s="365"/>
      <c r="AF13" s="365"/>
      <c r="AG13" s="365"/>
      <c r="AH13" s="365"/>
      <c r="AI13" s="365"/>
      <c r="AJ13" s="365"/>
      <c r="AK13" s="368"/>
      <c r="AL13" s="196"/>
      <c r="AM13" s="459"/>
      <c r="AN13" s="194" t="s">
        <v>276</v>
      </c>
      <c r="AO13" s="198"/>
      <c r="AP13" s="362" t="s">
        <v>195</v>
      </c>
      <c r="AQ13" s="363"/>
      <c r="AR13" s="363"/>
      <c r="AS13" s="363"/>
      <c r="AT13" s="363"/>
      <c r="AU13" s="363"/>
      <c r="AV13" s="273"/>
      <c r="AW13" s="364"/>
      <c r="AX13" s="364"/>
      <c r="AY13" s="364"/>
      <c r="AZ13" s="365"/>
      <c r="BA13" s="365"/>
      <c r="BB13" s="365"/>
      <c r="BC13" s="365"/>
      <c r="BD13" s="365"/>
      <c r="BE13" s="365"/>
      <c r="BF13" s="365"/>
      <c r="BG13" s="365"/>
      <c r="BH13" s="366"/>
      <c r="BI13" s="365"/>
      <c r="BJ13" s="365"/>
      <c r="BK13" s="365"/>
      <c r="BL13" s="365"/>
      <c r="BM13" s="365"/>
      <c r="BN13" s="365"/>
      <c r="BO13" s="367"/>
      <c r="BP13" s="365"/>
      <c r="BQ13" s="365"/>
      <c r="BR13" s="365"/>
      <c r="BS13" s="365"/>
      <c r="BT13" s="365"/>
      <c r="BU13" s="365"/>
      <c r="BV13" s="365"/>
      <c r="BW13" s="368"/>
      <c r="BX13" s="196"/>
    </row>
    <row r="14" spans="1:78" ht="20.25" customHeight="1">
      <c r="A14" s="459"/>
      <c r="B14" s="194" t="s">
        <v>277</v>
      </c>
      <c r="C14" s="198"/>
      <c r="D14" s="436" t="s">
        <v>222</v>
      </c>
      <c r="E14" s="437"/>
      <c r="F14" s="437"/>
      <c r="G14" s="437"/>
      <c r="H14" s="437"/>
      <c r="I14" s="437"/>
      <c r="J14" s="251"/>
      <c r="K14" s="346" t="s">
        <v>210</v>
      </c>
      <c r="L14" s="346"/>
      <c r="M14" s="347"/>
      <c r="N14" s="447">
        <v>19753</v>
      </c>
      <c r="O14" s="448"/>
      <c r="P14" s="448"/>
      <c r="Q14" s="448"/>
      <c r="R14" s="449">
        <v>19753</v>
      </c>
      <c r="S14" s="448"/>
      <c r="T14" s="448"/>
      <c r="U14" s="448"/>
      <c r="V14" s="447">
        <v>19753</v>
      </c>
      <c r="W14" s="448"/>
      <c r="X14" s="448"/>
      <c r="Y14" s="448"/>
      <c r="Z14" s="449">
        <v>19753</v>
      </c>
      <c r="AA14" s="448"/>
      <c r="AB14" s="448"/>
      <c r="AC14" s="450"/>
      <c r="AD14" s="448">
        <v>19753</v>
      </c>
      <c r="AE14" s="448"/>
      <c r="AF14" s="448"/>
      <c r="AG14" s="448"/>
      <c r="AH14" s="449">
        <v>19753</v>
      </c>
      <c r="AI14" s="448"/>
      <c r="AJ14" s="448"/>
      <c r="AK14" s="451"/>
      <c r="AL14" s="196"/>
      <c r="AM14" s="459"/>
      <c r="AN14" s="194" t="s">
        <v>277</v>
      </c>
      <c r="AO14" s="198"/>
      <c r="AP14" s="436" t="s">
        <v>222</v>
      </c>
      <c r="AQ14" s="437"/>
      <c r="AR14" s="437"/>
      <c r="AS14" s="437"/>
      <c r="AT14" s="437"/>
      <c r="AU14" s="437"/>
      <c r="AV14" s="272"/>
      <c r="AW14" s="346" t="s">
        <v>210</v>
      </c>
      <c r="AX14" s="346"/>
      <c r="AY14" s="347"/>
      <c r="AZ14" s="447">
        <v>19753</v>
      </c>
      <c r="BA14" s="448"/>
      <c r="BB14" s="448"/>
      <c r="BC14" s="448"/>
      <c r="BD14" s="449">
        <v>19753</v>
      </c>
      <c r="BE14" s="448"/>
      <c r="BF14" s="448"/>
      <c r="BG14" s="448"/>
      <c r="BH14" s="447"/>
      <c r="BI14" s="448"/>
      <c r="BJ14" s="448"/>
      <c r="BK14" s="448"/>
      <c r="BL14" s="449"/>
      <c r="BM14" s="448"/>
      <c r="BN14" s="448"/>
      <c r="BO14" s="450"/>
      <c r="BP14" s="448"/>
      <c r="BQ14" s="448"/>
      <c r="BR14" s="448"/>
      <c r="BS14" s="448"/>
      <c r="BT14" s="449"/>
      <c r="BU14" s="448"/>
      <c r="BV14" s="448"/>
      <c r="BW14" s="451"/>
      <c r="BX14" s="196"/>
    </row>
    <row r="15" spans="1:78" ht="20.25" customHeight="1">
      <c r="A15" s="459"/>
      <c r="B15" s="194" t="s">
        <v>278</v>
      </c>
      <c r="C15" s="198"/>
      <c r="D15" s="436" t="s">
        <v>221</v>
      </c>
      <c r="E15" s="437"/>
      <c r="F15" s="437"/>
      <c r="G15" s="437"/>
      <c r="H15" s="437"/>
      <c r="I15" s="437"/>
      <c r="J15" s="251"/>
      <c r="K15" s="228"/>
      <c r="L15" s="228"/>
      <c r="M15" s="229"/>
      <c r="N15" s="373"/>
      <c r="O15" s="374"/>
      <c r="P15" s="374"/>
      <c r="Q15" s="375"/>
      <c r="R15" s="376"/>
      <c r="S15" s="374"/>
      <c r="T15" s="374"/>
      <c r="U15" s="374"/>
      <c r="V15" s="373"/>
      <c r="W15" s="374"/>
      <c r="X15" s="374"/>
      <c r="Y15" s="375"/>
      <c r="Z15" s="452"/>
      <c r="AA15" s="453"/>
      <c r="AB15" s="453"/>
      <c r="AC15" s="454"/>
      <c r="AD15" s="374"/>
      <c r="AE15" s="374"/>
      <c r="AF15" s="374"/>
      <c r="AG15" s="375"/>
      <c r="AH15" s="376"/>
      <c r="AI15" s="374"/>
      <c r="AJ15" s="374"/>
      <c r="AK15" s="375"/>
      <c r="AL15" s="196"/>
      <c r="AM15" s="459"/>
      <c r="AN15" s="194" t="s">
        <v>278</v>
      </c>
      <c r="AO15" s="198"/>
      <c r="AP15" s="436" t="s">
        <v>221</v>
      </c>
      <c r="AQ15" s="437"/>
      <c r="AR15" s="437"/>
      <c r="AS15" s="437"/>
      <c r="AT15" s="437"/>
      <c r="AU15" s="437"/>
      <c r="AV15" s="272"/>
      <c r="AW15" s="269"/>
      <c r="AX15" s="269"/>
      <c r="AY15" s="270"/>
      <c r="AZ15" s="373"/>
      <c r="BA15" s="374"/>
      <c r="BB15" s="374"/>
      <c r="BC15" s="375"/>
      <c r="BD15" s="376"/>
      <c r="BE15" s="374"/>
      <c r="BF15" s="374"/>
      <c r="BG15" s="374"/>
      <c r="BH15" s="373"/>
      <c r="BI15" s="374"/>
      <c r="BJ15" s="374"/>
      <c r="BK15" s="375"/>
      <c r="BL15" s="452"/>
      <c r="BM15" s="453"/>
      <c r="BN15" s="453"/>
      <c r="BO15" s="454"/>
      <c r="BP15" s="374"/>
      <c r="BQ15" s="374"/>
      <c r="BR15" s="374"/>
      <c r="BS15" s="375"/>
      <c r="BT15" s="376"/>
      <c r="BU15" s="374"/>
      <c r="BV15" s="374"/>
      <c r="BW15" s="375"/>
      <c r="BX15" s="196"/>
    </row>
    <row r="16" spans="1:78" ht="20.25" customHeight="1">
      <c r="A16" s="459"/>
      <c r="B16" s="194" t="s">
        <v>279</v>
      </c>
      <c r="C16" s="198"/>
      <c r="D16" s="436" t="s">
        <v>205</v>
      </c>
      <c r="E16" s="437"/>
      <c r="F16" s="437"/>
      <c r="G16" s="437"/>
      <c r="H16" s="437"/>
      <c r="I16" s="437"/>
      <c r="J16" s="251"/>
      <c r="K16" s="438" t="s">
        <v>220</v>
      </c>
      <c r="L16" s="438"/>
      <c r="M16" s="439"/>
      <c r="N16" s="440">
        <v>51.4</v>
      </c>
      <c r="O16" s="441"/>
      <c r="P16" s="441"/>
      <c r="Q16" s="442"/>
      <c r="R16" s="443">
        <f>N18</f>
        <v>50.439931172679202</v>
      </c>
      <c r="S16" s="441"/>
      <c r="T16" s="441"/>
      <c r="U16" s="441"/>
      <c r="V16" s="440">
        <v>51.4</v>
      </c>
      <c r="W16" s="441"/>
      <c r="X16" s="441"/>
      <c r="Y16" s="442"/>
      <c r="Z16" s="444">
        <f>V18</f>
        <v>49.909153726588663</v>
      </c>
      <c r="AA16" s="445"/>
      <c r="AB16" s="445"/>
      <c r="AC16" s="446"/>
      <c r="AD16" s="441">
        <v>51.4</v>
      </c>
      <c r="AE16" s="441"/>
      <c r="AF16" s="441"/>
      <c r="AG16" s="442"/>
      <c r="AH16" s="443">
        <f>AD18</f>
        <v>50.703214491684463</v>
      </c>
      <c r="AI16" s="441"/>
      <c r="AJ16" s="441"/>
      <c r="AK16" s="442"/>
      <c r="AL16" s="196"/>
      <c r="AM16" s="459"/>
      <c r="AN16" s="194" t="s">
        <v>279</v>
      </c>
      <c r="AO16" s="198"/>
      <c r="AP16" s="436" t="s">
        <v>205</v>
      </c>
      <c r="AQ16" s="437"/>
      <c r="AR16" s="437"/>
      <c r="AS16" s="437"/>
      <c r="AT16" s="437"/>
      <c r="AU16" s="437"/>
      <c r="AV16" s="272"/>
      <c r="AW16" s="438" t="s">
        <v>220</v>
      </c>
      <c r="AX16" s="438"/>
      <c r="AY16" s="439"/>
      <c r="AZ16" s="440">
        <v>51.4</v>
      </c>
      <c r="BA16" s="441"/>
      <c r="BB16" s="441"/>
      <c r="BC16" s="442"/>
      <c r="BD16" s="443">
        <f>AZ18</f>
        <v>50.333748030067376</v>
      </c>
      <c r="BE16" s="441"/>
      <c r="BF16" s="441"/>
      <c r="BG16" s="441"/>
      <c r="BH16" s="440"/>
      <c r="BI16" s="441"/>
      <c r="BJ16" s="441"/>
      <c r="BK16" s="442"/>
      <c r="BL16" s="444"/>
      <c r="BM16" s="445"/>
      <c r="BN16" s="445"/>
      <c r="BO16" s="446"/>
      <c r="BP16" s="441"/>
      <c r="BQ16" s="441"/>
      <c r="BR16" s="441"/>
      <c r="BS16" s="442"/>
      <c r="BT16" s="443"/>
      <c r="BU16" s="441"/>
      <c r="BV16" s="441"/>
      <c r="BW16" s="442"/>
      <c r="BX16" s="196"/>
    </row>
    <row r="17" spans="1:76" ht="20.25" customHeight="1">
      <c r="A17" s="459"/>
      <c r="B17" s="194" t="s">
        <v>280</v>
      </c>
      <c r="C17" s="198"/>
      <c r="D17" s="248" t="s">
        <v>312</v>
      </c>
      <c r="E17" s="249"/>
      <c r="F17" s="249"/>
      <c r="G17" s="249"/>
      <c r="H17" s="249"/>
      <c r="I17" s="249"/>
      <c r="J17" s="261"/>
      <c r="K17" s="258"/>
      <c r="L17" s="258"/>
      <c r="M17" s="260" t="s">
        <v>220</v>
      </c>
      <c r="N17" s="369">
        <f>IF(N27="BARE",IF(N16="","",(Ts(N16*1.8+32,N19*1.8+32,N24/1.488164,N14/0.4536,N25,N23,N41,N42,N31,N30,N20*3600/1600)-32)/1.8),"")</f>
        <v>50.540178087022568</v>
      </c>
      <c r="O17" s="361"/>
      <c r="P17" s="361"/>
      <c r="Q17" s="361"/>
      <c r="R17" s="356">
        <f>IF(R27="BARE",IF(R16="","",(Ts(R16*1.8+32,R19*1.8+32,R24/1.488164,R14/0.4536,R25,R23,R41,R42,R31,R30,R20*3600/1600)-32)/1.8),"")</f>
        <v>49.260821872287323</v>
      </c>
      <c r="S17" s="356"/>
      <c r="T17" s="356"/>
      <c r="U17" s="357"/>
      <c r="V17" s="358">
        <f>IF(V27="BARE",IF(V16="","",(Ts(V16*1.8+32,V19*1.8+32,V24/1.488164,V14/0.4536,V25,V23,V41,V42,V31,V30,V20*3600/1600)-32)/1.8),"")</f>
        <v>50.040961371527779</v>
      </c>
      <c r="W17" s="356"/>
      <c r="X17" s="356"/>
      <c r="Y17" s="356"/>
      <c r="Z17" s="356">
        <f>IF(Z27="BARE",IF(Z16="","",(Ts(Z16*1.8+32,Z19*1.8+32,Z24/1.488164,Z14/0.4536,Z25,Z23,Z41,Z42,Z31,Z30,Z20*3600/1600)-32)/1.8),"")</f>
        <v>48.095889621310761</v>
      </c>
      <c r="AA17" s="356"/>
      <c r="AB17" s="356"/>
      <c r="AC17" s="359"/>
      <c r="AD17" s="360">
        <f>IF(AD27="BARE",IF(AD16="","",(Ts(AD16*1.8+32,AD19*1.8+32,AD24/1.488164,AD14/0.4536,AD25,AD23,AD41,AD42,AD31,AD30,AD20*3600/1600)-32)/1.8),"")</f>
        <v>50.772993299696182</v>
      </c>
      <c r="AE17" s="356"/>
      <c r="AF17" s="356"/>
      <c r="AG17" s="356"/>
      <c r="AH17" s="361">
        <f>IF(AH27="BARE",IF(AH16="","",(Ts(AH16*1.8+32,AH19*1.8+32,AH24/1.488164,AH14/0.4536,AH25,AH23,AH41,AH42,AH31,AH30,AH20*3600/1600)-32)/1.8),"")</f>
        <v>49.833789401584198</v>
      </c>
      <c r="AI17" s="361"/>
      <c r="AJ17" s="361"/>
      <c r="AK17" s="361"/>
      <c r="AL17" s="196"/>
      <c r="AM17" s="459"/>
      <c r="AN17" s="194" t="s">
        <v>280</v>
      </c>
      <c r="AO17" s="198"/>
      <c r="AP17" s="248" t="s">
        <v>312</v>
      </c>
      <c r="AQ17" s="249"/>
      <c r="AR17" s="249"/>
      <c r="AS17" s="249"/>
      <c r="AT17" s="249"/>
      <c r="AU17" s="249"/>
      <c r="AV17" s="264"/>
      <c r="AW17" s="258"/>
      <c r="AX17" s="258"/>
      <c r="AY17" s="265" t="s">
        <v>220</v>
      </c>
      <c r="AZ17" s="369">
        <f>IF(AZ27="BARE",IF(AZ16="","",(Ts(AZ16*1.8+32,AZ19*1.8+32,AZ24/1.488164,AZ14/0.4536,AZ25,AZ23,AZ41,AZ42,AZ31,AZ30,AZ20*3600/1600)-32)/1.8),"")</f>
        <v>50.417717827690971</v>
      </c>
      <c r="BA17" s="361"/>
      <c r="BB17" s="361"/>
      <c r="BC17" s="361"/>
      <c r="BD17" s="356">
        <f>IF(BD27="BARE",IF(BD16="","",(Ts(BD16*1.8+32,BD19*1.8+32,BD24/1.488164,BD14/0.4536,BD25,BD23,BD41,BD42,BD31,BD30,BD20*3600/1600)-32)/1.8),"")</f>
        <v>49.023123847113716</v>
      </c>
      <c r="BE17" s="356"/>
      <c r="BF17" s="356"/>
      <c r="BG17" s="357"/>
      <c r="BH17" s="358" t="str">
        <f>IF(BH27="BARE",IF(BH16="","",(Ts(BH16*1.8+32,BH19*1.8+32,BH24/1.488164,BH14/0.4536,BH25,BH23,BH41,BH42,BH31,BH30,BH20*3600/1600)-32)/1.8),"")</f>
        <v/>
      </c>
      <c r="BI17" s="356"/>
      <c r="BJ17" s="356"/>
      <c r="BK17" s="356"/>
      <c r="BL17" s="356" t="str">
        <f>IF(BL27="BARE",IF(BL16="","",(Ts(BL16*1.8+32,BL19*1.8+32,BL24/1.488164,BL14/0.4536,BL25,BL23,BL41,BL42,BL31,BL30,BL20*3600/1600)-32)/1.8),"")</f>
        <v/>
      </c>
      <c r="BM17" s="356"/>
      <c r="BN17" s="356"/>
      <c r="BO17" s="359"/>
      <c r="BP17" s="360" t="str">
        <f>IF(BP27="BARE",IF(BP16="","",(Ts(BP16*1.8+32,BP19*1.8+32,BP24/1.488164,BP14/0.4536,BP25,BP23,BP41,BP42,BP31,BP30,BP20*3600/1600)-32)/1.8),"")</f>
        <v/>
      </c>
      <c r="BQ17" s="356"/>
      <c r="BR17" s="356"/>
      <c r="BS17" s="356"/>
      <c r="BT17" s="361" t="str">
        <f>IF(BT27="BARE",IF(BT16="","",(Ts(BT16*1.8+32,BT19*1.8+32,BT24/1.488164,BT14/0.4536,BT25,BT23,BT41,BT42,BT31,BT30,BT20*3600/1600)-32)/1.8),"")</f>
        <v/>
      </c>
      <c r="BU17" s="361"/>
      <c r="BV17" s="361"/>
      <c r="BW17" s="361"/>
      <c r="BX17" s="196"/>
    </row>
    <row r="18" spans="1:76" ht="20.25" customHeight="1">
      <c r="A18" s="459"/>
      <c r="B18" s="194" t="s">
        <v>281</v>
      </c>
      <c r="C18" s="198"/>
      <c r="D18" s="344" t="s">
        <v>204</v>
      </c>
      <c r="E18" s="345"/>
      <c r="F18" s="345"/>
      <c r="G18" s="345"/>
      <c r="H18" s="345"/>
      <c r="I18" s="345"/>
      <c r="J18" s="250"/>
      <c r="K18" s="346" t="s">
        <v>220</v>
      </c>
      <c r="L18" s="346"/>
      <c r="M18" s="347"/>
      <c r="N18" s="369">
        <f>IF(N14=0,"",(N16-N59/N25/N14))</f>
        <v>50.439931172679202</v>
      </c>
      <c r="O18" s="361"/>
      <c r="P18" s="361"/>
      <c r="Q18" s="361"/>
      <c r="R18" s="356">
        <f t="shared" ref="R18" si="0">IF(R14=0,"",(R16-R59/R25/R14))</f>
        <v>50.281194409222074</v>
      </c>
      <c r="S18" s="356"/>
      <c r="T18" s="356"/>
      <c r="U18" s="357"/>
      <c r="V18" s="358">
        <f>IF(V14=0,"",(V16-V59/V25/V14))</f>
        <v>49.909153726588663</v>
      </c>
      <c r="W18" s="356"/>
      <c r="X18" s="356"/>
      <c r="Y18" s="356"/>
      <c r="Z18" s="356">
        <f t="shared" ref="Z18" si="1">IF(Z14=0,"",(Z16-Z59/Z25/Z14))</f>
        <v>49.753416806470831</v>
      </c>
      <c r="AA18" s="356"/>
      <c r="AB18" s="356"/>
      <c r="AC18" s="359"/>
      <c r="AD18" s="360">
        <f t="shared" ref="AD18" si="2">IF(AD14=0,"",(AD16-AD59/AD25/AD14))</f>
        <v>50.703214491684463</v>
      </c>
      <c r="AE18" s="356"/>
      <c r="AF18" s="356"/>
      <c r="AG18" s="356"/>
      <c r="AH18" s="361">
        <f t="shared" ref="AH18" si="3">IF(AH14=0,"",(AH16-AH59/AH25/AH14))</f>
        <v>50.583586138942017</v>
      </c>
      <c r="AI18" s="361"/>
      <c r="AJ18" s="361"/>
      <c r="AK18" s="360"/>
      <c r="AL18" s="196"/>
      <c r="AM18" s="459"/>
      <c r="AN18" s="194" t="s">
        <v>281</v>
      </c>
      <c r="AO18" s="198"/>
      <c r="AP18" s="344" t="s">
        <v>204</v>
      </c>
      <c r="AQ18" s="345"/>
      <c r="AR18" s="345"/>
      <c r="AS18" s="345"/>
      <c r="AT18" s="345"/>
      <c r="AU18" s="345"/>
      <c r="AV18" s="264"/>
      <c r="AW18" s="346" t="s">
        <v>220</v>
      </c>
      <c r="AX18" s="346"/>
      <c r="AY18" s="347"/>
      <c r="AZ18" s="369">
        <f>IF(AZ14=0,"",(AZ16-AZ59/AZ25/AZ14))</f>
        <v>50.333748030067376</v>
      </c>
      <c r="BA18" s="361"/>
      <c r="BB18" s="361"/>
      <c r="BC18" s="361"/>
      <c r="BD18" s="356">
        <f t="shared" ref="BD18" si="4">IF(BD14=0,"",(BD16-BD59/BD25/BD14))</f>
        <v>50.215883666638376</v>
      </c>
      <c r="BE18" s="356"/>
      <c r="BF18" s="356"/>
      <c r="BG18" s="357"/>
      <c r="BH18" s="358" t="str">
        <f>IF(BH14=0,"",(BH16-BH59/BH25/BH14))</f>
        <v/>
      </c>
      <c r="BI18" s="356"/>
      <c r="BJ18" s="356"/>
      <c r="BK18" s="356"/>
      <c r="BL18" s="356" t="str">
        <f t="shared" ref="BL18" si="5">IF(BL14=0,"",(BL16-BL59/BL25/BL14))</f>
        <v/>
      </c>
      <c r="BM18" s="356"/>
      <c r="BN18" s="356"/>
      <c r="BO18" s="359"/>
      <c r="BP18" s="360" t="str">
        <f t="shared" ref="BP18" si="6">IF(BP14=0,"",(BP16-BP59/BP25/BP14))</f>
        <v/>
      </c>
      <c r="BQ18" s="356"/>
      <c r="BR18" s="356"/>
      <c r="BS18" s="356"/>
      <c r="BT18" s="361" t="str">
        <f t="shared" ref="BT18" si="7">IF(BT14=0,"",(BT16-BT59/BT25/BT14))</f>
        <v/>
      </c>
      <c r="BU18" s="361"/>
      <c r="BV18" s="361"/>
      <c r="BW18" s="360"/>
      <c r="BX18" s="196"/>
    </row>
    <row r="19" spans="1:76" ht="20.25" customHeight="1">
      <c r="A19" s="459"/>
      <c r="B19" s="194" t="s">
        <v>144</v>
      </c>
      <c r="C19" s="198"/>
      <c r="D19" s="344" t="s">
        <v>196</v>
      </c>
      <c r="E19" s="345"/>
      <c r="F19" s="345"/>
      <c r="G19" s="345"/>
      <c r="H19" s="345"/>
      <c r="I19" s="345"/>
      <c r="J19" s="250"/>
      <c r="K19" s="346" t="s">
        <v>220</v>
      </c>
      <c r="L19" s="346"/>
      <c r="M19" s="347"/>
      <c r="N19" s="373">
        <v>23</v>
      </c>
      <c r="O19" s="374"/>
      <c r="P19" s="374"/>
      <c r="Q19" s="374"/>
      <c r="R19" s="376">
        <v>23</v>
      </c>
      <c r="S19" s="374"/>
      <c r="T19" s="374"/>
      <c r="U19" s="374"/>
      <c r="V19" s="373">
        <v>23</v>
      </c>
      <c r="W19" s="374"/>
      <c r="X19" s="374"/>
      <c r="Y19" s="375"/>
      <c r="Z19" s="376">
        <v>23</v>
      </c>
      <c r="AA19" s="374"/>
      <c r="AB19" s="374"/>
      <c r="AC19" s="377"/>
      <c r="AD19" s="373">
        <v>30</v>
      </c>
      <c r="AE19" s="374"/>
      <c r="AF19" s="374"/>
      <c r="AG19" s="375"/>
      <c r="AH19" s="376">
        <v>30</v>
      </c>
      <c r="AI19" s="374"/>
      <c r="AJ19" s="374"/>
      <c r="AK19" s="377"/>
      <c r="AL19" s="196"/>
      <c r="AM19" s="459"/>
      <c r="AN19" s="194" t="s">
        <v>144</v>
      </c>
      <c r="AO19" s="198"/>
      <c r="AP19" s="344" t="s">
        <v>196</v>
      </c>
      <c r="AQ19" s="345"/>
      <c r="AR19" s="345"/>
      <c r="AS19" s="345"/>
      <c r="AT19" s="345"/>
      <c r="AU19" s="345"/>
      <c r="AV19" s="264"/>
      <c r="AW19" s="346" t="s">
        <v>220</v>
      </c>
      <c r="AX19" s="346"/>
      <c r="AY19" s="347"/>
      <c r="AZ19" s="373">
        <v>30</v>
      </c>
      <c r="BA19" s="374"/>
      <c r="BB19" s="374"/>
      <c r="BC19" s="374"/>
      <c r="BD19" s="376">
        <v>30</v>
      </c>
      <c r="BE19" s="374"/>
      <c r="BF19" s="374"/>
      <c r="BG19" s="374"/>
      <c r="BH19" s="373"/>
      <c r="BI19" s="374"/>
      <c r="BJ19" s="374"/>
      <c r="BK19" s="375"/>
      <c r="BL19" s="376"/>
      <c r="BM19" s="374"/>
      <c r="BN19" s="374"/>
      <c r="BO19" s="377"/>
      <c r="BP19" s="373"/>
      <c r="BQ19" s="374"/>
      <c r="BR19" s="374"/>
      <c r="BS19" s="375"/>
      <c r="BT19" s="376"/>
      <c r="BU19" s="374"/>
      <c r="BV19" s="374"/>
      <c r="BW19" s="377"/>
      <c r="BX19" s="196"/>
    </row>
    <row r="20" spans="1:76" ht="20.25" customHeight="1">
      <c r="A20" s="459"/>
      <c r="B20" s="194" t="s">
        <v>145</v>
      </c>
      <c r="C20" s="198"/>
      <c r="D20" s="344" t="s">
        <v>197</v>
      </c>
      <c r="E20" s="345"/>
      <c r="F20" s="345"/>
      <c r="G20" s="345"/>
      <c r="H20" s="345"/>
      <c r="I20" s="345"/>
      <c r="J20" s="250"/>
      <c r="K20" s="346" t="s">
        <v>212</v>
      </c>
      <c r="L20" s="346"/>
      <c r="M20" s="347"/>
      <c r="N20" s="373">
        <v>1</v>
      </c>
      <c r="O20" s="374"/>
      <c r="P20" s="374"/>
      <c r="Q20" s="374"/>
      <c r="R20" s="376">
        <v>1</v>
      </c>
      <c r="S20" s="374"/>
      <c r="T20" s="374"/>
      <c r="U20" s="374"/>
      <c r="V20" s="373">
        <v>5</v>
      </c>
      <c r="W20" s="374"/>
      <c r="X20" s="374"/>
      <c r="Y20" s="375"/>
      <c r="Z20" s="376">
        <v>5</v>
      </c>
      <c r="AA20" s="374"/>
      <c r="AB20" s="374"/>
      <c r="AC20" s="377"/>
      <c r="AD20" s="373">
        <v>1</v>
      </c>
      <c r="AE20" s="374"/>
      <c r="AF20" s="374"/>
      <c r="AG20" s="375"/>
      <c r="AH20" s="376">
        <v>1</v>
      </c>
      <c r="AI20" s="374"/>
      <c r="AJ20" s="374"/>
      <c r="AK20" s="377"/>
      <c r="AL20" s="196"/>
      <c r="AM20" s="459"/>
      <c r="AN20" s="194" t="s">
        <v>145</v>
      </c>
      <c r="AO20" s="198"/>
      <c r="AP20" s="344" t="s">
        <v>197</v>
      </c>
      <c r="AQ20" s="345"/>
      <c r="AR20" s="345"/>
      <c r="AS20" s="345"/>
      <c r="AT20" s="345"/>
      <c r="AU20" s="345"/>
      <c r="AV20" s="264"/>
      <c r="AW20" s="346" t="s">
        <v>212</v>
      </c>
      <c r="AX20" s="346"/>
      <c r="AY20" s="347"/>
      <c r="AZ20" s="373">
        <v>5</v>
      </c>
      <c r="BA20" s="374"/>
      <c r="BB20" s="374"/>
      <c r="BC20" s="374"/>
      <c r="BD20" s="376">
        <v>5</v>
      </c>
      <c r="BE20" s="374"/>
      <c r="BF20" s="374"/>
      <c r="BG20" s="374"/>
      <c r="BH20" s="373"/>
      <c r="BI20" s="374"/>
      <c r="BJ20" s="374"/>
      <c r="BK20" s="375"/>
      <c r="BL20" s="376"/>
      <c r="BM20" s="374"/>
      <c r="BN20" s="374"/>
      <c r="BO20" s="377"/>
      <c r="BP20" s="373"/>
      <c r="BQ20" s="374"/>
      <c r="BR20" s="374"/>
      <c r="BS20" s="375"/>
      <c r="BT20" s="376"/>
      <c r="BU20" s="374"/>
      <c r="BV20" s="374"/>
      <c r="BW20" s="377"/>
      <c r="BX20" s="196"/>
    </row>
    <row r="21" spans="1:76" ht="20.25" customHeight="1">
      <c r="A21" s="459"/>
      <c r="B21" s="194" t="s">
        <v>146</v>
      </c>
      <c r="C21" s="198"/>
      <c r="D21" s="344" t="s">
        <v>198</v>
      </c>
      <c r="E21" s="345"/>
      <c r="F21" s="345"/>
      <c r="G21" s="345"/>
      <c r="H21" s="345"/>
      <c r="I21" s="345"/>
      <c r="J21" s="250"/>
      <c r="K21" s="346"/>
      <c r="L21" s="346"/>
      <c r="M21" s="347"/>
      <c r="N21" s="373" t="s">
        <v>209</v>
      </c>
      <c r="O21" s="374"/>
      <c r="P21" s="374"/>
      <c r="Q21" s="374"/>
      <c r="R21" s="434" t="s">
        <v>209</v>
      </c>
      <c r="S21" s="435"/>
      <c r="T21" s="435"/>
      <c r="U21" s="435"/>
      <c r="V21" s="373" t="s">
        <v>209</v>
      </c>
      <c r="W21" s="374"/>
      <c r="X21" s="374"/>
      <c r="Y21" s="374"/>
      <c r="Z21" s="434" t="s">
        <v>209</v>
      </c>
      <c r="AA21" s="435"/>
      <c r="AB21" s="435"/>
      <c r="AC21" s="435"/>
      <c r="AD21" s="373" t="s">
        <v>209</v>
      </c>
      <c r="AE21" s="374"/>
      <c r="AF21" s="374"/>
      <c r="AG21" s="374"/>
      <c r="AH21" s="434" t="s">
        <v>209</v>
      </c>
      <c r="AI21" s="435"/>
      <c r="AJ21" s="435"/>
      <c r="AK21" s="435"/>
      <c r="AL21" s="196"/>
      <c r="AM21" s="459"/>
      <c r="AN21" s="194" t="s">
        <v>146</v>
      </c>
      <c r="AO21" s="198"/>
      <c r="AP21" s="344" t="s">
        <v>198</v>
      </c>
      <c r="AQ21" s="345"/>
      <c r="AR21" s="345"/>
      <c r="AS21" s="345"/>
      <c r="AT21" s="345"/>
      <c r="AU21" s="345"/>
      <c r="AV21" s="264"/>
      <c r="AW21" s="346"/>
      <c r="AX21" s="346"/>
      <c r="AY21" s="347"/>
      <c r="AZ21" s="373" t="s">
        <v>209</v>
      </c>
      <c r="BA21" s="374"/>
      <c r="BB21" s="374"/>
      <c r="BC21" s="374"/>
      <c r="BD21" s="434" t="s">
        <v>209</v>
      </c>
      <c r="BE21" s="435"/>
      <c r="BF21" s="435"/>
      <c r="BG21" s="435"/>
      <c r="BH21" s="373"/>
      <c r="BI21" s="374"/>
      <c r="BJ21" s="374"/>
      <c r="BK21" s="374"/>
      <c r="BL21" s="434"/>
      <c r="BM21" s="435"/>
      <c r="BN21" s="435"/>
      <c r="BO21" s="435"/>
      <c r="BP21" s="373"/>
      <c r="BQ21" s="374"/>
      <c r="BR21" s="374"/>
      <c r="BS21" s="374"/>
      <c r="BT21" s="434"/>
      <c r="BU21" s="435"/>
      <c r="BV21" s="435"/>
      <c r="BW21" s="435"/>
      <c r="BX21" s="196"/>
    </row>
    <row r="22" spans="1:76" ht="20.25" customHeight="1">
      <c r="A22" s="459"/>
      <c r="B22" s="194" t="s">
        <v>147</v>
      </c>
      <c r="C22" s="198"/>
      <c r="D22" s="220" t="s">
        <v>183</v>
      </c>
      <c r="E22" s="221"/>
      <c r="F22" s="221"/>
      <c r="G22" s="221"/>
      <c r="H22" s="221"/>
      <c r="I22" s="221"/>
      <c r="J22" s="221"/>
      <c r="K22" s="222"/>
      <c r="L22" s="222"/>
      <c r="M22" s="222"/>
      <c r="N22" s="223"/>
      <c r="O22" s="223"/>
      <c r="P22" s="223"/>
      <c r="Q22" s="223"/>
      <c r="R22" s="223"/>
      <c r="S22" s="223"/>
      <c r="T22" s="223"/>
      <c r="U22" s="223"/>
      <c r="V22" s="279"/>
      <c r="W22" s="223"/>
      <c r="X22" s="223"/>
      <c r="Y22" s="223"/>
      <c r="Z22" s="223"/>
      <c r="AA22" s="223"/>
      <c r="AB22" s="223"/>
      <c r="AC22" s="223"/>
      <c r="AD22" s="279"/>
      <c r="AE22" s="223"/>
      <c r="AF22" s="223"/>
      <c r="AG22" s="223"/>
      <c r="AH22" s="223"/>
      <c r="AI22" s="223"/>
      <c r="AJ22" s="223"/>
      <c r="AK22" s="224"/>
      <c r="AL22" s="196"/>
      <c r="AM22" s="459"/>
      <c r="AN22" s="194" t="s">
        <v>147</v>
      </c>
      <c r="AO22" s="198"/>
      <c r="AP22" s="220" t="s">
        <v>183</v>
      </c>
      <c r="AQ22" s="221"/>
      <c r="AR22" s="221"/>
      <c r="AS22" s="221"/>
      <c r="AT22" s="221"/>
      <c r="AU22" s="221"/>
      <c r="AV22" s="221"/>
      <c r="AW22" s="222"/>
      <c r="AX22" s="222"/>
      <c r="AY22" s="222"/>
      <c r="AZ22" s="223"/>
      <c r="BA22" s="223"/>
      <c r="BB22" s="223"/>
      <c r="BC22" s="223"/>
      <c r="BD22" s="223"/>
      <c r="BE22" s="223"/>
      <c r="BF22" s="223"/>
      <c r="BG22" s="223"/>
      <c r="BH22" s="279"/>
      <c r="BI22" s="223"/>
      <c r="BJ22" s="223"/>
      <c r="BK22" s="223"/>
      <c r="BL22" s="223"/>
      <c r="BM22" s="223"/>
      <c r="BN22" s="223"/>
      <c r="BO22" s="223"/>
      <c r="BP22" s="279"/>
      <c r="BQ22" s="223"/>
      <c r="BR22" s="223"/>
      <c r="BS22" s="223"/>
      <c r="BT22" s="223"/>
      <c r="BU22" s="223"/>
      <c r="BV22" s="223"/>
      <c r="BW22" s="224"/>
      <c r="BX22" s="196"/>
    </row>
    <row r="23" spans="1:76" ht="20.25" customHeight="1">
      <c r="A23" s="459"/>
      <c r="B23" s="194" t="s">
        <v>148</v>
      </c>
      <c r="C23" s="198"/>
      <c r="D23" s="344" t="s">
        <v>184</v>
      </c>
      <c r="E23" s="345"/>
      <c r="F23" s="345"/>
      <c r="G23" s="345"/>
      <c r="H23" s="345"/>
      <c r="I23" s="345"/>
      <c r="J23" s="250"/>
      <c r="K23" s="346" t="s">
        <v>211</v>
      </c>
      <c r="L23" s="346"/>
      <c r="M23" s="347"/>
      <c r="N23" s="429">
        <v>8.8699999999999994E-3</v>
      </c>
      <c r="O23" s="430"/>
      <c r="P23" s="430"/>
      <c r="Q23" s="430"/>
      <c r="R23" s="431">
        <v>8.8699999999999994E-3</v>
      </c>
      <c r="S23" s="432"/>
      <c r="T23" s="432"/>
      <c r="U23" s="432"/>
      <c r="V23" s="429">
        <v>8.8699999999999994E-3</v>
      </c>
      <c r="W23" s="430"/>
      <c r="X23" s="430"/>
      <c r="Y23" s="430"/>
      <c r="Z23" s="431">
        <v>8.8699999999999994E-3</v>
      </c>
      <c r="AA23" s="432"/>
      <c r="AB23" s="432"/>
      <c r="AC23" s="432"/>
      <c r="AD23" s="429">
        <v>8.8699999999999994E-3</v>
      </c>
      <c r="AE23" s="430"/>
      <c r="AF23" s="430"/>
      <c r="AG23" s="430"/>
      <c r="AH23" s="431">
        <v>8.8699999999999994E-3</v>
      </c>
      <c r="AI23" s="432"/>
      <c r="AJ23" s="432"/>
      <c r="AK23" s="432"/>
      <c r="AL23" s="196"/>
      <c r="AM23" s="459"/>
      <c r="AN23" s="194" t="s">
        <v>148</v>
      </c>
      <c r="AO23" s="198"/>
      <c r="AP23" s="344" t="s">
        <v>184</v>
      </c>
      <c r="AQ23" s="345"/>
      <c r="AR23" s="345"/>
      <c r="AS23" s="345"/>
      <c r="AT23" s="345"/>
      <c r="AU23" s="345"/>
      <c r="AV23" s="264"/>
      <c r="AW23" s="346" t="s">
        <v>211</v>
      </c>
      <c r="AX23" s="346"/>
      <c r="AY23" s="347"/>
      <c r="AZ23" s="429">
        <v>8.8699999999999994E-3</v>
      </c>
      <c r="BA23" s="430"/>
      <c r="BB23" s="430"/>
      <c r="BC23" s="430"/>
      <c r="BD23" s="431">
        <v>8.8699999999999994E-3</v>
      </c>
      <c r="BE23" s="432"/>
      <c r="BF23" s="432"/>
      <c r="BG23" s="432"/>
      <c r="BH23" s="429"/>
      <c r="BI23" s="430"/>
      <c r="BJ23" s="430"/>
      <c r="BK23" s="430"/>
      <c r="BL23" s="431"/>
      <c r="BM23" s="432"/>
      <c r="BN23" s="432"/>
      <c r="BO23" s="432"/>
      <c r="BP23" s="429"/>
      <c r="BQ23" s="430"/>
      <c r="BR23" s="430"/>
      <c r="BS23" s="430"/>
      <c r="BT23" s="431"/>
      <c r="BU23" s="432"/>
      <c r="BV23" s="432"/>
      <c r="BW23" s="432"/>
      <c r="BX23" s="196"/>
    </row>
    <row r="24" spans="1:76" ht="20.25" customHeight="1">
      <c r="A24" s="459"/>
      <c r="B24" s="194" t="s">
        <v>149</v>
      </c>
      <c r="C24" s="198"/>
      <c r="D24" s="344" t="s">
        <v>185</v>
      </c>
      <c r="E24" s="345"/>
      <c r="F24" s="345"/>
      <c r="G24" s="345"/>
      <c r="H24" s="345"/>
      <c r="I24" s="345"/>
      <c r="J24" s="250"/>
      <c r="K24" s="346" t="s">
        <v>218</v>
      </c>
      <c r="L24" s="346"/>
      <c r="M24" s="347"/>
      <c r="N24" s="429">
        <v>1.7850000000000001E-2</v>
      </c>
      <c r="O24" s="430"/>
      <c r="P24" s="430"/>
      <c r="Q24" s="430"/>
      <c r="R24" s="433">
        <v>1.7850000000000001E-2</v>
      </c>
      <c r="S24" s="430"/>
      <c r="T24" s="430"/>
      <c r="U24" s="430"/>
      <c r="V24" s="429">
        <v>1.7850000000000001E-2</v>
      </c>
      <c r="W24" s="430"/>
      <c r="X24" s="430"/>
      <c r="Y24" s="430"/>
      <c r="Z24" s="433">
        <v>1.7850000000000001E-2</v>
      </c>
      <c r="AA24" s="430"/>
      <c r="AB24" s="430"/>
      <c r="AC24" s="430"/>
      <c r="AD24" s="429">
        <v>1.7850000000000001E-2</v>
      </c>
      <c r="AE24" s="430"/>
      <c r="AF24" s="430"/>
      <c r="AG24" s="430"/>
      <c r="AH24" s="433">
        <v>1.7850000000000001E-2</v>
      </c>
      <c r="AI24" s="430"/>
      <c r="AJ24" s="430"/>
      <c r="AK24" s="430"/>
      <c r="AL24" s="196"/>
      <c r="AM24" s="459"/>
      <c r="AN24" s="194" t="s">
        <v>149</v>
      </c>
      <c r="AO24" s="198"/>
      <c r="AP24" s="344" t="s">
        <v>185</v>
      </c>
      <c r="AQ24" s="345"/>
      <c r="AR24" s="345"/>
      <c r="AS24" s="345"/>
      <c r="AT24" s="345"/>
      <c r="AU24" s="345"/>
      <c r="AV24" s="264"/>
      <c r="AW24" s="346" t="s">
        <v>215</v>
      </c>
      <c r="AX24" s="346"/>
      <c r="AY24" s="347"/>
      <c r="AZ24" s="429">
        <v>1.7850000000000001E-2</v>
      </c>
      <c r="BA24" s="430"/>
      <c r="BB24" s="430"/>
      <c r="BC24" s="430"/>
      <c r="BD24" s="433">
        <v>1.7850000000000001E-2</v>
      </c>
      <c r="BE24" s="430"/>
      <c r="BF24" s="430"/>
      <c r="BG24" s="430"/>
      <c r="BH24" s="429"/>
      <c r="BI24" s="430"/>
      <c r="BJ24" s="430"/>
      <c r="BK24" s="430"/>
      <c r="BL24" s="433"/>
      <c r="BM24" s="430"/>
      <c r="BN24" s="430"/>
      <c r="BO24" s="430"/>
      <c r="BP24" s="429"/>
      <c r="BQ24" s="430"/>
      <c r="BR24" s="430"/>
      <c r="BS24" s="430"/>
      <c r="BT24" s="433"/>
      <c r="BU24" s="430"/>
      <c r="BV24" s="430"/>
      <c r="BW24" s="430"/>
      <c r="BX24" s="196"/>
    </row>
    <row r="25" spans="1:76" ht="20.25" customHeight="1">
      <c r="A25" s="459"/>
      <c r="B25" s="194" t="s">
        <v>150</v>
      </c>
      <c r="C25" s="198"/>
      <c r="D25" s="421" t="s">
        <v>186</v>
      </c>
      <c r="E25" s="422"/>
      <c r="F25" s="422"/>
      <c r="G25" s="422"/>
      <c r="H25" s="422"/>
      <c r="I25" s="422"/>
      <c r="J25" s="252"/>
      <c r="K25" s="423" t="s">
        <v>219</v>
      </c>
      <c r="L25" s="423"/>
      <c r="M25" s="424"/>
      <c r="N25" s="425">
        <v>0.505</v>
      </c>
      <c r="O25" s="426"/>
      <c r="P25" s="426"/>
      <c r="Q25" s="426"/>
      <c r="R25" s="427">
        <v>0.505</v>
      </c>
      <c r="S25" s="428"/>
      <c r="T25" s="428"/>
      <c r="U25" s="428"/>
      <c r="V25" s="425">
        <v>0.505</v>
      </c>
      <c r="W25" s="426"/>
      <c r="X25" s="426"/>
      <c r="Y25" s="426"/>
      <c r="Z25" s="427">
        <v>0.505</v>
      </c>
      <c r="AA25" s="428"/>
      <c r="AB25" s="428"/>
      <c r="AC25" s="428"/>
      <c r="AD25" s="425">
        <v>0.505</v>
      </c>
      <c r="AE25" s="426"/>
      <c r="AF25" s="426"/>
      <c r="AG25" s="426"/>
      <c r="AH25" s="427">
        <v>0.505</v>
      </c>
      <c r="AI25" s="428"/>
      <c r="AJ25" s="428"/>
      <c r="AK25" s="428"/>
      <c r="AL25" s="196"/>
      <c r="AM25" s="459"/>
      <c r="AN25" s="194" t="s">
        <v>150</v>
      </c>
      <c r="AO25" s="198"/>
      <c r="AP25" s="421" t="s">
        <v>186</v>
      </c>
      <c r="AQ25" s="422"/>
      <c r="AR25" s="422"/>
      <c r="AS25" s="422"/>
      <c r="AT25" s="422"/>
      <c r="AU25" s="422"/>
      <c r="AV25" s="268"/>
      <c r="AW25" s="423" t="s">
        <v>219</v>
      </c>
      <c r="AX25" s="423"/>
      <c r="AY25" s="424"/>
      <c r="AZ25" s="425">
        <v>0.505</v>
      </c>
      <c r="BA25" s="426"/>
      <c r="BB25" s="426"/>
      <c r="BC25" s="426"/>
      <c r="BD25" s="427">
        <v>0.505</v>
      </c>
      <c r="BE25" s="428"/>
      <c r="BF25" s="428"/>
      <c r="BG25" s="428"/>
      <c r="BH25" s="425"/>
      <c r="BI25" s="426"/>
      <c r="BJ25" s="426"/>
      <c r="BK25" s="426"/>
      <c r="BL25" s="427"/>
      <c r="BM25" s="428"/>
      <c r="BN25" s="428"/>
      <c r="BO25" s="428"/>
      <c r="BP25" s="425"/>
      <c r="BQ25" s="426"/>
      <c r="BR25" s="426"/>
      <c r="BS25" s="426"/>
      <c r="BT25" s="427"/>
      <c r="BU25" s="428"/>
      <c r="BV25" s="428"/>
      <c r="BW25" s="428"/>
      <c r="BX25" s="196"/>
    </row>
    <row r="26" spans="1:76" ht="20.25" customHeight="1">
      <c r="A26" s="459"/>
      <c r="B26" s="194" t="s">
        <v>151</v>
      </c>
      <c r="C26" s="198"/>
      <c r="D26" s="362" t="s">
        <v>187</v>
      </c>
      <c r="E26" s="363"/>
      <c r="F26" s="363"/>
      <c r="G26" s="363"/>
      <c r="H26" s="363"/>
      <c r="I26" s="363"/>
      <c r="J26" s="253"/>
      <c r="K26" s="364"/>
      <c r="L26" s="364"/>
      <c r="M26" s="364"/>
      <c r="N26" s="365"/>
      <c r="O26" s="365"/>
      <c r="P26" s="365"/>
      <c r="Q26" s="365"/>
      <c r="R26" s="365"/>
      <c r="S26" s="365"/>
      <c r="T26" s="365"/>
      <c r="U26" s="365"/>
      <c r="V26" s="366"/>
      <c r="W26" s="365"/>
      <c r="X26" s="365"/>
      <c r="Y26" s="365"/>
      <c r="Z26" s="365"/>
      <c r="AA26" s="365"/>
      <c r="AB26" s="365"/>
      <c r="AC26" s="365"/>
      <c r="AD26" s="366"/>
      <c r="AE26" s="365"/>
      <c r="AF26" s="365"/>
      <c r="AG26" s="365"/>
      <c r="AH26" s="365"/>
      <c r="AI26" s="365"/>
      <c r="AJ26" s="365"/>
      <c r="AK26" s="368"/>
      <c r="AL26" s="196"/>
      <c r="AM26" s="459"/>
      <c r="AN26" s="194" t="s">
        <v>151</v>
      </c>
      <c r="AO26" s="198"/>
      <c r="AP26" s="362" t="s">
        <v>187</v>
      </c>
      <c r="AQ26" s="363"/>
      <c r="AR26" s="363"/>
      <c r="AS26" s="363"/>
      <c r="AT26" s="363"/>
      <c r="AU26" s="363"/>
      <c r="AV26" s="273"/>
      <c r="AW26" s="364"/>
      <c r="AX26" s="364"/>
      <c r="AY26" s="364"/>
      <c r="AZ26" s="365"/>
      <c r="BA26" s="365"/>
      <c r="BB26" s="365"/>
      <c r="BC26" s="365"/>
      <c r="BD26" s="365"/>
      <c r="BE26" s="365"/>
      <c r="BF26" s="365"/>
      <c r="BG26" s="365"/>
      <c r="BH26" s="366"/>
      <c r="BI26" s="365"/>
      <c r="BJ26" s="365"/>
      <c r="BK26" s="365"/>
      <c r="BL26" s="365"/>
      <c r="BM26" s="365"/>
      <c r="BN26" s="365"/>
      <c r="BO26" s="365"/>
      <c r="BP26" s="366"/>
      <c r="BQ26" s="365"/>
      <c r="BR26" s="365"/>
      <c r="BS26" s="365"/>
      <c r="BT26" s="365"/>
      <c r="BU26" s="365"/>
      <c r="BV26" s="365"/>
      <c r="BW26" s="368"/>
      <c r="BX26" s="196"/>
    </row>
    <row r="27" spans="1:76" ht="20.25" customHeight="1">
      <c r="A27" s="459"/>
      <c r="B27" s="194" t="s">
        <v>152</v>
      </c>
      <c r="C27" s="198"/>
      <c r="D27" s="344" t="s">
        <v>193</v>
      </c>
      <c r="E27" s="345"/>
      <c r="F27" s="345"/>
      <c r="G27" s="345"/>
      <c r="H27" s="345"/>
      <c r="I27" s="345"/>
      <c r="J27" s="250"/>
      <c r="K27" s="346"/>
      <c r="L27" s="346"/>
      <c r="M27" s="347"/>
      <c r="N27" s="416" t="s">
        <v>310</v>
      </c>
      <c r="O27" s="417"/>
      <c r="P27" s="417"/>
      <c r="Q27" s="417"/>
      <c r="R27" s="418" t="s">
        <v>310</v>
      </c>
      <c r="S27" s="419"/>
      <c r="T27" s="419"/>
      <c r="U27" s="419"/>
      <c r="V27" s="416" t="s">
        <v>310</v>
      </c>
      <c r="W27" s="417"/>
      <c r="X27" s="417"/>
      <c r="Y27" s="417"/>
      <c r="Z27" s="418" t="s">
        <v>310</v>
      </c>
      <c r="AA27" s="419"/>
      <c r="AB27" s="419"/>
      <c r="AC27" s="419"/>
      <c r="AD27" s="416" t="s">
        <v>310</v>
      </c>
      <c r="AE27" s="417"/>
      <c r="AF27" s="417"/>
      <c r="AG27" s="417"/>
      <c r="AH27" s="418" t="s">
        <v>310</v>
      </c>
      <c r="AI27" s="419"/>
      <c r="AJ27" s="419"/>
      <c r="AK27" s="419"/>
      <c r="AL27" s="196"/>
      <c r="AM27" s="459"/>
      <c r="AN27" s="194" t="s">
        <v>152</v>
      </c>
      <c r="AO27" s="198"/>
      <c r="AP27" s="344" t="s">
        <v>193</v>
      </c>
      <c r="AQ27" s="345"/>
      <c r="AR27" s="345"/>
      <c r="AS27" s="345"/>
      <c r="AT27" s="345"/>
      <c r="AU27" s="345"/>
      <c r="AV27" s="264"/>
      <c r="AW27" s="346"/>
      <c r="AX27" s="346"/>
      <c r="AY27" s="347"/>
      <c r="AZ27" s="416" t="s">
        <v>310</v>
      </c>
      <c r="BA27" s="417"/>
      <c r="BB27" s="417"/>
      <c r="BC27" s="417"/>
      <c r="BD27" s="418" t="s">
        <v>310</v>
      </c>
      <c r="BE27" s="419"/>
      <c r="BF27" s="419"/>
      <c r="BG27" s="419"/>
      <c r="BH27" s="416"/>
      <c r="BI27" s="417"/>
      <c r="BJ27" s="417"/>
      <c r="BK27" s="417"/>
      <c r="BL27" s="418"/>
      <c r="BM27" s="419"/>
      <c r="BN27" s="419"/>
      <c r="BO27" s="419"/>
      <c r="BP27" s="416"/>
      <c r="BQ27" s="417"/>
      <c r="BR27" s="417"/>
      <c r="BS27" s="417"/>
      <c r="BT27" s="418"/>
      <c r="BU27" s="419"/>
      <c r="BV27" s="419"/>
      <c r="BW27" s="419"/>
      <c r="BX27" s="196"/>
    </row>
    <row r="28" spans="1:76" ht="20.25" customHeight="1">
      <c r="A28" s="459"/>
      <c r="B28" s="194" t="s">
        <v>153</v>
      </c>
      <c r="C28" s="198"/>
      <c r="D28" s="344" t="s">
        <v>188</v>
      </c>
      <c r="E28" s="345"/>
      <c r="F28" s="345"/>
      <c r="G28" s="345"/>
      <c r="H28" s="345"/>
      <c r="I28" s="345"/>
      <c r="J28" s="250"/>
      <c r="K28" s="346" t="s">
        <v>213</v>
      </c>
      <c r="L28" s="346"/>
      <c r="M28" s="347"/>
      <c r="N28" s="416">
        <v>8</v>
      </c>
      <c r="O28" s="417"/>
      <c r="P28" s="417"/>
      <c r="Q28" s="417"/>
      <c r="R28" s="420">
        <v>10</v>
      </c>
      <c r="S28" s="417"/>
      <c r="T28" s="417"/>
      <c r="U28" s="417"/>
      <c r="V28" s="416">
        <v>8</v>
      </c>
      <c r="W28" s="417"/>
      <c r="X28" s="417"/>
      <c r="Y28" s="417"/>
      <c r="Z28" s="420">
        <v>10</v>
      </c>
      <c r="AA28" s="417"/>
      <c r="AB28" s="417"/>
      <c r="AC28" s="417"/>
      <c r="AD28" s="416">
        <v>8</v>
      </c>
      <c r="AE28" s="417"/>
      <c r="AF28" s="417"/>
      <c r="AG28" s="417"/>
      <c r="AH28" s="420">
        <v>10</v>
      </c>
      <c r="AI28" s="417"/>
      <c r="AJ28" s="417"/>
      <c r="AK28" s="417"/>
      <c r="AL28" s="196"/>
      <c r="AM28" s="459"/>
      <c r="AN28" s="194" t="s">
        <v>153</v>
      </c>
      <c r="AO28" s="198"/>
      <c r="AP28" s="344" t="s">
        <v>188</v>
      </c>
      <c r="AQ28" s="345"/>
      <c r="AR28" s="345"/>
      <c r="AS28" s="345"/>
      <c r="AT28" s="345"/>
      <c r="AU28" s="345"/>
      <c r="AV28" s="264"/>
      <c r="AW28" s="346" t="s">
        <v>213</v>
      </c>
      <c r="AX28" s="346"/>
      <c r="AY28" s="347"/>
      <c r="AZ28" s="416">
        <v>8</v>
      </c>
      <c r="BA28" s="417"/>
      <c r="BB28" s="417"/>
      <c r="BC28" s="417"/>
      <c r="BD28" s="420">
        <v>10</v>
      </c>
      <c r="BE28" s="417"/>
      <c r="BF28" s="417"/>
      <c r="BG28" s="417"/>
      <c r="BH28" s="416"/>
      <c r="BI28" s="417"/>
      <c r="BJ28" s="417"/>
      <c r="BK28" s="417"/>
      <c r="BL28" s="420"/>
      <c r="BM28" s="417"/>
      <c r="BN28" s="417"/>
      <c r="BO28" s="417"/>
      <c r="BP28" s="416"/>
      <c r="BQ28" s="417"/>
      <c r="BR28" s="417"/>
      <c r="BS28" s="417"/>
      <c r="BT28" s="420"/>
      <c r="BU28" s="417"/>
      <c r="BV28" s="417"/>
      <c r="BW28" s="417"/>
      <c r="BX28" s="196"/>
    </row>
    <row r="29" spans="1:76" ht="20.25" customHeight="1">
      <c r="A29" s="459"/>
      <c r="B29" s="194" t="s">
        <v>154</v>
      </c>
      <c r="C29" s="198"/>
      <c r="D29" s="344" t="s">
        <v>189</v>
      </c>
      <c r="E29" s="345"/>
      <c r="F29" s="345"/>
      <c r="G29" s="345"/>
      <c r="H29" s="345"/>
      <c r="I29" s="345"/>
      <c r="J29" s="250"/>
      <c r="K29" s="346"/>
      <c r="L29" s="346"/>
      <c r="M29" s="347"/>
      <c r="N29" s="413" t="s">
        <v>4</v>
      </c>
      <c r="O29" s="414"/>
      <c r="P29" s="414"/>
      <c r="Q29" s="414"/>
      <c r="R29" s="415" t="s">
        <v>4</v>
      </c>
      <c r="S29" s="414"/>
      <c r="T29" s="414"/>
      <c r="U29" s="414"/>
      <c r="V29" s="413" t="s">
        <v>4</v>
      </c>
      <c r="W29" s="414"/>
      <c r="X29" s="414"/>
      <c r="Y29" s="414"/>
      <c r="Z29" s="415" t="s">
        <v>4</v>
      </c>
      <c r="AA29" s="414"/>
      <c r="AB29" s="414"/>
      <c r="AC29" s="414"/>
      <c r="AD29" s="413" t="s">
        <v>4</v>
      </c>
      <c r="AE29" s="414"/>
      <c r="AF29" s="414"/>
      <c r="AG29" s="414"/>
      <c r="AH29" s="415" t="s">
        <v>4</v>
      </c>
      <c r="AI29" s="414"/>
      <c r="AJ29" s="414"/>
      <c r="AK29" s="414"/>
      <c r="AL29" s="196"/>
      <c r="AM29" s="459"/>
      <c r="AN29" s="194" t="s">
        <v>154</v>
      </c>
      <c r="AO29" s="198"/>
      <c r="AP29" s="344" t="s">
        <v>189</v>
      </c>
      <c r="AQ29" s="345"/>
      <c r="AR29" s="345"/>
      <c r="AS29" s="345"/>
      <c r="AT29" s="345"/>
      <c r="AU29" s="345"/>
      <c r="AV29" s="264"/>
      <c r="AW29" s="346"/>
      <c r="AX29" s="346"/>
      <c r="AY29" s="347"/>
      <c r="AZ29" s="413" t="s">
        <v>4</v>
      </c>
      <c r="BA29" s="414"/>
      <c r="BB29" s="414"/>
      <c r="BC29" s="414"/>
      <c r="BD29" s="415" t="s">
        <v>4</v>
      </c>
      <c r="BE29" s="414"/>
      <c r="BF29" s="414"/>
      <c r="BG29" s="414"/>
      <c r="BH29" s="413"/>
      <c r="BI29" s="414"/>
      <c r="BJ29" s="414"/>
      <c r="BK29" s="414"/>
      <c r="BL29" s="415"/>
      <c r="BM29" s="414"/>
      <c r="BN29" s="414"/>
      <c r="BO29" s="414"/>
      <c r="BP29" s="413"/>
      <c r="BQ29" s="414"/>
      <c r="BR29" s="414"/>
      <c r="BS29" s="414"/>
      <c r="BT29" s="415"/>
      <c r="BU29" s="414"/>
      <c r="BV29" s="414"/>
      <c r="BW29" s="414"/>
      <c r="BX29" s="196"/>
    </row>
    <row r="30" spans="1:76" ht="20.25" customHeight="1">
      <c r="A30" s="459"/>
      <c r="B30" s="194" t="s">
        <v>155</v>
      </c>
      <c r="C30" s="198"/>
      <c r="D30" s="344" t="s">
        <v>190</v>
      </c>
      <c r="E30" s="345"/>
      <c r="F30" s="345"/>
      <c r="G30" s="345"/>
      <c r="H30" s="345"/>
      <c r="I30" s="345"/>
      <c r="J30" s="250"/>
      <c r="K30" s="346" t="s">
        <v>213</v>
      </c>
      <c r="L30" s="346"/>
      <c r="M30" s="347"/>
      <c r="N30" s="408">
        <f>IF(N28="","",INDEX(PIPE_T,MATCH(N28,PIPE,0),MATCH(N29,SCH,0))*1000/25.4)</f>
        <v>7.9811023622047248</v>
      </c>
      <c r="O30" s="409"/>
      <c r="P30" s="409"/>
      <c r="Q30" s="409"/>
      <c r="R30" s="410">
        <f>IF(R28="","",INDEX(PIPE_T,MATCH(R28,PIPE,0),MATCH(R29,SCH,0))*1000/25.4)</f>
        <v>10.020078740157482</v>
      </c>
      <c r="S30" s="410"/>
      <c r="T30" s="410"/>
      <c r="U30" s="411"/>
      <c r="V30" s="412">
        <f>IF(V28="","",INDEX(PIPE_T,MATCH(V28,PIPE,0),MATCH(V29,SCH,0))*1000/25.4)</f>
        <v>7.9811023622047248</v>
      </c>
      <c r="W30" s="410"/>
      <c r="X30" s="410"/>
      <c r="Y30" s="410"/>
      <c r="Z30" s="410">
        <f>IF(Z28="","",INDEX(PIPE_T,MATCH(Z28,PIPE,0),MATCH(Z29,SCH,0))*1000/25.4)</f>
        <v>10.020078740157482</v>
      </c>
      <c r="AA30" s="410"/>
      <c r="AB30" s="410"/>
      <c r="AC30" s="411"/>
      <c r="AD30" s="412">
        <f>IF(AD28="","",INDEX(PIPE_T,MATCH(AD28,PIPE,0),MATCH(AD29,SCH,0))*1000/25.4)</f>
        <v>7.9811023622047248</v>
      </c>
      <c r="AE30" s="410"/>
      <c r="AF30" s="410"/>
      <c r="AG30" s="410"/>
      <c r="AH30" s="409">
        <f>IF(AH28="","",INDEX(PIPE_T,MATCH(AH28,PIPE,0),MATCH(AH29,SCH,0))*1000/25.4)</f>
        <v>10.020078740157482</v>
      </c>
      <c r="AI30" s="409"/>
      <c r="AJ30" s="409"/>
      <c r="AK30" s="409"/>
      <c r="AL30" s="196"/>
      <c r="AM30" s="459"/>
      <c r="AN30" s="194" t="s">
        <v>155</v>
      </c>
      <c r="AO30" s="198"/>
      <c r="AP30" s="344" t="s">
        <v>190</v>
      </c>
      <c r="AQ30" s="345"/>
      <c r="AR30" s="345"/>
      <c r="AS30" s="345"/>
      <c r="AT30" s="345"/>
      <c r="AU30" s="345"/>
      <c r="AV30" s="264"/>
      <c r="AW30" s="346" t="s">
        <v>213</v>
      </c>
      <c r="AX30" s="346"/>
      <c r="AY30" s="347"/>
      <c r="AZ30" s="408">
        <f>IF(AZ28="","",INDEX(PIPE_T,MATCH(AZ28,PIPE,0),MATCH(AZ29,SCH,0))*1000/25.4)</f>
        <v>7.9811023622047248</v>
      </c>
      <c r="BA30" s="409"/>
      <c r="BB30" s="409"/>
      <c r="BC30" s="409"/>
      <c r="BD30" s="410">
        <f>IF(BD28="","",INDEX(PIPE_T,MATCH(BD28,PIPE,0),MATCH(BD29,SCH,0))*1000/25.4)</f>
        <v>10.020078740157482</v>
      </c>
      <c r="BE30" s="410"/>
      <c r="BF30" s="410"/>
      <c r="BG30" s="411"/>
      <c r="BH30" s="412" t="str">
        <f>IF(BH28="","",INDEX(PIPE_T,MATCH(BH28,PIPE,0),MATCH(BH29,SCH,0))*1000/25.4)</f>
        <v/>
      </c>
      <c r="BI30" s="410"/>
      <c r="BJ30" s="410"/>
      <c r="BK30" s="410"/>
      <c r="BL30" s="410" t="str">
        <f>IF(BL28="","",INDEX(PIPE_T,MATCH(BL28,PIPE,0),MATCH(BL29,SCH,0))*1000/25.4)</f>
        <v/>
      </c>
      <c r="BM30" s="410"/>
      <c r="BN30" s="410"/>
      <c r="BO30" s="411"/>
      <c r="BP30" s="412" t="str">
        <f>IF(BP28="","",INDEX(PIPE_T,MATCH(BP28,PIPE,0),MATCH(BP29,SCH,0))*1000/25.4)</f>
        <v/>
      </c>
      <c r="BQ30" s="410"/>
      <c r="BR30" s="410"/>
      <c r="BS30" s="410"/>
      <c r="BT30" s="409" t="str">
        <f>IF(BT28="","",INDEX(PIPE_T,MATCH(BT28,PIPE,0),MATCH(BT29,SCH,0))*1000/25.4)</f>
        <v/>
      </c>
      <c r="BU30" s="409"/>
      <c r="BV30" s="409"/>
      <c r="BW30" s="409"/>
      <c r="BX30" s="196"/>
    </row>
    <row r="31" spans="1:76" ht="20.25" customHeight="1">
      <c r="A31" s="459"/>
      <c r="B31" s="194" t="s">
        <v>156</v>
      </c>
      <c r="C31" s="198"/>
      <c r="D31" s="344" t="s">
        <v>191</v>
      </c>
      <c r="E31" s="345"/>
      <c r="F31" s="345"/>
      <c r="G31" s="345"/>
      <c r="H31" s="345"/>
      <c r="I31" s="345"/>
      <c r="J31" s="250"/>
      <c r="K31" s="346" t="s">
        <v>213</v>
      </c>
      <c r="L31" s="346"/>
      <c r="M31" s="347"/>
      <c r="N31" s="408">
        <f>IF(N28="","",LOOKUP(N28,PIPE,PIPE_O))</f>
        <v>8.625</v>
      </c>
      <c r="O31" s="409"/>
      <c r="P31" s="409"/>
      <c r="Q31" s="409"/>
      <c r="R31" s="410">
        <f>IF(R28="","",LOOKUP(R28,PIPE,PIPE_O))</f>
        <v>10.75</v>
      </c>
      <c r="S31" s="410"/>
      <c r="T31" s="410"/>
      <c r="U31" s="411"/>
      <c r="V31" s="412">
        <f>IF(V28="","",LOOKUP(V28,PIPE,PIPE_O))</f>
        <v>8.625</v>
      </c>
      <c r="W31" s="410"/>
      <c r="X31" s="410"/>
      <c r="Y31" s="410"/>
      <c r="Z31" s="410">
        <f>IF(Z28="","",LOOKUP(Z28,PIPE,PIPE_O))</f>
        <v>10.75</v>
      </c>
      <c r="AA31" s="410"/>
      <c r="AB31" s="410"/>
      <c r="AC31" s="411"/>
      <c r="AD31" s="412">
        <f>IF(AD28="","",LOOKUP(AD28,PIPE,PIPE_O))</f>
        <v>8.625</v>
      </c>
      <c r="AE31" s="410"/>
      <c r="AF31" s="410"/>
      <c r="AG31" s="410"/>
      <c r="AH31" s="409">
        <f>IF(AH28="","",LOOKUP(AH28,PIPE,PIPE_O))</f>
        <v>10.75</v>
      </c>
      <c r="AI31" s="409"/>
      <c r="AJ31" s="409"/>
      <c r="AK31" s="409"/>
      <c r="AL31" s="196"/>
      <c r="AM31" s="459"/>
      <c r="AN31" s="194" t="s">
        <v>156</v>
      </c>
      <c r="AO31" s="198"/>
      <c r="AP31" s="344" t="s">
        <v>191</v>
      </c>
      <c r="AQ31" s="345"/>
      <c r="AR31" s="345"/>
      <c r="AS31" s="345"/>
      <c r="AT31" s="345"/>
      <c r="AU31" s="345"/>
      <c r="AV31" s="264"/>
      <c r="AW31" s="346" t="s">
        <v>213</v>
      </c>
      <c r="AX31" s="346"/>
      <c r="AY31" s="347"/>
      <c r="AZ31" s="408">
        <f>IF(AZ28="","",LOOKUP(AZ28,PIPE,PIPE_O))</f>
        <v>8.625</v>
      </c>
      <c r="BA31" s="409"/>
      <c r="BB31" s="409"/>
      <c r="BC31" s="409"/>
      <c r="BD31" s="410">
        <f>IF(BD28="","",LOOKUP(BD28,PIPE,PIPE_O))</f>
        <v>10.75</v>
      </c>
      <c r="BE31" s="410"/>
      <c r="BF31" s="410"/>
      <c r="BG31" s="411"/>
      <c r="BH31" s="412" t="str">
        <f>IF(BH28="","",LOOKUP(BH28,PIPE,PIPE_O))</f>
        <v/>
      </c>
      <c r="BI31" s="410"/>
      <c r="BJ31" s="410"/>
      <c r="BK31" s="410"/>
      <c r="BL31" s="410" t="str">
        <f>IF(BL28="","",LOOKUP(BL28,PIPE,PIPE_O))</f>
        <v/>
      </c>
      <c r="BM31" s="410"/>
      <c r="BN31" s="410"/>
      <c r="BO31" s="411"/>
      <c r="BP31" s="412" t="str">
        <f>IF(BP28="","",LOOKUP(BP28,PIPE,PIPE_O))</f>
        <v/>
      </c>
      <c r="BQ31" s="410"/>
      <c r="BR31" s="410"/>
      <c r="BS31" s="410"/>
      <c r="BT31" s="409" t="str">
        <f>IF(BT28="","",LOOKUP(BT28,PIPE,PIPE_O))</f>
        <v/>
      </c>
      <c r="BU31" s="409"/>
      <c r="BV31" s="409"/>
      <c r="BW31" s="409"/>
      <c r="BX31" s="196"/>
    </row>
    <row r="32" spans="1:76" ht="20.25" customHeight="1">
      <c r="A32" s="459"/>
      <c r="B32" s="194" t="s">
        <v>157</v>
      </c>
      <c r="C32" s="198"/>
      <c r="D32" s="344" t="s">
        <v>194</v>
      </c>
      <c r="E32" s="345"/>
      <c r="F32" s="345"/>
      <c r="G32" s="345"/>
      <c r="H32" s="345"/>
      <c r="I32" s="345"/>
      <c r="J32" s="250"/>
      <c r="K32" s="346" t="s">
        <v>214</v>
      </c>
      <c r="L32" s="346"/>
      <c r="M32" s="347"/>
      <c r="N32" s="373">
        <v>42</v>
      </c>
      <c r="O32" s="374"/>
      <c r="P32" s="374"/>
      <c r="Q32" s="374"/>
      <c r="R32" s="376">
        <v>80</v>
      </c>
      <c r="S32" s="374"/>
      <c r="T32" s="374"/>
      <c r="U32" s="374"/>
      <c r="V32" s="373">
        <v>42</v>
      </c>
      <c r="W32" s="374"/>
      <c r="X32" s="374"/>
      <c r="Y32" s="374"/>
      <c r="Z32" s="376">
        <v>80</v>
      </c>
      <c r="AA32" s="374"/>
      <c r="AB32" s="374"/>
      <c r="AC32" s="374"/>
      <c r="AD32" s="373">
        <v>42</v>
      </c>
      <c r="AE32" s="374"/>
      <c r="AF32" s="374"/>
      <c r="AG32" s="374"/>
      <c r="AH32" s="376">
        <v>80</v>
      </c>
      <c r="AI32" s="374"/>
      <c r="AJ32" s="374"/>
      <c r="AK32" s="374"/>
      <c r="AL32" s="196"/>
      <c r="AM32" s="459"/>
      <c r="AN32" s="194" t="s">
        <v>157</v>
      </c>
      <c r="AO32" s="198"/>
      <c r="AP32" s="344" t="s">
        <v>194</v>
      </c>
      <c r="AQ32" s="345"/>
      <c r="AR32" s="345"/>
      <c r="AS32" s="345"/>
      <c r="AT32" s="345"/>
      <c r="AU32" s="345"/>
      <c r="AV32" s="264"/>
      <c r="AW32" s="346" t="s">
        <v>214</v>
      </c>
      <c r="AX32" s="346"/>
      <c r="AY32" s="347"/>
      <c r="AZ32" s="373">
        <v>42</v>
      </c>
      <c r="BA32" s="374"/>
      <c r="BB32" s="374"/>
      <c r="BC32" s="374"/>
      <c r="BD32" s="376">
        <v>80</v>
      </c>
      <c r="BE32" s="374"/>
      <c r="BF32" s="374"/>
      <c r="BG32" s="374"/>
      <c r="BH32" s="373"/>
      <c r="BI32" s="374"/>
      <c r="BJ32" s="374"/>
      <c r="BK32" s="374"/>
      <c r="BL32" s="376"/>
      <c r="BM32" s="374"/>
      <c r="BN32" s="374"/>
      <c r="BO32" s="374"/>
      <c r="BP32" s="373"/>
      <c r="BQ32" s="374"/>
      <c r="BR32" s="374"/>
      <c r="BS32" s="374"/>
      <c r="BT32" s="376"/>
      <c r="BU32" s="374"/>
      <c r="BV32" s="374"/>
      <c r="BW32" s="374"/>
      <c r="BX32" s="196"/>
    </row>
    <row r="33" spans="1:76" ht="20.25" customHeight="1">
      <c r="A33" s="459"/>
      <c r="B33" s="194" t="s">
        <v>158</v>
      </c>
      <c r="C33" s="198"/>
      <c r="D33" s="344" t="s">
        <v>199</v>
      </c>
      <c r="E33" s="345"/>
      <c r="F33" s="345"/>
      <c r="G33" s="345"/>
      <c r="H33" s="345"/>
      <c r="I33" s="345"/>
      <c r="J33" s="250"/>
      <c r="K33" s="346"/>
      <c r="L33" s="346"/>
      <c r="M33" s="347"/>
      <c r="N33" s="373" t="s">
        <v>201</v>
      </c>
      <c r="O33" s="374"/>
      <c r="P33" s="374"/>
      <c r="Q33" s="374"/>
      <c r="R33" s="376" t="s">
        <v>201</v>
      </c>
      <c r="S33" s="374"/>
      <c r="T33" s="374"/>
      <c r="U33" s="374"/>
      <c r="V33" s="373" t="s">
        <v>201</v>
      </c>
      <c r="W33" s="374"/>
      <c r="X33" s="374"/>
      <c r="Y33" s="374"/>
      <c r="Z33" s="376" t="s">
        <v>201</v>
      </c>
      <c r="AA33" s="374"/>
      <c r="AB33" s="374"/>
      <c r="AC33" s="374"/>
      <c r="AD33" s="373" t="s">
        <v>201</v>
      </c>
      <c r="AE33" s="374"/>
      <c r="AF33" s="374"/>
      <c r="AG33" s="374"/>
      <c r="AH33" s="376" t="s">
        <v>201</v>
      </c>
      <c r="AI33" s="374"/>
      <c r="AJ33" s="374"/>
      <c r="AK33" s="374"/>
      <c r="AL33" s="196"/>
      <c r="AM33" s="459"/>
      <c r="AN33" s="194" t="s">
        <v>158</v>
      </c>
      <c r="AO33" s="198"/>
      <c r="AP33" s="344" t="s">
        <v>199</v>
      </c>
      <c r="AQ33" s="345"/>
      <c r="AR33" s="345"/>
      <c r="AS33" s="345"/>
      <c r="AT33" s="345"/>
      <c r="AU33" s="345"/>
      <c r="AV33" s="264"/>
      <c r="AW33" s="346"/>
      <c r="AX33" s="346"/>
      <c r="AY33" s="347"/>
      <c r="AZ33" s="373" t="s">
        <v>201</v>
      </c>
      <c r="BA33" s="374"/>
      <c r="BB33" s="374"/>
      <c r="BC33" s="374"/>
      <c r="BD33" s="376" t="s">
        <v>201</v>
      </c>
      <c r="BE33" s="374"/>
      <c r="BF33" s="374"/>
      <c r="BG33" s="374"/>
      <c r="BH33" s="373"/>
      <c r="BI33" s="374"/>
      <c r="BJ33" s="374"/>
      <c r="BK33" s="374"/>
      <c r="BL33" s="376"/>
      <c r="BM33" s="374"/>
      <c r="BN33" s="374"/>
      <c r="BO33" s="374"/>
      <c r="BP33" s="373"/>
      <c r="BQ33" s="374"/>
      <c r="BR33" s="374"/>
      <c r="BS33" s="374"/>
      <c r="BT33" s="376"/>
      <c r="BU33" s="374"/>
      <c r="BV33" s="374"/>
      <c r="BW33" s="374"/>
      <c r="BX33" s="196"/>
    </row>
    <row r="34" spans="1:76" ht="20.25" customHeight="1">
      <c r="A34" s="459"/>
      <c r="B34" s="194" t="s">
        <v>282</v>
      </c>
      <c r="C34" s="198"/>
      <c r="D34" s="344" t="s">
        <v>217</v>
      </c>
      <c r="E34" s="345"/>
      <c r="F34" s="345"/>
      <c r="G34" s="345"/>
      <c r="H34" s="345"/>
      <c r="I34" s="345"/>
      <c r="J34" s="250"/>
      <c r="K34" s="346"/>
      <c r="L34" s="346"/>
      <c r="M34" s="347"/>
      <c r="N34" s="405" t="s">
        <v>206</v>
      </c>
      <c r="O34" s="406"/>
      <c r="P34" s="406"/>
      <c r="Q34" s="406"/>
      <c r="R34" s="407" t="s">
        <v>206</v>
      </c>
      <c r="S34" s="406"/>
      <c r="T34" s="406"/>
      <c r="U34" s="406"/>
      <c r="V34" s="405" t="s">
        <v>206</v>
      </c>
      <c r="W34" s="406"/>
      <c r="X34" s="406"/>
      <c r="Y34" s="406"/>
      <c r="Z34" s="407" t="s">
        <v>206</v>
      </c>
      <c r="AA34" s="406"/>
      <c r="AB34" s="406"/>
      <c r="AC34" s="406"/>
      <c r="AD34" s="405" t="s">
        <v>206</v>
      </c>
      <c r="AE34" s="406"/>
      <c r="AF34" s="406"/>
      <c r="AG34" s="406"/>
      <c r="AH34" s="407" t="s">
        <v>206</v>
      </c>
      <c r="AI34" s="406"/>
      <c r="AJ34" s="406"/>
      <c r="AK34" s="406"/>
      <c r="AL34" s="196"/>
      <c r="AM34" s="459"/>
      <c r="AN34" s="194" t="s">
        <v>282</v>
      </c>
      <c r="AO34" s="198"/>
      <c r="AP34" s="344" t="s">
        <v>217</v>
      </c>
      <c r="AQ34" s="345"/>
      <c r="AR34" s="345"/>
      <c r="AS34" s="345"/>
      <c r="AT34" s="345"/>
      <c r="AU34" s="345"/>
      <c r="AV34" s="264"/>
      <c r="AW34" s="346"/>
      <c r="AX34" s="346"/>
      <c r="AY34" s="347"/>
      <c r="AZ34" s="405" t="s">
        <v>206</v>
      </c>
      <c r="BA34" s="406"/>
      <c r="BB34" s="406"/>
      <c r="BC34" s="406"/>
      <c r="BD34" s="407" t="s">
        <v>206</v>
      </c>
      <c r="BE34" s="406"/>
      <c r="BF34" s="406"/>
      <c r="BG34" s="406"/>
      <c r="BH34" s="405"/>
      <c r="BI34" s="406"/>
      <c r="BJ34" s="406"/>
      <c r="BK34" s="406"/>
      <c r="BL34" s="407"/>
      <c r="BM34" s="406"/>
      <c r="BN34" s="406"/>
      <c r="BO34" s="406"/>
      <c r="BP34" s="405"/>
      <c r="BQ34" s="406"/>
      <c r="BR34" s="406"/>
      <c r="BS34" s="406"/>
      <c r="BT34" s="407"/>
      <c r="BU34" s="406"/>
      <c r="BV34" s="406"/>
      <c r="BW34" s="406"/>
      <c r="BX34" s="196"/>
    </row>
    <row r="35" spans="1:76" ht="20.25" customHeight="1">
      <c r="A35" s="459"/>
      <c r="B35" s="194" t="s">
        <v>159</v>
      </c>
      <c r="C35" s="198"/>
      <c r="D35" s="344" t="s">
        <v>200</v>
      </c>
      <c r="E35" s="345"/>
      <c r="F35" s="345"/>
      <c r="G35" s="345"/>
      <c r="H35" s="345"/>
      <c r="I35" s="345"/>
      <c r="J35" s="250"/>
      <c r="K35" s="199"/>
      <c r="L35" s="213"/>
      <c r="M35" s="213"/>
      <c r="N35" s="405" t="s">
        <v>202</v>
      </c>
      <c r="O35" s="406"/>
      <c r="P35" s="406"/>
      <c r="Q35" s="406"/>
      <c r="R35" s="407" t="s">
        <v>202</v>
      </c>
      <c r="S35" s="406"/>
      <c r="T35" s="406"/>
      <c r="U35" s="406"/>
      <c r="V35" s="405" t="s">
        <v>202</v>
      </c>
      <c r="W35" s="406"/>
      <c r="X35" s="406"/>
      <c r="Y35" s="406"/>
      <c r="Z35" s="407" t="s">
        <v>202</v>
      </c>
      <c r="AA35" s="406"/>
      <c r="AB35" s="406"/>
      <c r="AC35" s="406"/>
      <c r="AD35" s="405" t="s">
        <v>202</v>
      </c>
      <c r="AE35" s="406"/>
      <c r="AF35" s="406"/>
      <c r="AG35" s="406"/>
      <c r="AH35" s="407" t="s">
        <v>202</v>
      </c>
      <c r="AI35" s="406"/>
      <c r="AJ35" s="406"/>
      <c r="AK35" s="406"/>
      <c r="AL35" s="196"/>
      <c r="AM35" s="459"/>
      <c r="AN35" s="194" t="s">
        <v>159</v>
      </c>
      <c r="AO35" s="198"/>
      <c r="AP35" s="344" t="s">
        <v>200</v>
      </c>
      <c r="AQ35" s="345"/>
      <c r="AR35" s="345"/>
      <c r="AS35" s="345"/>
      <c r="AT35" s="345"/>
      <c r="AU35" s="345"/>
      <c r="AV35" s="264"/>
      <c r="AW35" s="199"/>
      <c r="AX35" s="264"/>
      <c r="AY35" s="264"/>
      <c r="AZ35" s="405" t="s">
        <v>202</v>
      </c>
      <c r="BA35" s="406"/>
      <c r="BB35" s="406"/>
      <c r="BC35" s="406"/>
      <c r="BD35" s="407" t="s">
        <v>202</v>
      </c>
      <c r="BE35" s="406"/>
      <c r="BF35" s="406"/>
      <c r="BG35" s="406"/>
      <c r="BH35" s="405"/>
      <c r="BI35" s="406"/>
      <c r="BJ35" s="406"/>
      <c r="BK35" s="406"/>
      <c r="BL35" s="407"/>
      <c r="BM35" s="406"/>
      <c r="BN35" s="406"/>
      <c r="BO35" s="406"/>
      <c r="BP35" s="405"/>
      <c r="BQ35" s="406"/>
      <c r="BR35" s="406"/>
      <c r="BS35" s="406"/>
      <c r="BT35" s="407"/>
      <c r="BU35" s="406"/>
      <c r="BV35" s="406"/>
      <c r="BW35" s="406"/>
      <c r="BX35" s="196"/>
    </row>
    <row r="36" spans="1:76" ht="20.25" customHeight="1">
      <c r="A36" s="459"/>
      <c r="B36" s="194" t="s">
        <v>283</v>
      </c>
      <c r="C36" s="198"/>
      <c r="D36" s="344" t="s">
        <v>226</v>
      </c>
      <c r="E36" s="345"/>
      <c r="F36" s="345"/>
      <c r="G36" s="345"/>
      <c r="H36" s="345"/>
      <c r="I36" s="345"/>
      <c r="J36" s="227"/>
      <c r="K36" s="232"/>
      <c r="L36" s="227"/>
      <c r="M36" s="227"/>
      <c r="N36" s="405" t="s">
        <v>308</v>
      </c>
      <c r="O36" s="406"/>
      <c r="P36" s="406"/>
      <c r="Q36" s="406"/>
      <c r="R36" s="407" t="s">
        <v>311</v>
      </c>
      <c r="S36" s="406"/>
      <c r="T36" s="406"/>
      <c r="U36" s="406"/>
      <c r="V36" s="405" t="s">
        <v>308</v>
      </c>
      <c r="W36" s="406"/>
      <c r="X36" s="406"/>
      <c r="Y36" s="406"/>
      <c r="Z36" s="407" t="s">
        <v>311</v>
      </c>
      <c r="AA36" s="406"/>
      <c r="AB36" s="406"/>
      <c r="AC36" s="406"/>
      <c r="AD36" s="405" t="s">
        <v>308</v>
      </c>
      <c r="AE36" s="406"/>
      <c r="AF36" s="406"/>
      <c r="AG36" s="406"/>
      <c r="AH36" s="407" t="s">
        <v>311</v>
      </c>
      <c r="AI36" s="406"/>
      <c r="AJ36" s="406"/>
      <c r="AK36" s="406"/>
      <c r="AL36" s="196"/>
      <c r="AM36" s="459"/>
      <c r="AN36" s="194" t="s">
        <v>283</v>
      </c>
      <c r="AO36" s="198"/>
      <c r="AP36" s="344" t="s">
        <v>226</v>
      </c>
      <c r="AQ36" s="345"/>
      <c r="AR36" s="345"/>
      <c r="AS36" s="345"/>
      <c r="AT36" s="345"/>
      <c r="AU36" s="345"/>
      <c r="AV36" s="227"/>
      <c r="AW36" s="232"/>
      <c r="AX36" s="227"/>
      <c r="AY36" s="227"/>
      <c r="AZ36" s="405" t="s">
        <v>308</v>
      </c>
      <c r="BA36" s="406"/>
      <c r="BB36" s="406"/>
      <c r="BC36" s="406"/>
      <c r="BD36" s="407" t="s">
        <v>311</v>
      </c>
      <c r="BE36" s="406"/>
      <c r="BF36" s="406"/>
      <c r="BG36" s="406"/>
      <c r="BH36" s="405"/>
      <c r="BI36" s="406"/>
      <c r="BJ36" s="406"/>
      <c r="BK36" s="406"/>
      <c r="BL36" s="407"/>
      <c r="BM36" s="406"/>
      <c r="BN36" s="406"/>
      <c r="BO36" s="406"/>
      <c r="BP36" s="405"/>
      <c r="BQ36" s="406"/>
      <c r="BR36" s="406"/>
      <c r="BS36" s="406"/>
      <c r="BT36" s="407"/>
      <c r="BU36" s="406"/>
      <c r="BV36" s="406"/>
      <c r="BW36" s="406"/>
      <c r="BX36" s="196"/>
    </row>
    <row r="37" spans="1:76" ht="20.25" customHeight="1">
      <c r="A37" s="459"/>
      <c r="B37" s="194" t="s">
        <v>160</v>
      </c>
      <c r="C37" s="198"/>
      <c r="D37" s="395" t="s">
        <v>304</v>
      </c>
      <c r="E37" s="396"/>
      <c r="F37" s="396"/>
      <c r="G37" s="396"/>
      <c r="H37" s="396"/>
      <c r="I37" s="396"/>
      <c r="J37" s="259"/>
      <c r="K37" s="346" t="s">
        <v>213</v>
      </c>
      <c r="L37" s="346"/>
      <c r="M37" s="347"/>
      <c r="N37" s="373"/>
      <c r="O37" s="374"/>
      <c r="P37" s="374"/>
      <c r="Q37" s="374"/>
      <c r="R37" s="376">
        <v>2</v>
      </c>
      <c r="S37" s="374"/>
      <c r="T37" s="374"/>
      <c r="U37" s="374"/>
      <c r="V37" s="373"/>
      <c r="W37" s="374"/>
      <c r="X37" s="374"/>
      <c r="Y37" s="374"/>
      <c r="Z37" s="376">
        <v>2</v>
      </c>
      <c r="AA37" s="374"/>
      <c r="AB37" s="374"/>
      <c r="AC37" s="374"/>
      <c r="AD37" s="373"/>
      <c r="AE37" s="374"/>
      <c r="AF37" s="374"/>
      <c r="AG37" s="374"/>
      <c r="AH37" s="376">
        <v>2</v>
      </c>
      <c r="AI37" s="374"/>
      <c r="AJ37" s="374"/>
      <c r="AK37" s="374"/>
      <c r="AL37" s="196"/>
      <c r="AM37" s="459"/>
      <c r="AN37" s="194" t="s">
        <v>160</v>
      </c>
      <c r="AO37" s="198"/>
      <c r="AP37" s="395" t="s">
        <v>304</v>
      </c>
      <c r="AQ37" s="396"/>
      <c r="AR37" s="396"/>
      <c r="AS37" s="396"/>
      <c r="AT37" s="396"/>
      <c r="AU37" s="396"/>
      <c r="AV37" s="275"/>
      <c r="AW37" s="346" t="s">
        <v>213</v>
      </c>
      <c r="AX37" s="346"/>
      <c r="AY37" s="347"/>
      <c r="AZ37" s="373"/>
      <c r="BA37" s="374"/>
      <c r="BB37" s="374"/>
      <c r="BC37" s="374"/>
      <c r="BD37" s="376">
        <v>2</v>
      </c>
      <c r="BE37" s="374"/>
      <c r="BF37" s="374"/>
      <c r="BG37" s="374"/>
      <c r="BH37" s="373"/>
      <c r="BI37" s="374"/>
      <c r="BJ37" s="374"/>
      <c r="BK37" s="374"/>
      <c r="BL37" s="376"/>
      <c r="BM37" s="374"/>
      <c r="BN37" s="374"/>
      <c r="BO37" s="374"/>
      <c r="BP37" s="373"/>
      <c r="BQ37" s="374"/>
      <c r="BR37" s="374"/>
      <c r="BS37" s="374"/>
      <c r="BT37" s="376"/>
      <c r="BU37" s="374"/>
      <c r="BV37" s="374"/>
      <c r="BW37" s="374"/>
      <c r="BX37" s="196"/>
    </row>
    <row r="38" spans="1:76" ht="20.25" customHeight="1">
      <c r="A38" s="459"/>
      <c r="B38" s="194" t="s">
        <v>284</v>
      </c>
      <c r="C38" s="198"/>
      <c r="D38" s="395" t="s">
        <v>303</v>
      </c>
      <c r="E38" s="396"/>
      <c r="F38" s="396"/>
      <c r="G38" s="396"/>
      <c r="H38" s="396"/>
      <c r="I38" s="396"/>
      <c r="J38" s="259"/>
      <c r="K38" s="346" t="s">
        <v>213</v>
      </c>
      <c r="L38" s="346"/>
      <c r="M38" s="347"/>
      <c r="N38" s="397" t="str">
        <f>IF(N37="","",N31+2*N37)</f>
        <v/>
      </c>
      <c r="O38" s="398"/>
      <c r="P38" s="398"/>
      <c r="Q38" s="398"/>
      <c r="R38" s="399">
        <f t="shared" ref="R38" si="8">IF(R37="","",R31+2*R37)</f>
        <v>14.75</v>
      </c>
      <c r="S38" s="399"/>
      <c r="T38" s="399"/>
      <c r="U38" s="400"/>
      <c r="V38" s="401" t="str">
        <f t="shared" ref="V38" si="9">IF(V37="","",V31+2*V37)</f>
        <v/>
      </c>
      <c r="W38" s="399"/>
      <c r="X38" s="399"/>
      <c r="Y38" s="399"/>
      <c r="Z38" s="399">
        <f t="shared" ref="Z38" si="10">IF(Z37="","",Z31+2*Z37)</f>
        <v>14.75</v>
      </c>
      <c r="AA38" s="399"/>
      <c r="AB38" s="399"/>
      <c r="AC38" s="402"/>
      <c r="AD38" s="403" t="str">
        <f t="shared" ref="AD38" si="11">IF(AD37="","",AD31+2*AD37)</f>
        <v/>
      </c>
      <c r="AE38" s="399"/>
      <c r="AF38" s="399"/>
      <c r="AG38" s="399"/>
      <c r="AH38" s="398">
        <f t="shared" ref="AH38" si="12">IF(AH37="","",AH31+2*AH37)</f>
        <v>14.75</v>
      </c>
      <c r="AI38" s="398"/>
      <c r="AJ38" s="398"/>
      <c r="AK38" s="404"/>
      <c r="AL38" s="196"/>
      <c r="AM38" s="459"/>
      <c r="AN38" s="194" t="s">
        <v>284</v>
      </c>
      <c r="AO38" s="198"/>
      <c r="AP38" s="395" t="s">
        <v>303</v>
      </c>
      <c r="AQ38" s="396"/>
      <c r="AR38" s="396"/>
      <c r="AS38" s="396"/>
      <c r="AT38" s="396"/>
      <c r="AU38" s="396"/>
      <c r="AV38" s="275"/>
      <c r="AW38" s="346" t="s">
        <v>213</v>
      </c>
      <c r="AX38" s="346"/>
      <c r="AY38" s="347"/>
      <c r="AZ38" s="397" t="str">
        <f>IF(AZ37="","",AZ31+2*AZ37)</f>
        <v/>
      </c>
      <c r="BA38" s="398"/>
      <c r="BB38" s="398"/>
      <c r="BC38" s="398"/>
      <c r="BD38" s="399">
        <f t="shared" ref="BD38" si="13">IF(BD37="","",BD31+2*BD37)</f>
        <v>14.75</v>
      </c>
      <c r="BE38" s="399"/>
      <c r="BF38" s="399"/>
      <c r="BG38" s="400"/>
      <c r="BH38" s="401" t="str">
        <f t="shared" ref="BH38" si="14">IF(BH37="","",BH31+2*BH37)</f>
        <v/>
      </c>
      <c r="BI38" s="399"/>
      <c r="BJ38" s="399"/>
      <c r="BK38" s="399"/>
      <c r="BL38" s="399" t="str">
        <f t="shared" ref="BL38" si="15">IF(BL37="","",BL31+2*BL37)</f>
        <v/>
      </c>
      <c r="BM38" s="399"/>
      <c r="BN38" s="399"/>
      <c r="BO38" s="402"/>
      <c r="BP38" s="403" t="str">
        <f t="shared" ref="BP38" si="16">IF(BP37="","",BP31+2*BP37)</f>
        <v/>
      </c>
      <c r="BQ38" s="399"/>
      <c r="BR38" s="399"/>
      <c r="BS38" s="399"/>
      <c r="BT38" s="398" t="str">
        <f t="shared" ref="BT38" si="17">IF(BT37="","",BT31+2*BT37)</f>
        <v/>
      </c>
      <c r="BU38" s="398"/>
      <c r="BV38" s="398"/>
      <c r="BW38" s="404"/>
      <c r="BX38" s="196"/>
    </row>
    <row r="39" spans="1:76" ht="20.25" customHeight="1">
      <c r="A39" s="459"/>
      <c r="B39" s="194" t="s">
        <v>161</v>
      </c>
      <c r="C39" s="198"/>
      <c r="D39" s="362" t="s">
        <v>307</v>
      </c>
      <c r="E39" s="363"/>
      <c r="F39" s="363"/>
      <c r="G39" s="363"/>
      <c r="H39" s="363"/>
      <c r="I39" s="363"/>
      <c r="J39" s="253"/>
      <c r="K39" s="364"/>
      <c r="L39" s="364"/>
      <c r="M39" s="364"/>
      <c r="N39" s="365"/>
      <c r="O39" s="365"/>
      <c r="P39" s="365"/>
      <c r="Q39" s="365"/>
      <c r="R39" s="365"/>
      <c r="S39" s="365"/>
      <c r="T39" s="365"/>
      <c r="U39" s="365"/>
      <c r="V39" s="366"/>
      <c r="W39" s="365"/>
      <c r="X39" s="365"/>
      <c r="Y39" s="365"/>
      <c r="Z39" s="365"/>
      <c r="AA39" s="365"/>
      <c r="AB39" s="365"/>
      <c r="AC39" s="367"/>
      <c r="AD39" s="365"/>
      <c r="AE39" s="365"/>
      <c r="AF39" s="365"/>
      <c r="AG39" s="365"/>
      <c r="AH39" s="365"/>
      <c r="AI39" s="365"/>
      <c r="AJ39" s="365"/>
      <c r="AK39" s="368"/>
      <c r="AL39" s="196"/>
      <c r="AM39" s="459"/>
      <c r="AN39" s="194" t="s">
        <v>161</v>
      </c>
      <c r="AO39" s="198"/>
      <c r="AP39" s="362" t="s">
        <v>307</v>
      </c>
      <c r="AQ39" s="363"/>
      <c r="AR39" s="363"/>
      <c r="AS39" s="363"/>
      <c r="AT39" s="363"/>
      <c r="AU39" s="363"/>
      <c r="AV39" s="273"/>
      <c r="AW39" s="364"/>
      <c r="AX39" s="364"/>
      <c r="AY39" s="364"/>
      <c r="AZ39" s="365"/>
      <c r="BA39" s="365"/>
      <c r="BB39" s="365"/>
      <c r="BC39" s="365"/>
      <c r="BD39" s="365"/>
      <c r="BE39" s="365"/>
      <c r="BF39" s="365"/>
      <c r="BG39" s="365"/>
      <c r="BH39" s="366"/>
      <c r="BI39" s="365"/>
      <c r="BJ39" s="365"/>
      <c r="BK39" s="365"/>
      <c r="BL39" s="365"/>
      <c r="BM39" s="365"/>
      <c r="BN39" s="365"/>
      <c r="BO39" s="367"/>
      <c r="BP39" s="365"/>
      <c r="BQ39" s="365"/>
      <c r="BR39" s="365"/>
      <c r="BS39" s="365"/>
      <c r="BT39" s="365"/>
      <c r="BU39" s="365"/>
      <c r="BV39" s="365"/>
      <c r="BW39" s="368"/>
      <c r="BX39" s="196"/>
    </row>
    <row r="40" spans="1:76" ht="20.25" customHeight="1">
      <c r="A40" s="459"/>
      <c r="B40" s="194" t="s">
        <v>162</v>
      </c>
      <c r="C40" s="198"/>
      <c r="D40" s="243" t="s">
        <v>262</v>
      </c>
      <c r="E40" s="244"/>
      <c r="F40" s="244"/>
      <c r="G40" s="244"/>
      <c r="H40" s="244"/>
      <c r="I40" s="244"/>
      <c r="J40" s="244"/>
      <c r="K40" s="245"/>
      <c r="L40" s="245"/>
      <c r="M40" s="245"/>
      <c r="N40" s="246"/>
      <c r="O40" s="246"/>
      <c r="P40" s="246"/>
      <c r="Q40" s="246"/>
      <c r="R40" s="246"/>
      <c r="S40" s="246"/>
      <c r="T40" s="246"/>
      <c r="U40" s="246"/>
      <c r="V40" s="280"/>
      <c r="W40" s="246"/>
      <c r="X40" s="246"/>
      <c r="Y40" s="246"/>
      <c r="Z40" s="246"/>
      <c r="AA40" s="246"/>
      <c r="AB40" s="246"/>
      <c r="AC40" s="281"/>
      <c r="AD40" s="246"/>
      <c r="AE40" s="246"/>
      <c r="AF40" s="246"/>
      <c r="AG40" s="246"/>
      <c r="AH40" s="246"/>
      <c r="AI40" s="246"/>
      <c r="AJ40" s="246"/>
      <c r="AK40" s="246"/>
      <c r="AL40" s="196"/>
      <c r="AM40" s="459"/>
      <c r="AN40" s="194" t="s">
        <v>162</v>
      </c>
      <c r="AO40" s="198"/>
      <c r="AP40" s="243" t="s">
        <v>262</v>
      </c>
      <c r="AQ40" s="244"/>
      <c r="AR40" s="244"/>
      <c r="AS40" s="244"/>
      <c r="AT40" s="244"/>
      <c r="AU40" s="244"/>
      <c r="AV40" s="244"/>
      <c r="AW40" s="245"/>
      <c r="AX40" s="245"/>
      <c r="AY40" s="245"/>
      <c r="AZ40" s="246"/>
      <c r="BA40" s="246"/>
      <c r="BB40" s="246"/>
      <c r="BC40" s="246"/>
      <c r="BD40" s="246"/>
      <c r="BE40" s="246"/>
      <c r="BF40" s="246"/>
      <c r="BG40" s="246"/>
      <c r="BH40" s="280"/>
      <c r="BI40" s="246"/>
      <c r="BJ40" s="246"/>
      <c r="BK40" s="246"/>
      <c r="BL40" s="246"/>
      <c r="BM40" s="246"/>
      <c r="BN40" s="246"/>
      <c r="BO40" s="281"/>
      <c r="BP40" s="246"/>
      <c r="BQ40" s="246"/>
      <c r="BR40" s="246"/>
      <c r="BS40" s="246"/>
      <c r="BT40" s="246"/>
      <c r="BU40" s="246"/>
      <c r="BV40" s="246"/>
      <c r="BW40" s="246"/>
      <c r="BX40" s="196"/>
    </row>
    <row r="41" spans="1:76" ht="20.25" customHeight="1">
      <c r="A41" s="459"/>
      <c r="B41" s="194" t="s">
        <v>285</v>
      </c>
      <c r="C41" s="198"/>
      <c r="D41" s="344" t="s">
        <v>224</v>
      </c>
      <c r="E41" s="345"/>
      <c r="F41" s="345"/>
      <c r="G41" s="345"/>
      <c r="H41" s="345"/>
      <c r="I41" s="345"/>
      <c r="J41" s="250"/>
      <c r="K41" s="346"/>
      <c r="L41" s="346"/>
      <c r="M41" s="347"/>
      <c r="N41" s="385">
        <f>IF(OR(N27="BARE",N27="BURIED"),IF(N33="","",IF(N33="HORIZONTAL",1.016,1.235)),"")</f>
        <v>1.016</v>
      </c>
      <c r="O41" s="386"/>
      <c r="P41" s="386"/>
      <c r="Q41" s="386"/>
      <c r="R41" s="387">
        <f t="shared" ref="R41" si="18">IF(OR(R27="BARE",R27="BURIED"),IF(R33="","",IF(R33="HORIZONTAL",1.016,1.235)),"")</f>
        <v>1.016</v>
      </c>
      <c r="S41" s="387"/>
      <c r="T41" s="387"/>
      <c r="U41" s="388"/>
      <c r="V41" s="385">
        <f>IF(OR(V27="BARE",V27="BURIED"),IF(V33="","",IF(V33="HORIZONTAL",1.016,1.235)),"")</f>
        <v>1.016</v>
      </c>
      <c r="W41" s="386"/>
      <c r="X41" s="386"/>
      <c r="Y41" s="386"/>
      <c r="Z41" s="387">
        <f t="shared" ref="Z41" si="19">IF(OR(Z27="BARE",Z27="BURIED"),IF(Z33="","",IF(Z33="HORIZONTAL",1.016,1.235)),"")</f>
        <v>1.016</v>
      </c>
      <c r="AA41" s="387"/>
      <c r="AB41" s="387"/>
      <c r="AC41" s="388"/>
      <c r="AD41" s="389">
        <f t="shared" ref="AD41" si="20">IF(OR(AD27="BARE",AD27="BURIED"),IF(AD33="","",IF(AD33="HORIZONTAL",1.016,1.235)),"")</f>
        <v>1.016</v>
      </c>
      <c r="AE41" s="387"/>
      <c r="AF41" s="387"/>
      <c r="AG41" s="387"/>
      <c r="AH41" s="386">
        <f t="shared" ref="AH41" si="21">IF(OR(AH27="BARE",AH27="BURIED"),IF(AH33="","",IF(AH33="HORIZONTAL",1.016,1.235)),"")</f>
        <v>1.016</v>
      </c>
      <c r="AI41" s="386"/>
      <c r="AJ41" s="386"/>
      <c r="AK41" s="386"/>
      <c r="AL41" s="196"/>
      <c r="AM41" s="459"/>
      <c r="AN41" s="194" t="s">
        <v>285</v>
      </c>
      <c r="AO41" s="198"/>
      <c r="AP41" s="344" t="s">
        <v>224</v>
      </c>
      <c r="AQ41" s="345"/>
      <c r="AR41" s="345"/>
      <c r="AS41" s="345"/>
      <c r="AT41" s="345"/>
      <c r="AU41" s="345"/>
      <c r="AV41" s="264"/>
      <c r="AW41" s="346"/>
      <c r="AX41" s="346"/>
      <c r="AY41" s="347"/>
      <c r="AZ41" s="385">
        <f>IF(OR(AZ27="BARE",AZ27="BURIED"),IF(AZ33="","",IF(AZ33="HORIZONTAL",1.016,1.235)),"")</f>
        <v>1.016</v>
      </c>
      <c r="BA41" s="386"/>
      <c r="BB41" s="386"/>
      <c r="BC41" s="386"/>
      <c r="BD41" s="387">
        <f t="shared" ref="BD41" si="22">IF(OR(BD27="BARE",BD27="BURIED"),IF(BD33="","",IF(BD33="HORIZONTAL",1.016,1.235)),"")</f>
        <v>1.016</v>
      </c>
      <c r="BE41" s="387"/>
      <c r="BF41" s="387"/>
      <c r="BG41" s="388"/>
      <c r="BH41" s="385" t="str">
        <f>IF(OR(BH27="BARE",BH27="BURIED"),IF(BH33="","",IF(BH33="HORIZONTAL",1.016,1.235)),"")</f>
        <v/>
      </c>
      <c r="BI41" s="386"/>
      <c r="BJ41" s="386"/>
      <c r="BK41" s="386"/>
      <c r="BL41" s="387" t="str">
        <f t="shared" ref="BL41" si="23">IF(OR(BL27="BARE",BL27="BURIED"),IF(BL33="","",IF(BL33="HORIZONTAL",1.016,1.235)),"")</f>
        <v/>
      </c>
      <c r="BM41" s="387"/>
      <c r="BN41" s="387"/>
      <c r="BO41" s="388"/>
      <c r="BP41" s="389" t="str">
        <f t="shared" ref="BP41" si="24">IF(OR(BP27="BARE",BP27="BURIED"),IF(BP33="","",IF(BP33="HORIZONTAL",1.016,1.235)),"")</f>
        <v/>
      </c>
      <c r="BQ41" s="387"/>
      <c r="BR41" s="387"/>
      <c r="BS41" s="387"/>
      <c r="BT41" s="386" t="str">
        <f t="shared" ref="BT41" si="25">IF(OR(BT27="BARE",BT27="BURIED"),IF(BT33="","",IF(BT33="HORIZONTAL",1.016,1.235)),"")</f>
        <v/>
      </c>
      <c r="BU41" s="386"/>
      <c r="BV41" s="386"/>
      <c r="BW41" s="386"/>
      <c r="BX41" s="196"/>
    </row>
    <row r="42" spans="1:76" ht="20.25" customHeight="1">
      <c r="A42" s="459"/>
      <c r="B42" s="194" t="s">
        <v>286</v>
      </c>
      <c r="C42" s="198"/>
      <c r="D42" s="344" t="s">
        <v>225</v>
      </c>
      <c r="E42" s="345"/>
      <c r="F42" s="345"/>
      <c r="G42" s="345"/>
      <c r="H42" s="345"/>
      <c r="I42" s="345"/>
      <c r="J42" s="250"/>
      <c r="K42" s="225"/>
      <c r="L42" s="225"/>
      <c r="M42" s="226"/>
      <c r="N42" s="348">
        <f>IF(OR(N27="BARE",N27="BURIED"),IF(N41="","",VLOOKUP(N35,EM_1,3,0)),"")</f>
        <v>0.8</v>
      </c>
      <c r="O42" s="349"/>
      <c r="P42" s="349"/>
      <c r="Q42" s="349"/>
      <c r="R42" s="370">
        <f>IF(OR(R27="BARE",R27="BURIED"),IF(R41="","",VLOOKUP(R35,EM_1,3,0)),"")</f>
        <v>0.8</v>
      </c>
      <c r="S42" s="370"/>
      <c r="T42" s="370"/>
      <c r="U42" s="355"/>
      <c r="V42" s="348">
        <f>IF(OR(V27="BARE",V27="BURIED"),IF(V41="","",VLOOKUP(V35,EM_1,3,0)),"")</f>
        <v>0.8</v>
      </c>
      <c r="W42" s="349"/>
      <c r="X42" s="349"/>
      <c r="Y42" s="349"/>
      <c r="Z42" s="370">
        <f>IF(OR(Z27="BARE",Z27="BURIED"),IF(Z41="","",VLOOKUP(Z35,EM_1,3,0)),"")</f>
        <v>0.8</v>
      </c>
      <c r="AA42" s="370"/>
      <c r="AB42" s="370"/>
      <c r="AC42" s="355"/>
      <c r="AD42" s="371">
        <f>IF(OR(AD27="BARE",AD27="BURIED"),IF(AD41="","",VLOOKUP(AD35,EM_1,3,0)),"")</f>
        <v>0.8</v>
      </c>
      <c r="AE42" s="370"/>
      <c r="AF42" s="370"/>
      <c r="AG42" s="370"/>
      <c r="AH42" s="349">
        <f>IF(OR(AH27="BARE",AH27="BURIED"),IF(AH41="","",VLOOKUP(AH35,EM_1,3,0)),"")</f>
        <v>0.8</v>
      </c>
      <c r="AI42" s="349"/>
      <c r="AJ42" s="349"/>
      <c r="AK42" s="349"/>
      <c r="AL42" s="196"/>
      <c r="AM42" s="459"/>
      <c r="AN42" s="194" t="s">
        <v>286</v>
      </c>
      <c r="AO42" s="198"/>
      <c r="AP42" s="344" t="s">
        <v>225</v>
      </c>
      <c r="AQ42" s="345"/>
      <c r="AR42" s="345"/>
      <c r="AS42" s="345"/>
      <c r="AT42" s="345"/>
      <c r="AU42" s="345"/>
      <c r="AV42" s="264"/>
      <c r="AW42" s="265"/>
      <c r="AX42" s="265"/>
      <c r="AY42" s="266"/>
      <c r="AZ42" s="348">
        <f>IF(OR(AZ27="BARE",AZ27="BURIED"),IF(AZ41="","",VLOOKUP(AZ35,EM_1,3,0)),"")</f>
        <v>0.8</v>
      </c>
      <c r="BA42" s="349"/>
      <c r="BB42" s="349"/>
      <c r="BC42" s="349"/>
      <c r="BD42" s="370">
        <f>IF(OR(BD27="BARE",BD27="BURIED"),IF(BD41="","",VLOOKUP(BD35,EM_1,3,0)),"")</f>
        <v>0.8</v>
      </c>
      <c r="BE42" s="370"/>
      <c r="BF42" s="370"/>
      <c r="BG42" s="355"/>
      <c r="BH42" s="348" t="str">
        <f>IF(OR(BH27="BARE",BH27="BURIED"),IF(BH41="","",VLOOKUP(BH35,EM_1,3,0)),"")</f>
        <v/>
      </c>
      <c r="BI42" s="349"/>
      <c r="BJ42" s="349"/>
      <c r="BK42" s="349"/>
      <c r="BL42" s="370" t="str">
        <f>IF(OR(BL27="BARE",BL27="BURIED"),IF(BL41="","",VLOOKUP(BL35,EM_1,3,0)),"")</f>
        <v/>
      </c>
      <c r="BM42" s="370"/>
      <c r="BN42" s="370"/>
      <c r="BO42" s="355"/>
      <c r="BP42" s="371" t="str">
        <f>IF(OR(BP27="BARE",BP27="BURIED"),IF(BP41="","",VLOOKUP(BP35,EM_1,3,0)),"")</f>
        <v/>
      </c>
      <c r="BQ42" s="370"/>
      <c r="BR42" s="370"/>
      <c r="BS42" s="370"/>
      <c r="BT42" s="349" t="str">
        <f>IF(OR(BT27="BARE",BT27="BURIED"),IF(BT41="","",VLOOKUP(BT35,EM_1,3,0)),"")</f>
        <v/>
      </c>
      <c r="BU42" s="349"/>
      <c r="BV42" s="349"/>
      <c r="BW42" s="349"/>
      <c r="BX42" s="196"/>
    </row>
    <row r="43" spans="1:76" ht="20.25" customHeight="1">
      <c r="A43" s="459"/>
      <c r="B43" s="194" t="s">
        <v>287</v>
      </c>
      <c r="C43" s="198"/>
      <c r="D43" s="344" t="s">
        <v>216</v>
      </c>
      <c r="E43" s="345"/>
      <c r="F43" s="345"/>
      <c r="G43" s="345"/>
      <c r="H43" s="345"/>
      <c r="I43" s="345"/>
      <c r="J43" s="250"/>
      <c r="K43" s="346" t="s">
        <v>215</v>
      </c>
      <c r="L43" s="346"/>
      <c r="M43" s="347"/>
      <c r="N43" s="370">
        <f>IF(OR(N27="BARE",N27="BURIED"),PIPE_K(N34,N16*1.8+32)*1.488164,"")</f>
        <v>44.260429128338217</v>
      </c>
      <c r="O43" s="370"/>
      <c r="P43" s="370"/>
      <c r="Q43" s="370"/>
      <c r="R43" s="370">
        <f>IF(OR(R27="BARE",R27="BURIED"),PIPE_K(R34,R16*1.8+32)*1.488164,"")</f>
        <v>44.278271307063129</v>
      </c>
      <c r="S43" s="370"/>
      <c r="T43" s="370"/>
      <c r="U43" s="355"/>
      <c r="V43" s="370">
        <f>IF(OR(V27="BARE",V27="BURIED"),PIPE_K(V34,V16*1.8+32)*1.488164,"")</f>
        <v>44.260429128338217</v>
      </c>
      <c r="W43" s="370"/>
      <c r="X43" s="370"/>
      <c r="Y43" s="370"/>
      <c r="Z43" s="370">
        <f>IF(OR(Z27="BARE",Z27="BURIED"),PIPE_K(Z34,Z16*1.8+32)*1.488164,"")</f>
        <v>44.288124099195954</v>
      </c>
      <c r="AA43" s="370"/>
      <c r="AB43" s="370"/>
      <c r="AC43" s="355"/>
      <c r="AD43" s="371">
        <f>IF(OR(AD27="BARE",AD27="BURIED"),PIPE_K(AD34,AD16*1.8+32)*1.488164,"")</f>
        <v>44.260429128338217</v>
      </c>
      <c r="AE43" s="370"/>
      <c r="AF43" s="370"/>
      <c r="AG43" s="370"/>
      <c r="AH43" s="370">
        <f>IF(OR(AH27="BARE",AH27="BURIED"),PIPE_K(AH34,AH16*1.8+32)*1.488164,"")</f>
        <v>44.273381002784774</v>
      </c>
      <c r="AI43" s="370"/>
      <c r="AJ43" s="370"/>
      <c r="AK43" s="370"/>
      <c r="AL43" s="196"/>
      <c r="AM43" s="459"/>
      <c r="AN43" s="194" t="s">
        <v>287</v>
      </c>
      <c r="AO43" s="198"/>
      <c r="AP43" s="344" t="s">
        <v>216</v>
      </c>
      <c r="AQ43" s="345"/>
      <c r="AR43" s="345"/>
      <c r="AS43" s="345"/>
      <c r="AT43" s="345"/>
      <c r="AU43" s="345"/>
      <c r="AV43" s="264"/>
      <c r="AW43" s="346" t="s">
        <v>215</v>
      </c>
      <c r="AX43" s="346"/>
      <c r="AY43" s="347"/>
      <c r="AZ43" s="370">
        <f>IF(OR(AZ27="BARE",AZ27="BURIED"),PIPE_K(AZ34,AZ16*1.8+32)*1.488164,"")</f>
        <v>44.260429128338217</v>
      </c>
      <c r="BA43" s="370"/>
      <c r="BB43" s="370"/>
      <c r="BC43" s="370"/>
      <c r="BD43" s="370">
        <f>IF(OR(BD27="BARE",BD27="BURIED"),PIPE_K(BD34,BD16*1.8+32)*1.488164,"")</f>
        <v>44.280243023782397</v>
      </c>
      <c r="BE43" s="370"/>
      <c r="BF43" s="370"/>
      <c r="BG43" s="355"/>
      <c r="BH43" s="370" t="str">
        <f>IF(OR(BH27="BARE",BH27="BURIED"),PIPE_K(BH34,BH16*1.8+32)*1.488164,"")</f>
        <v/>
      </c>
      <c r="BI43" s="370"/>
      <c r="BJ43" s="370"/>
      <c r="BK43" s="370"/>
      <c r="BL43" s="370" t="str">
        <f>IF(OR(BL27="BARE",BL27="BURIED"),PIPE_K(BL34,BL16*1.8+32)*1.488164,"")</f>
        <v/>
      </c>
      <c r="BM43" s="370"/>
      <c r="BN43" s="370"/>
      <c r="BO43" s="355"/>
      <c r="BP43" s="371" t="str">
        <f>IF(OR(BP27="BARE",BP27="BURIED"),PIPE_K(BP34,BP16*1.8+32)*1.488164,"")</f>
        <v/>
      </c>
      <c r="BQ43" s="370"/>
      <c r="BR43" s="370"/>
      <c r="BS43" s="370"/>
      <c r="BT43" s="370" t="str">
        <f>IF(OR(BT27="BARE",BT27="BURIED"),PIPE_K(BT34,BT16*1.8+32)*1.488164,"")</f>
        <v/>
      </c>
      <c r="BU43" s="370"/>
      <c r="BV43" s="370"/>
      <c r="BW43" s="370"/>
      <c r="BX43" s="196"/>
    </row>
    <row r="44" spans="1:76" ht="20.25" customHeight="1">
      <c r="A44" s="459"/>
      <c r="B44" s="194" t="s">
        <v>288</v>
      </c>
      <c r="C44" s="198"/>
      <c r="D44" s="344" t="s">
        <v>234</v>
      </c>
      <c r="E44" s="345"/>
      <c r="F44" s="345"/>
      <c r="G44" s="345"/>
      <c r="H44" s="345"/>
      <c r="I44" s="345"/>
      <c r="J44" s="250"/>
      <c r="K44" s="346" t="s">
        <v>215</v>
      </c>
      <c r="L44" s="346"/>
      <c r="M44" s="347"/>
      <c r="N44" s="391" t="str">
        <f>IF(OR(N27="BARE",N27="BURIED"),IF(N36="NO","",INS_K(N36,N16*1.8+32)*1.488164),"")</f>
        <v/>
      </c>
      <c r="O44" s="392"/>
      <c r="P44" s="392"/>
      <c r="Q44" s="392"/>
      <c r="R44" s="392">
        <f>IF(OR(R27="BARE",R27="BURIED"),IF(R36="NO","",INS_K(R36,R16*1.8+32)*1.488164),"")</f>
        <v>4.1103716545008447E-2</v>
      </c>
      <c r="S44" s="392"/>
      <c r="T44" s="392"/>
      <c r="U44" s="393"/>
      <c r="V44" s="391" t="str">
        <f>IF(OR(V27="BARE",V27="BURIED"),IF(V36="NO","",INS_K(V36,V16*1.8+32)*1.488164),"")</f>
        <v/>
      </c>
      <c r="W44" s="392"/>
      <c r="X44" s="392"/>
      <c r="Y44" s="392"/>
      <c r="Z44" s="392">
        <f>IF(OR(Z27="BARE",Z27="BURIED"),IF(Z36="NO","",INS_K(Z36,Z16*1.8+32)*1.488164),"")</f>
        <v>4.1044427860428917E-2</v>
      </c>
      <c r="AA44" s="392"/>
      <c r="AB44" s="392"/>
      <c r="AC44" s="393"/>
      <c r="AD44" s="391" t="str">
        <f>IF(OR(AD27="BARE",AD27="BURIED"),IF(AD36="NO","",INS_K(AD36,AD16*1.8+32)*1.488164),"")</f>
        <v/>
      </c>
      <c r="AE44" s="392"/>
      <c r="AF44" s="392"/>
      <c r="AG44" s="392"/>
      <c r="AH44" s="394">
        <f>IF(OR(AH27="BARE",AH27="BURIED"),IF(AH36="NO","",INS_K(AH36,AH16*1.8+32)*1.488164),"")</f>
        <v>4.1133125710319685E-2</v>
      </c>
      <c r="AI44" s="394"/>
      <c r="AJ44" s="394"/>
      <c r="AK44" s="394"/>
      <c r="AL44" s="196"/>
      <c r="AM44" s="459"/>
      <c r="AN44" s="194" t="s">
        <v>288</v>
      </c>
      <c r="AO44" s="198"/>
      <c r="AP44" s="344" t="s">
        <v>234</v>
      </c>
      <c r="AQ44" s="345"/>
      <c r="AR44" s="345"/>
      <c r="AS44" s="345"/>
      <c r="AT44" s="345"/>
      <c r="AU44" s="345"/>
      <c r="AV44" s="264"/>
      <c r="AW44" s="346" t="s">
        <v>215</v>
      </c>
      <c r="AX44" s="346"/>
      <c r="AY44" s="347"/>
      <c r="AZ44" s="391" t="str">
        <f>IF(OR(AZ27="BARE",AZ27="BURIED"),IF(AZ36="NO","",INS_K(AZ36,AZ16*1.8+32)*1.488164),"")</f>
        <v/>
      </c>
      <c r="BA44" s="392"/>
      <c r="BB44" s="392"/>
      <c r="BC44" s="392"/>
      <c r="BD44" s="392">
        <f>IF(OR(BD27="BARE",BD27="BURIED"),IF(BD36="NO","",INS_K(BD36,BD16*1.8+32)*1.488164),"")</f>
        <v>4.1091855719164495E-2</v>
      </c>
      <c r="BE44" s="392"/>
      <c r="BF44" s="392"/>
      <c r="BG44" s="393"/>
      <c r="BH44" s="391" t="str">
        <f>IF(OR(BH27="BARE",BH27="BURIED"),IF(BH36="NO","",INS_K(BH36,BH16*1.8+32)*1.488164),"")</f>
        <v/>
      </c>
      <c r="BI44" s="392"/>
      <c r="BJ44" s="392"/>
      <c r="BK44" s="392"/>
      <c r="BL44" s="392" t="str">
        <f>IF(OR(BL27="BARE",BL27="BURIED"),IF(BL36="NO","",INS_K(BL36,BL16*1.8+32)*1.488164),"")</f>
        <v/>
      </c>
      <c r="BM44" s="392"/>
      <c r="BN44" s="392"/>
      <c r="BO44" s="393"/>
      <c r="BP44" s="391" t="str">
        <f>IF(OR(BP27="BARE",BP27="BURIED"),IF(BP36="NO","",INS_K(BP36,BP16*1.8+32)*1.488164),"")</f>
        <v/>
      </c>
      <c r="BQ44" s="392"/>
      <c r="BR44" s="392"/>
      <c r="BS44" s="392"/>
      <c r="BT44" s="394" t="str">
        <f>IF(OR(BT27="BARE",BT27="BURIED"),IF(BT36="NO","",INS_K(BT36,BT16*1.8+32)*1.488164),"")</f>
        <v/>
      </c>
      <c r="BU44" s="394"/>
      <c r="BV44" s="394"/>
      <c r="BW44" s="394"/>
      <c r="BX44" s="196"/>
    </row>
    <row r="45" spans="1:76" ht="20.25" customHeight="1">
      <c r="A45" s="459"/>
      <c r="B45" s="194" t="s">
        <v>289</v>
      </c>
      <c r="C45" s="198"/>
      <c r="D45" s="344" t="s">
        <v>223</v>
      </c>
      <c r="E45" s="345"/>
      <c r="F45" s="345"/>
      <c r="G45" s="345"/>
      <c r="H45" s="345"/>
      <c r="I45" s="345"/>
      <c r="J45" s="250"/>
      <c r="K45" s="346" t="s">
        <v>306</v>
      </c>
      <c r="L45" s="346"/>
      <c r="M45" s="347"/>
      <c r="N45" s="358">
        <f>IF(OR(N27="BARE",N27="BURIED"),ifc(N30,N31,N14/0.4536,N25,N23,N24/1.488164)*4.882431,"")</f>
        <v>397.6578796137199</v>
      </c>
      <c r="O45" s="356"/>
      <c r="P45" s="356"/>
      <c r="Q45" s="356"/>
      <c r="R45" s="356">
        <f>IF(OR(R27="BARE",R27="BURIED"),ifc(R30,R31,R14/0.4536,R25,R23,R24/1.488164)*4.882431,"")</f>
        <v>265.95835021657581</v>
      </c>
      <c r="S45" s="356"/>
      <c r="T45" s="356"/>
      <c r="U45" s="357"/>
      <c r="V45" s="358">
        <f>IF(OR(V27="BARE",V27="BURIED"),ifc(V30,V31,V14/0.4536,V25,V23,V24/1.488164)*4.882431,"")</f>
        <v>397.6578796137199</v>
      </c>
      <c r="W45" s="356"/>
      <c r="X45" s="356"/>
      <c r="Y45" s="356"/>
      <c r="Z45" s="356">
        <f>IF(OR(Z27="BARE",Z27="BURIED"),ifc(Z30,Z31,Z14/0.4536,Z25,Z23,Z24/1.488164)*4.882431,"")</f>
        <v>265.95835021657581</v>
      </c>
      <c r="AA45" s="356"/>
      <c r="AB45" s="356"/>
      <c r="AC45" s="357"/>
      <c r="AD45" s="358">
        <f>IF(OR(AD27="BARE",AD27="BURIED"),ifc(AD30,AD31,AD14/0.4536,AD25,AD23,AD24/1.488164)*4.882431,"")</f>
        <v>397.6578796137199</v>
      </c>
      <c r="AE45" s="356"/>
      <c r="AF45" s="356"/>
      <c r="AG45" s="356"/>
      <c r="AH45" s="361">
        <f>IF(OR(AH27="BARE",AH27="BURIED"),ifc(AH30,AH31,AH14/0.4536,AH25,AH23,AH24/1.488164)*4.882431,"")</f>
        <v>265.95835021657581</v>
      </c>
      <c r="AI45" s="361"/>
      <c r="AJ45" s="361"/>
      <c r="AK45" s="361"/>
      <c r="AL45" s="196"/>
      <c r="AM45" s="459"/>
      <c r="AN45" s="194" t="s">
        <v>289</v>
      </c>
      <c r="AO45" s="198"/>
      <c r="AP45" s="344" t="s">
        <v>223</v>
      </c>
      <c r="AQ45" s="345"/>
      <c r="AR45" s="345"/>
      <c r="AS45" s="345"/>
      <c r="AT45" s="345"/>
      <c r="AU45" s="345"/>
      <c r="AV45" s="264"/>
      <c r="AW45" s="346" t="s">
        <v>295</v>
      </c>
      <c r="AX45" s="346"/>
      <c r="AY45" s="347"/>
      <c r="AZ45" s="358">
        <f>IF(OR(AZ27="BARE",AZ27="BURIED"),ifc(AZ30,AZ31,AZ14/0.4536,AZ25,AZ23,AZ24/1.488164)*4.882431,"")</f>
        <v>397.6578796137199</v>
      </c>
      <c r="BA45" s="356"/>
      <c r="BB45" s="356"/>
      <c r="BC45" s="356"/>
      <c r="BD45" s="356">
        <f>IF(OR(BD27="BARE",BD27="BURIED"),ifc(BD30,BD31,BD14/0.4536,BD25,BD23,BD24/1.488164)*4.882431,"")</f>
        <v>265.95835021657581</v>
      </c>
      <c r="BE45" s="356"/>
      <c r="BF45" s="356"/>
      <c r="BG45" s="357"/>
      <c r="BH45" s="358" t="str">
        <f>IF(OR(BH27="BARE",BH27="BURIED"),ifc(BH30,BH31,BH14/0.4536,BH25,BH23,BH24/1.488164)*4.882431,"")</f>
        <v/>
      </c>
      <c r="BI45" s="356"/>
      <c r="BJ45" s="356"/>
      <c r="BK45" s="356"/>
      <c r="BL45" s="356" t="str">
        <f>IF(OR(BL27="BARE",BL27="BURIED"),ifc(BL30,BL31,BL14/0.4536,BL25,BL23,BL24/1.488164)*4.882431,"")</f>
        <v/>
      </c>
      <c r="BM45" s="356"/>
      <c r="BN45" s="356"/>
      <c r="BO45" s="357"/>
      <c r="BP45" s="358" t="str">
        <f>IF(OR(BP27="BARE",BP27="BURIED"),ifc(BP30,BP31,BP14/0.4536,BP25,BP23,BP24/1.488164)*4.882431,"")</f>
        <v/>
      </c>
      <c r="BQ45" s="356"/>
      <c r="BR45" s="356"/>
      <c r="BS45" s="356"/>
      <c r="BT45" s="361" t="str">
        <f>IF(OR(BT27="BARE",BT27="BURIED"),ifc(BT30,BT31,BT14/0.4536,BT25,BT23,BT24/1.488164)*4.882431,"")</f>
        <v/>
      </c>
      <c r="BU45" s="361"/>
      <c r="BV45" s="361"/>
      <c r="BW45" s="361"/>
      <c r="BX45" s="196"/>
    </row>
    <row r="46" spans="1:76" ht="20.25" customHeight="1">
      <c r="A46" s="459"/>
      <c r="B46" s="194" t="s">
        <v>163</v>
      </c>
      <c r="C46" s="198"/>
      <c r="D46" s="243" t="s">
        <v>263</v>
      </c>
      <c r="E46" s="244"/>
      <c r="F46" s="244"/>
      <c r="G46" s="244"/>
      <c r="H46" s="244"/>
      <c r="I46" s="244"/>
      <c r="J46" s="244"/>
      <c r="K46" s="245"/>
      <c r="L46" s="245"/>
      <c r="M46" s="245"/>
      <c r="N46" s="246"/>
      <c r="O46" s="246"/>
      <c r="P46" s="246"/>
      <c r="Q46" s="246"/>
      <c r="R46" s="246"/>
      <c r="S46" s="246"/>
      <c r="T46" s="246"/>
      <c r="U46" s="246"/>
      <c r="V46" s="246"/>
      <c r="W46" s="246"/>
      <c r="X46" s="246"/>
      <c r="Y46" s="246"/>
      <c r="Z46" s="246"/>
      <c r="AA46" s="246"/>
      <c r="AB46" s="246"/>
      <c r="AC46" s="246"/>
      <c r="AD46" s="280"/>
      <c r="AE46" s="246"/>
      <c r="AF46" s="246"/>
      <c r="AG46" s="246"/>
      <c r="AH46" s="246"/>
      <c r="AI46" s="246"/>
      <c r="AJ46" s="246"/>
      <c r="AK46" s="246"/>
      <c r="AL46" s="196"/>
      <c r="AM46" s="459"/>
      <c r="AN46" s="194" t="s">
        <v>163</v>
      </c>
      <c r="AO46" s="198"/>
      <c r="AP46" s="243" t="s">
        <v>263</v>
      </c>
      <c r="AQ46" s="244"/>
      <c r="AR46" s="244"/>
      <c r="AS46" s="244"/>
      <c r="AT46" s="244"/>
      <c r="AU46" s="244"/>
      <c r="AV46" s="244"/>
      <c r="AW46" s="245"/>
      <c r="AX46" s="245"/>
      <c r="AY46" s="245"/>
      <c r="AZ46" s="246"/>
      <c r="BA46" s="246"/>
      <c r="BB46" s="246"/>
      <c r="BC46" s="246"/>
      <c r="BD46" s="246"/>
      <c r="BE46" s="246"/>
      <c r="BF46" s="246"/>
      <c r="BG46" s="246"/>
      <c r="BH46" s="246"/>
      <c r="BI46" s="246"/>
      <c r="BJ46" s="246"/>
      <c r="BK46" s="246"/>
      <c r="BL46" s="246"/>
      <c r="BM46" s="246"/>
      <c r="BN46" s="246"/>
      <c r="BO46" s="246"/>
      <c r="BP46" s="280"/>
      <c r="BQ46" s="246"/>
      <c r="BR46" s="246"/>
      <c r="BS46" s="246"/>
      <c r="BT46" s="246"/>
      <c r="BU46" s="246"/>
      <c r="BV46" s="246"/>
      <c r="BW46" s="246"/>
      <c r="BX46" s="196"/>
    </row>
    <row r="47" spans="1:76" ht="20.25" customHeight="1">
      <c r="A47" s="459"/>
      <c r="B47" s="194" t="s">
        <v>290</v>
      </c>
      <c r="C47" s="198"/>
      <c r="D47" s="344" t="s">
        <v>264</v>
      </c>
      <c r="E47" s="345"/>
      <c r="F47" s="345"/>
      <c r="G47" s="345"/>
      <c r="H47" s="345"/>
      <c r="I47" s="345"/>
      <c r="J47" s="250"/>
      <c r="K47" s="346" t="s">
        <v>306</v>
      </c>
      <c r="L47" s="346"/>
      <c r="M47" s="347"/>
      <c r="N47" s="385">
        <f>IF(N27="BARE",N48+N49,"")</f>
        <v>12.466222843001137</v>
      </c>
      <c r="O47" s="386"/>
      <c r="P47" s="386"/>
      <c r="Q47" s="386"/>
      <c r="R47" s="387">
        <f t="shared" ref="R47" si="26">IF(R27="BARE",R48+R49,"")</f>
        <v>12.021795718957222</v>
      </c>
      <c r="S47" s="387"/>
      <c r="T47" s="387"/>
      <c r="U47" s="388"/>
      <c r="V47" s="385">
        <f>IF(V27="BARE",V48+V49,"")</f>
        <v>20.140420364602708</v>
      </c>
      <c r="W47" s="386"/>
      <c r="X47" s="386"/>
      <c r="Y47" s="386"/>
      <c r="Z47" s="387">
        <f t="shared" ref="Z47" si="27">IF(Z27="BARE",Z48+Z49,"")</f>
        <v>19.183860126688707</v>
      </c>
      <c r="AA47" s="387"/>
      <c r="AB47" s="387"/>
      <c r="AC47" s="388"/>
      <c r="AD47" s="389">
        <f t="shared" ref="AD47" si="28">IF(AD27="BARE",AD48+AD49,"")</f>
        <v>11.978547641509756</v>
      </c>
      <c r="AE47" s="387"/>
      <c r="AF47" s="387"/>
      <c r="AG47" s="387"/>
      <c r="AH47" s="386">
        <f t="shared" ref="AH47" si="29">IF(AH27="BARE",AH48+AH49,"")</f>
        <v>11.573866063200887</v>
      </c>
      <c r="AI47" s="386"/>
      <c r="AJ47" s="386"/>
      <c r="AK47" s="390"/>
      <c r="AL47" s="196"/>
      <c r="AM47" s="459"/>
      <c r="AN47" s="194" t="s">
        <v>290</v>
      </c>
      <c r="AO47" s="198"/>
      <c r="AP47" s="344" t="s">
        <v>264</v>
      </c>
      <c r="AQ47" s="345"/>
      <c r="AR47" s="345"/>
      <c r="AS47" s="345"/>
      <c r="AT47" s="345"/>
      <c r="AU47" s="345"/>
      <c r="AV47" s="264"/>
      <c r="AW47" s="346" t="s">
        <v>295</v>
      </c>
      <c r="AX47" s="346"/>
      <c r="AY47" s="347"/>
      <c r="AZ47" s="385">
        <f>IF(AZ27="BARE",AZ48+AZ49,"")</f>
        <v>19.018171886379935</v>
      </c>
      <c r="BA47" s="386"/>
      <c r="BB47" s="386"/>
      <c r="BC47" s="386"/>
      <c r="BD47" s="387">
        <f t="shared" ref="BD47" si="30">IF(BD27="BARE",BD48+BD49,"")</f>
        <v>18.148793747751998</v>
      </c>
      <c r="BE47" s="387"/>
      <c r="BF47" s="387"/>
      <c r="BG47" s="388"/>
      <c r="BH47" s="385" t="str">
        <f>IF(BH27="BARE",BH48+BH49,"")</f>
        <v/>
      </c>
      <c r="BI47" s="386"/>
      <c r="BJ47" s="386"/>
      <c r="BK47" s="386"/>
      <c r="BL47" s="387" t="str">
        <f t="shared" ref="BL47" si="31">IF(BL27="BARE",BL48+BL49,"")</f>
        <v/>
      </c>
      <c r="BM47" s="387"/>
      <c r="BN47" s="387"/>
      <c r="BO47" s="388"/>
      <c r="BP47" s="389" t="str">
        <f t="shared" ref="BP47" si="32">IF(BP27="BARE",BP48+BP49,"")</f>
        <v/>
      </c>
      <c r="BQ47" s="387"/>
      <c r="BR47" s="387"/>
      <c r="BS47" s="387"/>
      <c r="BT47" s="386" t="str">
        <f t="shared" ref="BT47" si="33">IF(BT27="BARE",BT48+BT49,"")</f>
        <v/>
      </c>
      <c r="BU47" s="386"/>
      <c r="BV47" s="386"/>
      <c r="BW47" s="390"/>
      <c r="BX47" s="196"/>
    </row>
    <row r="48" spans="1:76" ht="20.25" customHeight="1">
      <c r="A48" s="459"/>
      <c r="B48" s="194" t="s">
        <v>164</v>
      </c>
      <c r="C48" s="198"/>
      <c r="D48" s="383" t="s">
        <v>265</v>
      </c>
      <c r="E48" s="384"/>
      <c r="F48" s="384"/>
      <c r="G48" s="384"/>
      <c r="H48" s="384"/>
      <c r="I48" s="384"/>
      <c r="J48" s="254"/>
      <c r="K48" s="346" t="s">
        <v>306</v>
      </c>
      <c r="L48" s="346"/>
      <c r="M48" s="347"/>
      <c r="N48" s="385">
        <f>IF(N27="BARE",_xludf.csc(N41,N31,N19*1.8+32,N17*1.8+32,N20*3600/1600)*4.882431,"")</f>
        <v>7.8124692220332426</v>
      </c>
      <c r="O48" s="386"/>
      <c r="P48" s="386"/>
      <c r="Q48" s="386"/>
      <c r="R48" s="387">
        <f>IF(R27="BARE",_xludf.csc(R41,R31,R19*1.8+32,R17*1.8+32,R20*3600/1600)*4.882431,"")</f>
        <v>7.3975952744852167</v>
      </c>
      <c r="S48" s="387"/>
      <c r="T48" s="387"/>
      <c r="U48" s="388"/>
      <c r="V48" s="385">
        <f>IF(V27="BARE",_xludf.csc(V41,V31,V19*1.8+32,V17*1.8+32,V20*3600/1600)*4.882431,"")</f>
        <v>15.498217897224764</v>
      </c>
      <c r="W48" s="386"/>
      <c r="X48" s="386"/>
      <c r="Y48" s="386"/>
      <c r="Z48" s="387">
        <f>IF(Z27="BARE",_xludf.csc(Z41,Z31,Z19*1.8+32,Z17*1.8+32,Z20*3600/1600)*4.882431,"")</f>
        <v>14.586429290694605</v>
      </c>
      <c r="AA48" s="387"/>
      <c r="AB48" s="387"/>
      <c r="AC48" s="388"/>
      <c r="AD48" s="389">
        <f>IF(AD27="BARE",_xludf.csc(AD41,AD31,AD19*1.8+32,AD17*1.8+32,AD20*3600/1600)*4.882431,"")</f>
        <v>7.1641703793635614</v>
      </c>
      <c r="AE48" s="387"/>
      <c r="AF48" s="387"/>
      <c r="AG48" s="387"/>
      <c r="AH48" s="386">
        <f>IF(AH27="BARE",_xludf.csc(AH41,AH31,AH19*1.8+32,AH17*1.8+32,AH20*3600/1600)*4.882431,"")</f>
        <v>6.7815414830641529</v>
      </c>
      <c r="AI48" s="386"/>
      <c r="AJ48" s="386"/>
      <c r="AK48" s="390"/>
      <c r="AL48" s="200"/>
      <c r="AM48" s="459"/>
      <c r="AN48" s="194" t="s">
        <v>164</v>
      </c>
      <c r="AO48" s="198"/>
      <c r="AP48" s="383" t="s">
        <v>265</v>
      </c>
      <c r="AQ48" s="384"/>
      <c r="AR48" s="384"/>
      <c r="AS48" s="384"/>
      <c r="AT48" s="384"/>
      <c r="AU48" s="384"/>
      <c r="AV48" s="267"/>
      <c r="AW48" s="346" t="s">
        <v>295</v>
      </c>
      <c r="AX48" s="346"/>
      <c r="AY48" s="347"/>
      <c r="AZ48" s="385">
        <f>IF(AZ27="BARE",_xludf.csc(AZ41,AZ31,AZ19*1.8+32,AZ17*1.8+32,AZ20*3600/1600)*4.882431,"")</f>
        <v>14.212146867262339</v>
      </c>
      <c r="BA48" s="386"/>
      <c r="BB48" s="386"/>
      <c r="BC48" s="386"/>
      <c r="BD48" s="387">
        <f>IF(BD27="BARE",_xludf.csc(BD41,BD31,BD19*1.8+32,BD17*1.8+32,BD20*3600/1600)*4.882431,"")</f>
        <v>13.375433331138971</v>
      </c>
      <c r="BE48" s="387"/>
      <c r="BF48" s="387"/>
      <c r="BG48" s="388"/>
      <c r="BH48" s="385" t="str">
        <f>IF(BH27="BARE",_xludf.csc(BH41,BH31,BH19*1.8+32,BH17*1.8+32,BH20*3600/1600)*4.882431,"")</f>
        <v/>
      </c>
      <c r="BI48" s="386"/>
      <c r="BJ48" s="386"/>
      <c r="BK48" s="386"/>
      <c r="BL48" s="387" t="str">
        <f>IF(BL27="BARE",_xludf.csc(BL41,BL31,BL19*1.8+32,BL17*1.8+32,BL20*3600/1600)*4.882431,"")</f>
        <v/>
      </c>
      <c r="BM48" s="387"/>
      <c r="BN48" s="387"/>
      <c r="BO48" s="388"/>
      <c r="BP48" s="389" t="str">
        <f>IF(BP27="BARE",_xludf.csc(BP41,BP31,BP19*1.8+32,BP17*1.8+32,BP20*3600/1600)*4.882431,"")</f>
        <v/>
      </c>
      <c r="BQ48" s="387"/>
      <c r="BR48" s="387"/>
      <c r="BS48" s="387"/>
      <c r="BT48" s="386" t="str">
        <f>IF(BT27="BARE",_xludf.csc(BT41,BT31,BT19*1.8+32,BT17*1.8+32,BT20*3600/1600)*4.882431,"")</f>
        <v/>
      </c>
      <c r="BU48" s="386"/>
      <c r="BV48" s="386"/>
      <c r="BW48" s="390"/>
      <c r="BX48" s="200"/>
    </row>
    <row r="49" spans="1:76" ht="20.25" customHeight="1">
      <c r="A49" s="459"/>
      <c r="B49" s="194" t="s">
        <v>165</v>
      </c>
      <c r="C49" s="198"/>
      <c r="D49" s="383" t="s">
        <v>266</v>
      </c>
      <c r="E49" s="384"/>
      <c r="F49" s="384"/>
      <c r="G49" s="384"/>
      <c r="H49" s="384"/>
      <c r="I49" s="384"/>
      <c r="J49" s="254"/>
      <c r="K49" s="346" t="s">
        <v>306</v>
      </c>
      <c r="L49" s="346"/>
      <c r="M49" s="347"/>
      <c r="N49" s="385">
        <f>IF(N27="BARE",CoRad(N42,N19*1.8+32,N17*1.8+32)*4.882431,"")</f>
        <v>4.653753620967894</v>
      </c>
      <c r="O49" s="386"/>
      <c r="P49" s="386"/>
      <c r="Q49" s="386"/>
      <c r="R49" s="387">
        <f>IF(R27="BARE",CoRad(R42,R19*1.8+32,R17*1.8+32)*4.882431,"")</f>
        <v>4.6242004444720051</v>
      </c>
      <c r="S49" s="387"/>
      <c r="T49" s="387"/>
      <c r="U49" s="388"/>
      <c r="V49" s="385">
        <f>IF(V27="BARE",CoRad(V42,V19*1.8+32,V17*1.8+32)*4.882431,"")</f>
        <v>4.6422024673779445</v>
      </c>
      <c r="W49" s="386"/>
      <c r="X49" s="386"/>
      <c r="Y49" s="386"/>
      <c r="Z49" s="387">
        <f>IF(Z27="BARE",CoRad(Z42,Z19*1.8+32,Z17*1.8+32)*4.882431,"")</f>
        <v>4.5974308359941007</v>
      </c>
      <c r="AA49" s="387"/>
      <c r="AB49" s="387"/>
      <c r="AC49" s="388"/>
      <c r="AD49" s="389">
        <f>IF(AD27="BARE",CoRad(AD42,AD19*1.8+32,AD17*1.8+32)*4.882431,"")</f>
        <v>4.814377262146194</v>
      </c>
      <c r="AE49" s="387"/>
      <c r="AF49" s="387"/>
      <c r="AG49" s="387"/>
      <c r="AH49" s="386">
        <f>IF(AH27="BARE",CoRad(AH42,AH19*1.8+32,AH17*1.8+32)*4.882431,"")</f>
        <v>4.792324580136734</v>
      </c>
      <c r="AI49" s="386"/>
      <c r="AJ49" s="386"/>
      <c r="AK49" s="390"/>
      <c r="AL49" s="201"/>
      <c r="AM49" s="459"/>
      <c r="AN49" s="194" t="s">
        <v>165</v>
      </c>
      <c r="AO49" s="198"/>
      <c r="AP49" s="383" t="s">
        <v>266</v>
      </c>
      <c r="AQ49" s="384"/>
      <c r="AR49" s="384"/>
      <c r="AS49" s="384"/>
      <c r="AT49" s="384"/>
      <c r="AU49" s="384"/>
      <c r="AV49" s="267"/>
      <c r="AW49" s="346" t="s">
        <v>295</v>
      </c>
      <c r="AX49" s="346"/>
      <c r="AY49" s="347"/>
      <c r="AZ49" s="385">
        <f>IF(AZ27="BARE",CoRad(AZ42,AZ19*1.8+32,AZ17*1.8+32)*4.882431,"")</f>
        <v>4.8060250191175964</v>
      </c>
      <c r="BA49" s="386"/>
      <c r="BB49" s="386"/>
      <c r="BC49" s="386"/>
      <c r="BD49" s="387">
        <f>IF(BD27="BARE",CoRad(BD42,BD19*1.8+32,BD17*1.8+32)*4.882431,"")</f>
        <v>4.7733604166130279</v>
      </c>
      <c r="BE49" s="387"/>
      <c r="BF49" s="387"/>
      <c r="BG49" s="388"/>
      <c r="BH49" s="385" t="str">
        <f>IF(BH27="BARE",CoRad(BH42,BH19*1.8+32,BH17*1.8+32)*4.882431,"")</f>
        <v/>
      </c>
      <c r="BI49" s="386"/>
      <c r="BJ49" s="386"/>
      <c r="BK49" s="386"/>
      <c r="BL49" s="387" t="str">
        <f>IF(BL27="BARE",CoRad(BL42,BL19*1.8+32,BL17*1.8+32)*4.882431,"")</f>
        <v/>
      </c>
      <c r="BM49" s="387"/>
      <c r="BN49" s="387"/>
      <c r="BO49" s="388"/>
      <c r="BP49" s="389" t="str">
        <f>IF(BP27="BARE",CoRad(BP42,BP19*1.8+32,BP17*1.8+32)*4.882431,"")</f>
        <v/>
      </c>
      <c r="BQ49" s="387"/>
      <c r="BR49" s="387"/>
      <c r="BS49" s="387"/>
      <c r="BT49" s="386" t="str">
        <f>IF(BT27="BARE",CoRad(BT42,BT19*1.8+32,BT17*1.8+32)*4.882431,"")</f>
        <v/>
      </c>
      <c r="BU49" s="386"/>
      <c r="BV49" s="386"/>
      <c r="BW49" s="390"/>
      <c r="BX49" s="201"/>
    </row>
    <row r="50" spans="1:76" ht="20.25" customHeight="1">
      <c r="A50" s="459"/>
      <c r="B50" s="194" t="s">
        <v>166</v>
      </c>
      <c r="C50" s="198"/>
      <c r="D50" s="243" t="s">
        <v>267</v>
      </c>
      <c r="E50" s="244"/>
      <c r="F50" s="244"/>
      <c r="G50" s="244"/>
      <c r="H50" s="244"/>
      <c r="I50" s="244"/>
      <c r="J50" s="244"/>
      <c r="K50" s="245"/>
      <c r="L50" s="245"/>
      <c r="M50" s="245"/>
      <c r="N50" s="246"/>
      <c r="O50" s="246"/>
      <c r="P50" s="246"/>
      <c r="Q50" s="246"/>
      <c r="R50" s="246"/>
      <c r="S50" s="246"/>
      <c r="T50" s="246"/>
      <c r="U50" s="246"/>
      <c r="V50" s="280"/>
      <c r="W50" s="246"/>
      <c r="X50" s="246"/>
      <c r="Y50" s="246"/>
      <c r="Z50" s="246"/>
      <c r="AA50" s="246"/>
      <c r="AB50" s="246"/>
      <c r="AC50" s="281"/>
      <c r="AD50" s="246"/>
      <c r="AE50" s="246"/>
      <c r="AF50" s="246"/>
      <c r="AG50" s="246"/>
      <c r="AH50" s="246"/>
      <c r="AI50" s="246"/>
      <c r="AJ50" s="246"/>
      <c r="AK50" s="246"/>
      <c r="AL50" s="196"/>
      <c r="AM50" s="459"/>
      <c r="AN50" s="194" t="s">
        <v>166</v>
      </c>
      <c r="AO50" s="198"/>
      <c r="AP50" s="243" t="s">
        <v>267</v>
      </c>
      <c r="AQ50" s="244"/>
      <c r="AR50" s="244"/>
      <c r="AS50" s="244"/>
      <c r="AT50" s="244"/>
      <c r="AU50" s="244"/>
      <c r="AV50" s="244"/>
      <c r="AW50" s="245"/>
      <c r="AX50" s="245"/>
      <c r="AY50" s="245"/>
      <c r="AZ50" s="246"/>
      <c r="BA50" s="246"/>
      <c r="BB50" s="246"/>
      <c r="BC50" s="246"/>
      <c r="BD50" s="246"/>
      <c r="BE50" s="246"/>
      <c r="BF50" s="246"/>
      <c r="BG50" s="246"/>
      <c r="BH50" s="280"/>
      <c r="BI50" s="246"/>
      <c r="BJ50" s="246"/>
      <c r="BK50" s="246"/>
      <c r="BL50" s="246"/>
      <c r="BM50" s="246"/>
      <c r="BN50" s="246"/>
      <c r="BO50" s="281"/>
      <c r="BP50" s="246"/>
      <c r="BQ50" s="246"/>
      <c r="BR50" s="246"/>
      <c r="BS50" s="246"/>
      <c r="BT50" s="246"/>
      <c r="BU50" s="246"/>
      <c r="BV50" s="246"/>
      <c r="BW50" s="246"/>
      <c r="BX50" s="196"/>
    </row>
    <row r="51" spans="1:76" ht="20.25" customHeight="1">
      <c r="A51" s="459"/>
      <c r="B51" s="194" t="s">
        <v>167</v>
      </c>
      <c r="C51" s="198"/>
      <c r="D51" s="344" t="s">
        <v>268</v>
      </c>
      <c r="E51" s="345"/>
      <c r="F51" s="345"/>
      <c r="G51" s="345"/>
      <c r="H51" s="345"/>
      <c r="I51" s="345"/>
      <c r="J51" s="250"/>
      <c r="K51" s="346" t="s">
        <v>213</v>
      </c>
      <c r="L51" s="346"/>
      <c r="M51" s="347"/>
      <c r="N51" s="348" t="str">
        <f>IF(N27="BURIED",N31*3,"")</f>
        <v/>
      </c>
      <c r="O51" s="349"/>
      <c r="P51" s="349"/>
      <c r="Q51" s="349"/>
      <c r="R51" s="370" t="str">
        <f t="shared" ref="R51" si="34">IF(R27="BURIED",R31*3,"")</f>
        <v/>
      </c>
      <c r="S51" s="370"/>
      <c r="T51" s="370"/>
      <c r="U51" s="355"/>
      <c r="V51" s="371" t="str">
        <f t="shared" ref="V51" si="35">IF(V27="BURIED",V31*3,"")</f>
        <v/>
      </c>
      <c r="W51" s="370"/>
      <c r="X51" s="370"/>
      <c r="Y51" s="370"/>
      <c r="Z51" s="370" t="str">
        <f t="shared" ref="Z51" si="36">IF(Z27="BURIED",Z31*3,"")</f>
        <v/>
      </c>
      <c r="AA51" s="370"/>
      <c r="AB51" s="370"/>
      <c r="AC51" s="372"/>
      <c r="AD51" s="354" t="str">
        <f t="shared" ref="AD51" si="37">IF(AD27="BURIED",AD31*3,"")</f>
        <v/>
      </c>
      <c r="AE51" s="370"/>
      <c r="AF51" s="370"/>
      <c r="AG51" s="370"/>
      <c r="AH51" s="349" t="str">
        <f t="shared" ref="AH51" si="38">IF(AH27="BURIED",AH31*3,"")</f>
        <v/>
      </c>
      <c r="AI51" s="349"/>
      <c r="AJ51" s="349"/>
      <c r="AK51" s="354"/>
      <c r="AL51" s="196"/>
      <c r="AM51" s="459"/>
      <c r="AN51" s="194" t="s">
        <v>167</v>
      </c>
      <c r="AO51" s="198"/>
      <c r="AP51" s="344" t="s">
        <v>268</v>
      </c>
      <c r="AQ51" s="345"/>
      <c r="AR51" s="345"/>
      <c r="AS51" s="345"/>
      <c r="AT51" s="345"/>
      <c r="AU51" s="345"/>
      <c r="AV51" s="264"/>
      <c r="AW51" s="346" t="s">
        <v>213</v>
      </c>
      <c r="AX51" s="346"/>
      <c r="AY51" s="347"/>
      <c r="AZ51" s="348" t="str">
        <f>IF(AZ27="BURIED",AZ31*3,"")</f>
        <v/>
      </c>
      <c r="BA51" s="349"/>
      <c r="BB51" s="349"/>
      <c r="BC51" s="349"/>
      <c r="BD51" s="370" t="str">
        <f t="shared" ref="BD51" si="39">IF(BD27="BURIED",BD31*3,"")</f>
        <v/>
      </c>
      <c r="BE51" s="370"/>
      <c r="BF51" s="370"/>
      <c r="BG51" s="355"/>
      <c r="BH51" s="371" t="str">
        <f t="shared" ref="BH51" si="40">IF(BH27="BURIED",BH31*3,"")</f>
        <v/>
      </c>
      <c r="BI51" s="370"/>
      <c r="BJ51" s="370"/>
      <c r="BK51" s="370"/>
      <c r="BL51" s="370" t="str">
        <f t="shared" ref="BL51" si="41">IF(BL27="BURIED",BL31*3,"")</f>
        <v/>
      </c>
      <c r="BM51" s="370"/>
      <c r="BN51" s="370"/>
      <c r="BO51" s="372"/>
      <c r="BP51" s="354" t="str">
        <f t="shared" ref="BP51" si="42">IF(BP27="BURIED",BP31*3,"")</f>
        <v/>
      </c>
      <c r="BQ51" s="370"/>
      <c r="BR51" s="370"/>
      <c r="BS51" s="370"/>
      <c r="BT51" s="349" t="str">
        <f t="shared" ref="BT51" si="43">IF(BT27="BURIED",BT31*3,"")</f>
        <v/>
      </c>
      <c r="BU51" s="349"/>
      <c r="BV51" s="349"/>
      <c r="BW51" s="354"/>
      <c r="BX51" s="196"/>
    </row>
    <row r="52" spans="1:76" ht="20.25" customHeight="1">
      <c r="A52" s="459"/>
      <c r="B52" s="194" t="s">
        <v>168</v>
      </c>
      <c r="C52" s="198"/>
      <c r="D52" s="344" t="s">
        <v>269</v>
      </c>
      <c r="E52" s="345"/>
      <c r="F52" s="345"/>
      <c r="G52" s="345"/>
      <c r="H52" s="345"/>
      <c r="I52" s="345"/>
      <c r="J52" s="250"/>
      <c r="K52" s="378" t="s">
        <v>270</v>
      </c>
      <c r="L52" s="378"/>
      <c r="M52" s="379"/>
      <c r="N52" s="373"/>
      <c r="O52" s="374"/>
      <c r="P52" s="374"/>
      <c r="Q52" s="374"/>
      <c r="R52" s="380"/>
      <c r="S52" s="380"/>
      <c r="T52" s="380"/>
      <c r="U52" s="376"/>
      <c r="V52" s="381"/>
      <c r="W52" s="380"/>
      <c r="X52" s="380"/>
      <c r="Y52" s="380"/>
      <c r="Z52" s="380"/>
      <c r="AA52" s="380"/>
      <c r="AB52" s="380"/>
      <c r="AC52" s="382"/>
      <c r="AD52" s="375"/>
      <c r="AE52" s="380"/>
      <c r="AF52" s="380"/>
      <c r="AG52" s="380"/>
      <c r="AH52" s="374"/>
      <c r="AI52" s="374"/>
      <c r="AJ52" s="374"/>
      <c r="AK52" s="375"/>
      <c r="AL52" s="196"/>
      <c r="AM52" s="459"/>
      <c r="AN52" s="194" t="s">
        <v>168</v>
      </c>
      <c r="AO52" s="198"/>
      <c r="AP52" s="344" t="s">
        <v>269</v>
      </c>
      <c r="AQ52" s="345"/>
      <c r="AR52" s="345"/>
      <c r="AS52" s="345"/>
      <c r="AT52" s="345"/>
      <c r="AU52" s="345"/>
      <c r="AV52" s="264"/>
      <c r="AW52" s="378" t="s">
        <v>214</v>
      </c>
      <c r="AX52" s="378"/>
      <c r="AY52" s="379"/>
      <c r="AZ52" s="373"/>
      <c r="BA52" s="374"/>
      <c r="BB52" s="374"/>
      <c r="BC52" s="374"/>
      <c r="BD52" s="380"/>
      <c r="BE52" s="380"/>
      <c r="BF52" s="380"/>
      <c r="BG52" s="376"/>
      <c r="BH52" s="381"/>
      <c r="BI52" s="380"/>
      <c r="BJ52" s="380"/>
      <c r="BK52" s="380"/>
      <c r="BL52" s="380"/>
      <c r="BM52" s="380"/>
      <c r="BN52" s="380"/>
      <c r="BO52" s="382"/>
      <c r="BP52" s="375"/>
      <c r="BQ52" s="380"/>
      <c r="BR52" s="380"/>
      <c r="BS52" s="380"/>
      <c r="BT52" s="374"/>
      <c r="BU52" s="374"/>
      <c r="BV52" s="374"/>
      <c r="BW52" s="375"/>
      <c r="BX52" s="196"/>
    </row>
    <row r="53" spans="1:76" ht="20.25" customHeight="1">
      <c r="A53" s="459"/>
      <c r="B53" s="194" t="s">
        <v>169</v>
      </c>
      <c r="C53" s="198"/>
      <c r="D53" s="248" t="s">
        <v>271</v>
      </c>
      <c r="E53" s="249"/>
      <c r="F53" s="249"/>
      <c r="G53" s="249"/>
      <c r="H53" s="249"/>
      <c r="I53" s="249"/>
      <c r="J53" s="249"/>
      <c r="K53" s="258"/>
      <c r="L53" s="258"/>
      <c r="M53" s="247" t="s">
        <v>220</v>
      </c>
      <c r="N53" s="348" t="str">
        <f>IF(N27="BURIED",DIGA(N21,N52/0.3048)/1.8,"")</f>
        <v/>
      </c>
      <c r="O53" s="349"/>
      <c r="P53" s="349"/>
      <c r="Q53" s="349"/>
      <c r="R53" s="370" t="str">
        <f>IF(R27="BURIED",DIGA(R21,R52/0.3048)/1.8,"")</f>
        <v/>
      </c>
      <c r="S53" s="370"/>
      <c r="T53" s="370"/>
      <c r="U53" s="355"/>
      <c r="V53" s="371" t="str">
        <f>IF(V27="BURIED",DIGA(V21,V52/0.3048)/1.8,"")</f>
        <v/>
      </c>
      <c r="W53" s="370"/>
      <c r="X53" s="370"/>
      <c r="Y53" s="370"/>
      <c r="Z53" s="370" t="str">
        <f>IF(Z27="BURIED",DIGA(Z21,Z52/0.3048)/1.8,"")</f>
        <v/>
      </c>
      <c r="AA53" s="370"/>
      <c r="AB53" s="370"/>
      <c r="AC53" s="372"/>
      <c r="AD53" s="354" t="str">
        <f>IF(AD27="BURIED",DIGA(AD21,AD52/0.3048)/1.8,"")</f>
        <v/>
      </c>
      <c r="AE53" s="370"/>
      <c r="AF53" s="370"/>
      <c r="AG53" s="370"/>
      <c r="AH53" s="349" t="str">
        <f>IF(AH27="BURIED",DIGA(AH21,AH52/0.3048)/1.8,"")</f>
        <v/>
      </c>
      <c r="AI53" s="349"/>
      <c r="AJ53" s="349"/>
      <c r="AK53" s="349"/>
      <c r="AL53" s="196"/>
      <c r="AM53" s="459"/>
      <c r="AN53" s="194" t="s">
        <v>169</v>
      </c>
      <c r="AO53" s="198"/>
      <c r="AP53" s="248" t="s">
        <v>271</v>
      </c>
      <c r="AQ53" s="249"/>
      <c r="AR53" s="249"/>
      <c r="AS53" s="249"/>
      <c r="AT53" s="249"/>
      <c r="AU53" s="249"/>
      <c r="AV53" s="249"/>
      <c r="AW53" s="258"/>
      <c r="AX53" s="258"/>
      <c r="AY53" s="265" t="s">
        <v>220</v>
      </c>
      <c r="AZ53" s="348" t="str">
        <f>IF(AZ27="BURIED",DIGA(AZ21,AZ52/0.3048)/1.8,"")</f>
        <v/>
      </c>
      <c r="BA53" s="349"/>
      <c r="BB53" s="349"/>
      <c r="BC53" s="349"/>
      <c r="BD53" s="370" t="str">
        <f>IF(BD27="BURIED",DIGA(BD21,BD52/0.3048)/1.8,"")</f>
        <v/>
      </c>
      <c r="BE53" s="370"/>
      <c r="BF53" s="370"/>
      <c r="BG53" s="355"/>
      <c r="BH53" s="371" t="str">
        <f>IF(BH27="BURIED",DIGA(BH21,BH52/0.3048)/1.8,"")</f>
        <v/>
      </c>
      <c r="BI53" s="370"/>
      <c r="BJ53" s="370"/>
      <c r="BK53" s="370"/>
      <c r="BL53" s="370" t="str">
        <f>IF(BL27="BURIED",DIGA(BL21,BL52/0.3048)/1.8,"")</f>
        <v/>
      </c>
      <c r="BM53" s="370"/>
      <c r="BN53" s="370"/>
      <c r="BO53" s="372"/>
      <c r="BP53" s="354" t="str">
        <f>IF(BP27="BURIED",DIGA(BP21,BP52/0.3048)/1.8,"")</f>
        <v/>
      </c>
      <c r="BQ53" s="370"/>
      <c r="BR53" s="370"/>
      <c r="BS53" s="370"/>
      <c r="BT53" s="349" t="str">
        <f>IF(BT27="BURIED",DIGA(BT21,BT52/0.3048)/1.8,"")</f>
        <v/>
      </c>
      <c r="BU53" s="349"/>
      <c r="BV53" s="349"/>
      <c r="BW53" s="349"/>
      <c r="BX53" s="196"/>
    </row>
    <row r="54" spans="1:76" ht="20.25" customHeight="1">
      <c r="A54" s="459"/>
      <c r="B54" s="194" t="s">
        <v>170</v>
      </c>
      <c r="C54" s="198"/>
      <c r="D54" s="344" t="s">
        <v>272</v>
      </c>
      <c r="E54" s="345"/>
      <c r="F54" s="345"/>
      <c r="G54" s="345"/>
      <c r="H54" s="345"/>
      <c r="I54" s="345"/>
      <c r="J54" s="250"/>
      <c r="K54" s="346" t="s">
        <v>220</v>
      </c>
      <c r="L54" s="346"/>
      <c r="M54" s="347"/>
      <c r="N54" s="348" t="str">
        <f>IF(N27="BURIED",IF(N16&gt;N19,N19+N53,N19-N53),"")</f>
        <v/>
      </c>
      <c r="O54" s="349"/>
      <c r="P54" s="349"/>
      <c r="Q54" s="349"/>
      <c r="R54" s="370" t="str">
        <f t="shared" ref="R54" si="44">IF(R27="BURIED",IF(R16&gt;R19,R19+R53,R19-R53),"")</f>
        <v/>
      </c>
      <c r="S54" s="370"/>
      <c r="T54" s="370"/>
      <c r="U54" s="355"/>
      <c r="V54" s="371" t="str">
        <f t="shared" ref="V54" si="45">IF(V27="BURIED",IF(V16&gt;V19,V19+V53,V19-V53),"")</f>
        <v/>
      </c>
      <c r="W54" s="370"/>
      <c r="X54" s="370"/>
      <c r="Y54" s="370"/>
      <c r="Z54" s="370" t="str">
        <f t="shared" ref="Z54" si="46">IF(Z27="BURIED",IF(Z16&gt;Z19,Z19+Z53,Z19-Z53),"")</f>
        <v/>
      </c>
      <c r="AA54" s="370"/>
      <c r="AB54" s="370"/>
      <c r="AC54" s="372"/>
      <c r="AD54" s="354" t="str">
        <f t="shared" ref="AD54" si="47">IF(AD27="BURIED",IF(AD16&gt;AD19,AD19+AD53,AD19-AD53),"")</f>
        <v/>
      </c>
      <c r="AE54" s="370"/>
      <c r="AF54" s="370"/>
      <c r="AG54" s="370"/>
      <c r="AH54" s="349" t="str">
        <f t="shared" ref="AH54" si="48">IF(AH27="BURIED",IF(AH16&gt;AH19,AH19+AH53,AH19-AH53),"")</f>
        <v/>
      </c>
      <c r="AI54" s="349"/>
      <c r="AJ54" s="349"/>
      <c r="AK54" s="349"/>
      <c r="AL54" s="196"/>
      <c r="AM54" s="459"/>
      <c r="AN54" s="194" t="s">
        <v>170</v>
      </c>
      <c r="AO54" s="198"/>
      <c r="AP54" s="344" t="s">
        <v>272</v>
      </c>
      <c r="AQ54" s="345"/>
      <c r="AR54" s="345"/>
      <c r="AS54" s="345"/>
      <c r="AT54" s="345"/>
      <c r="AU54" s="345"/>
      <c r="AV54" s="264"/>
      <c r="AW54" s="346" t="s">
        <v>220</v>
      </c>
      <c r="AX54" s="346"/>
      <c r="AY54" s="347"/>
      <c r="AZ54" s="348" t="str">
        <f>IF(AZ27="BURIED",IF(AZ16&gt;AZ19,AZ19+AZ53,AZ19-AZ53),"")</f>
        <v/>
      </c>
      <c r="BA54" s="349"/>
      <c r="BB54" s="349"/>
      <c r="BC54" s="349"/>
      <c r="BD54" s="370" t="str">
        <f t="shared" ref="BD54" si="49">IF(BD27="BURIED",IF(BD16&gt;BD19,BD19+BD53,BD19-BD53),"")</f>
        <v/>
      </c>
      <c r="BE54" s="370"/>
      <c r="BF54" s="370"/>
      <c r="BG54" s="355"/>
      <c r="BH54" s="371" t="str">
        <f t="shared" ref="BH54" si="50">IF(BH27="BURIED",IF(BH16&gt;BH19,BH19+BH53,BH19-BH53),"")</f>
        <v/>
      </c>
      <c r="BI54" s="370"/>
      <c r="BJ54" s="370"/>
      <c r="BK54" s="370"/>
      <c r="BL54" s="370" t="str">
        <f t="shared" ref="BL54" si="51">IF(BL27="BURIED",IF(BL16&gt;BL19,BL19+BL53,BL19-BL53),"")</f>
        <v/>
      </c>
      <c r="BM54" s="370"/>
      <c r="BN54" s="370"/>
      <c r="BO54" s="372"/>
      <c r="BP54" s="354" t="str">
        <f t="shared" ref="BP54" si="52">IF(BP27="BURIED",IF(BP16&gt;BP19,BP19+BP53,BP19-BP53),"")</f>
        <v/>
      </c>
      <c r="BQ54" s="370"/>
      <c r="BR54" s="370"/>
      <c r="BS54" s="370"/>
      <c r="BT54" s="349" t="str">
        <f t="shared" ref="BT54" si="53">IF(BT27="BURIED",IF(BT16&gt;BT19,BT19+BT53,BT19-BT53),"")</f>
        <v/>
      </c>
      <c r="BU54" s="349"/>
      <c r="BV54" s="349"/>
      <c r="BW54" s="349"/>
      <c r="BX54" s="196"/>
    </row>
    <row r="55" spans="1:76" ht="20.25" customHeight="1">
      <c r="A55" s="459"/>
      <c r="B55" s="194" t="s">
        <v>171</v>
      </c>
      <c r="C55" s="198"/>
      <c r="D55" s="344" t="s">
        <v>273</v>
      </c>
      <c r="E55" s="345"/>
      <c r="F55" s="345"/>
      <c r="G55" s="345"/>
      <c r="H55" s="345"/>
      <c r="I55" s="345"/>
      <c r="J55" s="250"/>
      <c r="K55" s="346" t="s">
        <v>215</v>
      </c>
      <c r="L55" s="346"/>
      <c r="M55" s="347"/>
      <c r="N55" s="373"/>
      <c r="O55" s="374"/>
      <c r="P55" s="374"/>
      <c r="Q55" s="375"/>
      <c r="R55" s="376"/>
      <c r="S55" s="374"/>
      <c r="T55" s="374"/>
      <c r="U55" s="374"/>
      <c r="V55" s="373"/>
      <c r="W55" s="374"/>
      <c r="X55" s="374"/>
      <c r="Y55" s="375"/>
      <c r="Z55" s="376"/>
      <c r="AA55" s="374"/>
      <c r="AB55" s="374"/>
      <c r="AC55" s="377"/>
      <c r="AD55" s="374"/>
      <c r="AE55" s="374"/>
      <c r="AF55" s="374"/>
      <c r="AG55" s="375"/>
      <c r="AH55" s="376"/>
      <c r="AI55" s="374"/>
      <c r="AJ55" s="374"/>
      <c r="AK55" s="375"/>
      <c r="AL55" s="196"/>
      <c r="AM55" s="459"/>
      <c r="AN55" s="194" t="s">
        <v>171</v>
      </c>
      <c r="AO55" s="198"/>
      <c r="AP55" s="344" t="s">
        <v>273</v>
      </c>
      <c r="AQ55" s="345"/>
      <c r="AR55" s="345"/>
      <c r="AS55" s="345"/>
      <c r="AT55" s="345"/>
      <c r="AU55" s="345"/>
      <c r="AV55" s="264"/>
      <c r="AW55" s="346" t="s">
        <v>215</v>
      </c>
      <c r="AX55" s="346"/>
      <c r="AY55" s="347"/>
      <c r="AZ55" s="373"/>
      <c r="BA55" s="374"/>
      <c r="BB55" s="374"/>
      <c r="BC55" s="375"/>
      <c r="BD55" s="376"/>
      <c r="BE55" s="374"/>
      <c r="BF55" s="374"/>
      <c r="BG55" s="374"/>
      <c r="BH55" s="373"/>
      <c r="BI55" s="374"/>
      <c r="BJ55" s="374"/>
      <c r="BK55" s="375"/>
      <c r="BL55" s="376"/>
      <c r="BM55" s="374"/>
      <c r="BN55" s="374"/>
      <c r="BO55" s="377"/>
      <c r="BP55" s="374"/>
      <c r="BQ55" s="374"/>
      <c r="BR55" s="374"/>
      <c r="BS55" s="375"/>
      <c r="BT55" s="376"/>
      <c r="BU55" s="374"/>
      <c r="BV55" s="374"/>
      <c r="BW55" s="375"/>
      <c r="BX55" s="196"/>
    </row>
    <row r="56" spans="1:76" ht="20.25" customHeight="1">
      <c r="A56" s="459"/>
      <c r="B56" s="194" t="s">
        <v>291</v>
      </c>
      <c r="C56" s="198"/>
      <c r="D56" s="362" t="s">
        <v>274</v>
      </c>
      <c r="E56" s="363"/>
      <c r="F56" s="363"/>
      <c r="G56" s="363"/>
      <c r="H56" s="363"/>
      <c r="I56" s="363"/>
      <c r="J56" s="253"/>
      <c r="K56" s="364"/>
      <c r="L56" s="364"/>
      <c r="M56" s="364"/>
      <c r="N56" s="365"/>
      <c r="O56" s="365"/>
      <c r="P56" s="365"/>
      <c r="Q56" s="365"/>
      <c r="R56" s="365"/>
      <c r="S56" s="365"/>
      <c r="T56" s="365"/>
      <c r="U56" s="365"/>
      <c r="V56" s="366"/>
      <c r="W56" s="365"/>
      <c r="X56" s="365"/>
      <c r="Y56" s="365"/>
      <c r="Z56" s="365"/>
      <c r="AA56" s="365"/>
      <c r="AB56" s="365"/>
      <c r="AC56" s="367"/>
      <c r="AD56" s="365"/>
      <c r="AE56" s="365"/>
      <c r="AF56" s="365"/>
      <c r="AG56" s="365"/>
      <c r="AH56" s="365"/>
      <c r="AI56" s="365"/>
      <c r="AJ56" s="365"/>
      <c r="AK56" s="368"/>
      <c r="AL56" s="196"/>
      <c r="AM56" s="459"/>
      <c r="AN56" s="194" t="s">
        <v>291</v>
      </c>
      <c r="AO56" s="198"/>
      <c r="AP56" s="362" t="s">
        <v>274</v>
      </c>
      <c r="AQ56" s="363"/>
      <c r="AR56" s="363"/>
      <c r="AS56" s="363"/>
      <c r="AT56" s="363"/>
      <c r="AU56" s="363"/>
      <c r="AV56" s="273"/>
      <c r="AW56" s="364"/>
      <c r="AX56" s="364"/>
      <c r="AY56" s="364"/>
      <c r="AZ56" s="365"/>
      <c r="BA56" s="365"/>
      <c r="BB56" s="365"/>
      <c r="BC56" s="365"/>
      <c r="BD56" s="365"/>
      <c r="BE56" s="365"/>
      <c r="BF56" s="365"/>
      <c r="BG56" s="365"/>
      <c r="BH56" s="366"/>
      <c r="BI56" s="365"/>
      <c r="BJ56" s="365"/>
      <c r="BK56" s="365"/>
      <c r="BL56" s="365"/>
      <c r="BM56" s="365"/>
      <c r="BN56" s="365"/>
      <c r="BO56" s="367"/>
      <c r="BP56" s="365"/>
      <c r="BQ56" s="365"/>
      <c r="BR56" s="365"/>
      <c r="BS56" s="365"/>
      <c r="BT56" s="365"/>
      <c r="BU56" s="365"/>
      <c r="BV56" s="365"/>
      <c r="BW56" s="368"/>
      <c r="BX56" s="196"/>
    </row>
    <row r="57" spans="1:76" ht="20.25" customHeight="1">
      <c r="A57" s="459"/>
      <c r="B57" s="194" t="s">
        <v>292</v>
      </c>
      <c r="C57" s="198"/>
      <c r="D57" s="243" t="s">
        <v>298</v>
      </c>
      <c r="E57" s="244"/>
      <c r="F57" s="244"/>
      <c r="G57" s="244"/>
      <c r="H57" s="244"/>
      <c r="I57" s="244"/>
      <c r="J57" s="244"/>
      <c r="K57" s="245"/>
      <c r="L57" s="245"/>
      <c r="M57" s="245"/>
      <c r="N57" s="246"/>
      <c r="O57" s="246"/>
      <c r="P57" s="246"/>
      <c r="Q57" s="246"/>
      <c r="R57" s="246"/>
      <c r="S57" s="246"/>
      <c r="T57" s="246"/>
      <c r="U57" s="246"/>
      <c r="V57" s="280"/>
      <c r="W57" s="246"/>
      <c r="X57" s="246"/>
      <c r="Y57" s="246"/>
      <c r="Z57" s="246"/>
      <c r="AA57" s="246"/>
      <c r="AB57" s="246"/>
      <c r="AC57" s="281"/>
      <c r="AD57" s="246"/>
      <c r="AE57" s="246"/>
      <c r="AF57" s="246"/>
      <c r="AG57" s="246"/>
      <c r="AH57" s="246"/>
      <c r="AI57" s="246"/>
      <c r="AJ57" s="246"/>
      <c r="AK57" s="246"/>
      <c r="AL57" s="196"/>
      <c r="AM57" s="459"/>
      <c r="AN57" s="194" t="s">
        <v>292</v>
      </c>
      <c r="AO57" s="198"/>
      <c r="AP57" s="243" t="s">
        <v>298</v>
      </c>
      <c r="AQ57" s="244"/>
      <c r="AR57" s="244"/>
      <c r="AS57" s="244"/>
      <c r="AT57" s="244"/>
      <c r="AU57" s="244"/>
      <c r="AV57" s="244"/>
      <c r="AW57" s="245"/>
      <c r="AX57" s="245"/>
      <c r="AY57" s="245"/>
      <c r="AZ57" s="246"/>
      <c r="BA57" s="246"/>
      <c r="BB57" s="246"/>
      <c r="BC57" s="246"/>
      <c r="BD57" s="246"/>
      <c r="BE57" s="246"/>
      <c r="BF57" s="246"/>
      <c r="BG57" s="246"/>
      <c r="BH57" s="280"/>
      <c r="BI57" s="246"/>
      <c r="BJ57" s="246"/>
      <c r="BK57" s="246"/>
      <c r="BL57" s="246"/>
      <c r="BM57" s="246"/>
      <c r="BN57" s="246"/>
      <c r="BO57" s="281"/>
      <c r="BP57" s="246"/>
      <c r="BQ57" s="246"/>
      <c r="BR57" s="246"/>
      <c r="BS57" s="246"/>
      <c r="BT57" s="246"/>
      <c r="BU57" s="246"/>
      <c r="BV57" s="246"/>
      <c r="BW57" s="246"/>
      <c r="BX57" s="196"/>
    </row>
    <row r="58" spans="1:76" ht="20.25" customHeight="1">
      <c r="A58" s="459"/>
      <c r="B58" s="194" t="s">
        <v>293</v>
      </c>
      <c r="C58" s="198"/>
      <c r="D58" s="344" t="s">
        <v>294</v>
      </c>
      <c r="E58" s="345"/>
      <c r="F58" s="345"/>
      <c r="G58" s="345"/>
      <c r="H58" s="345"/>
      <c r="I58" s="345"/>
      <c r="J58" s="250"/>
      <c r="K58" s="346" t="s">
        <v>295</v>
      </c>
      <c r="L58" s="346"/>
      <c r="M58" s="347"/>
      <c r="N58" s="369">
        <f>IFERROR(ovh(N27,IF(N38="",0,N38),N30,N31,IF(N51="",0,N51),N43/1.488164,IF(N44="",0,N44/1.488164),IF(N55="",0,N55/1.488164),N45/4.882431,IF(N47="",0,N47/4.882431))* 4.882431,"")</f>
        <v>12.029874559526682</v>
      </c>
      <c r="O58" s="361"/>
      <c r="P58" s="361"/>
      <c r="Q58" s="361"/>
      <c r="R58" s="356">
        <f>IFERROR(ovh(R27,IF(R38="",0,R38),R30,R31,IF(R51="",0,R51),R43/1.488164,IF(R44="",0,R44/1.488164),IF(R55="",0,R55/1.488164),R45/4.882431,IF(R47="",0,R47/4.882431))* 4.882431,"")</f>
        <v>0.87862713791419578</v>
      </c>
      <c r="S58" s="356"/>
      <c r="T58" s="356"/>
      <c r="U58" s="357"/>
      <c r="V58" s="358">
        <f>IFERROR(ovh(V27,IF(V38="",0,V38),V30,V31,IF(V51="",0,V51),V43/1.488164,IF(V44="",0,V44/1.488164),IF(V55="",0,V55/1.488164),V45/4.882431,IF(V47="",0,V47/4.882431))* 4.882431,"")</f>
        <v>19.025505775146964</v>
      </c>
      <c r="W58" s="356"/>
      <c r="X58" s="356"/>
      <c r="Y58" s="356"/>
      <c r="Z58" s="356">
        <f>IFERROR(ovh(Z27,IF(Z38="",0,Z38),Z30,Z31,IF(Z51="",0,Z51),Z43/1.488164,IF(Z44="",0,Z44/1.488164),IF(Z55="",0,Z55/1.488164),Z45/4.882431,IF(Z47="",0,Z47/4.882431))* 4.882431,"")</f>
        <v>0.90203708477962019</v>
      </c>
      <c r="AA58" s="356"/>
      <c r="AB58" s="356"/>
      <c r="AC58" s="359"/>
      <c r="AD58" s="360">
        <f>IFERROR(ovh(AD27,IF(AD38="",0,AD38),AD30,AD31,IF(AD51="",0,AD51),AD43/1.488164,IF(AD44="",0,AD44/1.488164),IF(AD55="",0,AD55/1.488164),AD45/4.882431,IF(AD47="",0,AD47/4.882431))* 4.882431,"")</f>
        <v>11.575119668292762</v>
      </c>
      <c r="AE58" s="356"/>
      <c r="AF58" s="356"/>
      <c r="AG58" s="356"/>
      <c r="AH58" s="361">
        <f>IFERROR(ovh(AH27,IF(AH38="",0,AH38),AH30,AH31,IF(AH51="",0,AH51),AH43/1.488164,IF(AH44="",0,AH44/1.488164),IF(AH55="",0,AH55/1.488164),AH45/4.882431,IF(AH47="",0,AH47/4.882431))* 4.882431,"")</f>
        <v>0.87672586047157652</v>
      </c>
      <c r="AI58" s="361"/>
      <c r="AJ58" s="361"/>
      <c r="AK58" s="361"/>
      <c r="AL58" s="196"/>
      <c r="AM58" s="459"/>
      <c r="AN58" s="194" t="s">
        <v>293</v>
      </c>
      <c r="AO58" s="198"/>
      <c r="AP58" s="344" t="s">
        <v>294</v>
      </c>
      <c r="AQ58" s="345"/>
      <c r="AR58" s="345"/>
      <c r="AS58" s="345"/>
      <c r="AT58" s="345"/>
      <c r="AU58" s="345"/>
      <c r="AV58" s="264"/>
      <c r="AW58" s="346" t="s">
        <v>295</v>
      </c>
      <c r="AX58" s="346"/>
      <c r="AY58" s="347"/>
      <c r="AZ58" s="369">
        <f>IFERROR(ovh(AZ27,IF(AZ38="",0,AZ38),AZ30,AZ31,IF(AZ51="",0,AZ51),AZ43/1.488164,IF(AZ44="",0,AZ44/1.488164),IF(AZ55="",0,AZ55/1.488164),AZ45/4.882431,IF(AZ47="",0,AZ47/4.882431))* 4.882431,"")</f>
        <v>18.020967769954922</v>
      </c>
      <c r="BA58" s="361"/>
      <c r="BB58" s="361"/>
      <c r="BC58" s="361"/>
      <c r="BD58" s="356">
        <f>IFERROR(ovh(BD27,IF(BD38="",0,BD38),BD30,BD31,IF(BD51="",0,BD51),BD43/1.488164,IF(BD44="",0,BD44/1.488164),IF(BD55="",0,BD55/1.488164),BD45/4.882431,IF(BD47="",0,BD47/4.882431))* 4.882431,"")</f>
        <v>0.90060856212298579</v>
      </c>
      <c r="BE58" s="356"/>
      <c r="BF58" s="356"/>
      <c r="BG58" s="357"/>
      <c r="BH58" s="358" t="str">
        <f>IFERROR(ovh(BH27,IF(BH38="",0,BH38),BH30,BH31,IF(BH51="",0,BH51),BH43/1.488164,IF(BH44="",0,BH44/1.488164),IF(BH55="",0,BH55/1.488164),BH45/4.882431,IF(BH47="",0,BH47/4.882431))* 4.882431,"")</f>
        <v/>
      </c>
      <c r="BI58" s="356"/>
      <c r="BJ58" s="356"/>
      <c r="BK58" s="356"/>
      <c r="BL58" s="356" t="str">
        <f>IFERROR(ovh(BL27,IF(BL38="",0,BL38),BL30,BL31,IF(BL51="",0,BL51),BL43/1.488164,IF(BL44="",0,BL44/1.488164),IF(BL55="",0,BL55/1.488164),BL45/4.882431,IF(BL47="",0,BL47/4.882431))* 4.882431,"")</f>
        <v/>
      </c>
      <c r="BM58" s="356"/>
      <c r="BN58" s="356"/>
      <c r="BO58" s="359"/>
      <c r="BP58" s="360" t="str">
        <f>IFERROR(ovh(BP27,IF(BP38="",0,BP38),BP30,BP31,IF(BP51="",0,BP51),BP43/1.488164,IF(BP44="",0,BP44/1.488164),IF(BP55="",0,BP55/1.488164),BP45/4.882431,IF(BP47="",0,BP47/4.882431))* 4.882431,"")</f>
        <v/>
      </c>
      <c r="BQ58" s="356"/>
      <c r="BR58" s="356"/>
      <c r="BS58" s="356"/>
      <c r="BT58" s="361" t="str">
        <f>IFERROR(ovh(BT27,IF(BT38="",0,BT38),BT30,BT31,IF(BT51="",0,BT51),BT43/1.488164,IF(BT44="",0,BT44/1.488164),IF(BT55="",0,BT55/1.488164),BT45/4.882431,IF(BT47="",0,BT47/4.882431))* 4.882431,"")</f>
        <v/>
      </c>
      <c r="BU58" s="361"/>
      <c r="BV58" s="361"/>
      <c r="BW58" s="361"/>
      <c r="BX58" s="196"/>
    </row>
    <row r="59" spans="1:76" ht="20.25" customHeight="1">
      <c r="A59" s="459"/>
      <c r="B59" s="194" t="s">
        <v>172</v>
      </c>
      <c r="C59" s="198"/>
      <c r="D59" s="344" t="s">
        <v>296</v>
      </c>
      <c r="E59" s="345"/>
      <c r="F59" s="345"/>
      <c r="G59" s="345"/>
      <c r="H59" s="345"/>
      <c r="I59" s="345"/>
      <c r="J59" s="250"/>
      <c r="K59" s="346" t="s">
        <v>297</v>
      </c>
      <c r="L59" s="346"/>
      <c r="M59" s="347"/>
      <c r="N59" s="489">
        <f>IF(N14="","",IFERROR(th(N27,IF(N58="",0,N58/4.882431),N30,N31,N32/0.3048,IF(N17="",0,N17*1.8+32),IF(N54="",0,N54*1.8+32),N19*1.8+32,N16*1.8+32)*0.252,"직접 입력"))</f>
        <v>9576.9409707641953</v>
      </c>
      <c r="O59" s="490"/>
      <c r="P59" s="490"/>
      <c r="Q59" s="490"/>
      <c r="R59" s="356">
        <f>IF(R14="","",IFERROR(th(R27,IF(R58="",0,R58/4.882431),R30,R31,R32/0.3048,IF(R17="",0,R17*1.8+32),IF(R54="",0,R54*1.8+32),R19*1.8+32,R16*1.8+32)*0.252,"직접 입력"))</f>
        <v>1583.4412807271542</v>
      </c>
      <c r="S59" s="356"/>
      <c r="T59" s="356"/>
      <c r="U59" s="357"/>
      <c r="V59" s="358">
        <f>IF(V14="","",IFERROR(th(V27,IF(V58="",0,V58/4.882431),V30,V31,V32/0.3048,IF(V17="",0,V17*1.8+32),IF(V54="",0,V54*1.8+32),V19*1.8+32,V16*1.8+32)*0.252,"직접 입력"))</f>
        <v>14871.586651540498</v>
      </c>
      <c r="W59" s="356"/>
      <c r="X59" s="356"/>
      <c r="Y59" s="356"/>
      <c r="Z59" s="356">
        <f>IF(Z14="","",IFERROR(th(Z27,IF(Z58="",0,Z58/4.882431),Z30,Z31,Z32/0.3048,IF(Z17="",0,Z17*1.8+32),IF(Z54="",0,Z54*1.8+32),Z19*1.8+32,Z16*1.8+32)*0.252,"직접 입력"))</f>
        <v>1553.5170484591795</v>
      </c>
      <c r="AA59" s="356"/>
      <c r="AB59" s="356"/>
      <c r="AC59" s="359"/>
      <c r="AD59" s="360">
        <f>IF(AD14="","",IFERROR(th(AD27,IF(AD58="",0,AD58/4.882431),AD30,AD31,AD32/0.3048,IF(AD17="",0,AD17*1.8+32),IF(AD54="",0,AD54*1.8+32),AD19*1.8+32,AD16*1.8+32)*0.252,"직접 입력"))</f>
        <v>6950.6200936071518</v>
      </c>
      <c r="AE59" s="356"/>
      <c r="AF59" s="356"/>
      <c r="AG59" s="356"/>
      <c r="AH59" s="361">
        <f>IF(AH14="","",IFERROR(th(AH27,IF(AH58="",0,AH58/4.882431),AH30,AH31,AH32/0.3048,IF(AH17="",0,AH17*1.8+32),IF(AH54="",0,AH54*1.8+32),AH19*1.8+32,AH16*1.8+32)*0.252,"직접 입력"))</f>
        <v>1193.3245201193615</v>
      </c>
      <c r="AI59" s="361"/>
      <c r="AJ59" s="361"/>
      <c r="AK59" s="361"/>
      <c r="AL59" s="201"/>
      <c r="AM59" s="459"/>
      <c r="AN59" s="194" t="s">
        <v>172</v>
      </c>
      <c r="AO59" s="198"/>
      <c r="AP59" s="344" t="s">
        <v>296</v>
      </c>
      <c r="AQ59" s="345"/>
      <c r="AR59" s="345"/>
      <c r="AS59" s="345"/>
      <c r="AT59" s="345"/>
      <c r="AU59" s="345"/>
      <c r="AV59" s="264"/>
      <c r="AW59" s="346" t="s">
        <v>297</v>
      </c>
      <c r="AX59" s="346"/>
      <c r="AY59" s="347"/>
      <c r="AZ59" s="348">
        <f>IF(AZ14="","",IFERROR(th(AZ27,IF(AZ58="",0,AZ58/4.882431),AZ30,AZ31,AZ32/0.3048,IF(AZ17="",0,AZ17*1.8+32),IF(AZ54="",0,AZ54*1.8+32),AZ19*1.8+32,AZ16*1.8+32)*0.252,"직접 입력"))</f>
        <v>10636.145956849972</v>
      </c>
      <c r="BA59" s="349"/>
      <c r="BB59" s="349"/>
      <c r="BC59" s="349"/>
      <c r="BD59" s="356">
        <f>IF(BD14="","",IFERROR(th(BD27,IF(BD58="",0,BD58/4.882431),BD30,BD31,BD32/0.3048,IF(BD17="",0,BD17*1.8+32),IF(BD54="",0,BD54*1.8+32),BD19*1.8+32,BD16*1.8+32)*0.252,"직접 입력"))</f>
        <v>1175.7282592606164</v>
      </c>
      <c r="BE59" s="356"/>
      <c r="BF59" s="356"/>
      <c r="BG59" s="357"/>
      <c r="BH59" s="358" t="str">
        <f>IF(BH14="","",IFERROR(th(BH27,IF(BH58="",0,BH58/4.882431),BH30,BH31,BH32/0.3048,IF(BH17="",0,BH17*1.8+32),IF(BH54="",0,BH54*1.8+32),BH19*1.8+32,BH16*1.8+32)*0.252,"직접 입력"))</f>
        <v/>
      </c>
      <c r="BI59" s="356"/>
      <c r="BJ59" s="356"/>
      <c r="BK59" s="356"/>
      <c r="BL59" s="356" t="str">
        <f>IF(BL14="","",IFERROR(th(BL27,IF(BL58="",0,BL58/4.882431),BL30,BL31,BL32/0.3048,IF(BL17="",0,BL17*1.8+32),IF(BL54="",0,BL54*1.8+32),BL19*1.8+32,BL16*1.8+32)*0.252,"직접 입력"))</f>
        <v/>
      </c>
      <c r="BM59" s="356"/>
      <c r="BN59" s="356"/>
      <c r="BO59" s="359"/>
      <c r="BP59" s="360" t="str">
        <f>IF(BP14="","",IFERROR(th(BP27,IF(BP58="",0,BP58/4.882431),BP30,BP31,BP32/0.3048,IF(BP17="",0,BP17*1.8+32),IF(BP54="",0,BP54*1.8+32),BP19*1.8+32,BP16*1.8+32)*0.252,"직접 입력"))</f>
        <v/>
      </c>
      <c r="BQ59" s="356"/>
      <c r="BR59" s="356"/>
      <c r="BS59" s="356"/>
      <c r="BT59" s="361" t="str">
        <f>IF(BT14="","",IFERROR(th(BT27,IF(BT58="",0,BT58/4.882431),BT30,BT31,BT32/0.3048,IF(BT17="",0,BT17*1.8+32),IF(BT54="",0,BT54*1.8+32),BT19*1.8+32,BT16*1.8+32)*0.252,"직접 입력"))</f>
        <v/>
      </c>
      <c r="BU59" s="361"/>
      <c r="BV59" s="361"/>
      <c r="BW59" s="361"/>
      <c r="BX59" s="201"/>
    </row>
    <row r="60" spans="1:76" ht="20.25" customHeight="1">
      <c r="A60" s="459"/>
      <c r="B60" s="194" t="s">
        <v>173</v>
      </c>
      <c r="C60" s="198"/>
      <c r="D60" s="243" t="s">
        <v>309</v>
      </c>
      <c r="E60" s="244"/>
      <c r="F60" s="244"/>
      <c r="G60" s="244"/>
      <c r="H60" s="244"/>
      <c r="I60" s="244"/>
      <c r="J60" s="244"/>
      <c r="K60" s="245"/>
      <c r="L60" s="245"/>
      <c r="M60" s="245"/>
      <c r="N60" s="246"/>
      <c r="O60" s="246"/>
      <c r="P60" s="246"/>
      <c r="Q60" s="246"/>
      <c r="R60" s="246"/>
      <c r="S60" s="246"/>
      <c r="T60" s="246"/>
      <c r="U60" s="246"/>
      <c r="V60" s="280"/>
      <c r="W60" s="246"/>
      <c r="X60" s="246"/>
      <c r="Y60" s="246"/>
      <c r="Z60" s="246"/>
      <c r="AA60" s="246"/>
      <c r="AB60" s="246"/>
      <c r="AC60" s="281"/>
      <c r="AD60" s="246"/>
      <c r="AE60" s="246"/>
      <c r="AF60" s="246"/>
      <c r="AG60" s="246"/>
      <c r="AH60" s="246"/>
      <c r="AI60" s="246"/>
      <c r="AJ60" s="246"/>
      <c r="AK60" s="246"/>
      <c r="AL60" s="201"/>
      <c r="AM60" s="459"/>
      <c r="AN60" s="194" t="s">
        <v>173</v>
      </c>
      <c r="AO60" s="198"/>
      <c r="AP60" s="243" t="s">
        <v>309</v>
      </c>
      <c r="AQ60" s="244"/>
      <c r="AR60" s="244"/>
      <c r="AS60" s="244"/>
      <c r="AT60" s="244"/>
      <c r="AU60" s="244"/>
      <c r="AV60" s="244"/>
      <c r="AW60" s="245"/>
      <c r="AX60" s="245"/>
      <c r="AY60" s="245"/>
      <c r="AZ60" s="246"/>
      <c r="BA60" s="246"/>
      <c r="BB60" s="246"/>
      <c r="BC60" s="246"/>
      <c r="BD60" s="246"/>
      <c r="BE60" s="246"/>
      <c r="BF60" s="246"/>
      <c r="BG60" s="246"/>
      <c r="BH60" s="280"/>
      <c r="BI60" s="246"/>
      <c r="BJ60" s="246"/>
      <c r="BK60" s="246"/>
      <c r="BL60" s="246"/>
      <c r="BM60" s="246"/>
      <c r="BN60" s="246"/>
      <c r="BO60" s="281"/>
      <c r="BP60" s="246"/>
      <c r="BQ60" s="246"/>
      <c r="BR60" s="246"/>
      <c r="BS60" s="246"/>
      <c r="BT60" s="246"/>
      <c r="BU60" s="246"/>
      <c r="BV60" s="246"/>
      <c r="BW60" s="246"/>
      <c r="BX60" s="201"/>
    </row>
    <row r="61" spans="1:76" ht="20.25" customHeight="1">
      <c r="A61" s="459"/>
      <c r="B61" s="194" t="s">
        <v>174</v>
      </c>
      <c r="C61" s="198"/>
      <c r="D61" s="344" t="s">
        <v>301</v>
      </c>
      <c r="E61" s="345"/>
      <c r="F61" s="345"/>
      <c r="G61" s="345"/>
      <c r="H61" s="345"/>
      <c r="I61" s="345"/>
      <c r="J61" s="250"/>
      <c r="K61" s="346" t="s">
        <v>300</v>
      </c>
      <c r="L61" s="346"/>
      <c r="M61" s="347"/>
      <c r="N61" s="348">
        <f>N32+R32</f>
        <v>122</v>
      </c>
      <c r="O61" s="349"/>
      <c r="P61" s="349"/>
      <c r="Q61" s="349"/>
      <c r="R61" s="349"/>
      <c r="S61" s="349"/>
      <c r="T61" s="349"/>
      <c r="U61" s="349"/>
      <c r="V61" s="348">
        <f>V32+Z32</f>
        <v>122</v>
      </c>
      <c r="W61" s="349"/>
      <c r="X61" s="349"/>
      <c r="Y61" s="349"/>
      <c r="Z61" s="349"/>
      <c r="AA61" s="349"/>
      <c r="AB61" s="349"/>
      <c r="AC61" s="349"/>
      <c r="AD61" s="348">
        <f>AD32+AH32</f>
        <v>122</v>
      </c>
      <c r="AE61" s="349"/>
      <c r="AF61" s="349"/>
      <c r="AG61" s="349"/>
      <c r="AH61" s="349"/>
      <c r="AI61" s="349"/>
      <c r="AJ61" s="349"/>
      <c r="AK61" s="349"/>
      <c r="AL61" s="201"/>
      <c r="AM61" s="459"/>
      <c r="AN61" s="194" t="s">
        <v>174</v>
      </c>
      <c r="AO61" s="198"/>
      <c r="AP61" s="344" t="s">
        <v>301</v>
      </c>
      <c r="AQ61" s="345"/>
      <c r="AR61" s="345"/>
      <c r="AS61" s="345"/>
      <c r="AT61" s="345"/>
      <c r="AU61" s="345"/>
      <c r="AV61" s="264"/>
      <c r="AW61" s="346" t="s">
        <v>214</v>
      </c>
      <c r="AX61" s="346"/>
      <c r="AY61" s="347"/>
      <c r="AZ61" s="348">
        <f>AZ32+BD32</f>
        <v>122</v>
      </c>
      <c r="BA61" s="349"/>
      <c r="BB61" s="349"/>
      <c r="BC61" s="349"/>
      <c r="BD61" s="349"/>
      <c r="BE61" s="349"/>
      <c r="BF61" s="349"/>
      <c r="BG61" s="349"/>
      <c r="BH61" s="348">
        <f>BH32+BL32</f>
        <v>0</v>
      </c>
      <c r="BI61" s="349"/>
      <c r="BJ61" s="349"/>
      <c r="BK61" s="349"/>
      <c r="BL61" s="349"/>
      <c r="BM61" s="349"/>
      <c r="BN61" s="349"/>
      <c r="BO61" s="349"/>
      <c r="BP61" s="348">
        <f>BP32+BT32</f>
        <v>0</v>
      </c>
      <c r="BQ61" s="349"/>
      <c r="BR61" s="349"/>
      <c r="BS61" s="349"/>
      <c r="BT61" s="349"/>
      <c r="BU61" s="349"/>
      <c r="BV61" s="349"/>
      <c r="BW61" s="349"/>
      <c r="BX61" s="201"/>
    </row>
    <row r="62" spans="1:76" ht="20.25" customHeight="1">
      <c r="A62" s="459"/>
      <c r="B62" s="194" t="s">
        <v>175</v>
      </c>
      <c r="C62" s="198"/>
      <c r="D62" s="344" t="s">
        <v>299</v>
      </c>
      <c r="E62" s="345"/>
      <c r="F62" s="345"/>
      <c r="G62" s="345"/>
      <c r="H62" s="345"/>
      <c r="I62" s="345"/>
      <c r="J62" s="250"/>
      <c r="K62" s="346" t="s">
        <v>297</v>
      </c>
      <c r="L62" s="346"/>
      <c r="M62" s="347"/>
      <c r="N62" s="348">
        <f>N59+R59</f>
        <v>11160.38225149135</v>
      </c>
      <c r="O62" s="349"/>
      <c r="P62" s="349"/>
      <c r="Q62" s="349"/>
      <c r="R62" s="349"/>
      <c r="S62" s="349"/>
      <c r="T62" s="349"/>
      <c r="U62" s="350"/>
      <c r="V62" s="348">
        <f>V59+Z59</f>
        <v>16425.103699999676</v>
      </c>
      <c r="W62" s="349"/>
      <c r="X62" s="349"/>
      <c r="Y62" s="349"/>
      <c r="Z62" s="349"/>
      <c r="AA62" s="349"/>
      <c r="AB62" s="349"/>
      <c r="AC62" s="350"/>
      <c r="AD62" s="348">
        <f>AD59+AH59</f>
        <v>8143.9446137265131</v>
      </c>
      <c r="AE62" s="349"/>
      <c r="AF62" s="349"/>
      <c r="AG62" s="349"/>
      <c r="AH62" s="349"/>
      <c r="AI62" s="349"/>
      <c r="AJ62" s="349"/>
      <c r="AK62" s="350"/>
      <c r="AL62" s="201"/>
      <c r="AM62" s="459"/>
      <c r="AN62" s="194" t="s">
        <v>175</v>
      </c>
      <c r="AO62" s="198"/>
      <c r="AP62" s="344" t="s">
        <v>296</v>
      </c>
      <c r="AQ62" s="345"/>
      <c r="AR62" s="345"/>
      <c r="AS62" s="345"/>
      <c r="AT62" s="345"/>
      <c r="AU62" s="345"/>
      <c r="AV62" s="264"/>
      <c r="AW62" s="346" t="s">
        <v>297</v>
      </c>
      <c r="AX62" s="346"/>
      <c r="AY62" s="347"/>
      <c r="AZ62" s="348">
        <f>AZ59+BD59</f>
        <v>11811.874216110589</v>
      </c>
      <c r="BA62" s="349"/>
      <c r="BB62" s="349"/>
      <c r="BC62" s="349"/>
      <c r="BD62" s="349"/>
      <c r="BE62" s="349"/>
      <c r="BF62" s="349"/>
      <c r="BG62" s="350"/>
      <c r="BH62" s="348" t="e">
        <f>BH59+BL59</f>
        <v>#VALUE!</v>
      </c>
      <c r="BI62" s="349"/>
      <c r="BJ62" s="349"/>
      <c r="BK62" s="349"/>
      <c r="BL62" s="349"/>
      <c r="BM62" s="349"/>
      <c r="BN62" s="349"/>
      <c r="BO62" s="350"/>
      <c r="BP62" s="348" t="e">
        <f>BP59+BT59</f>
        <v>#VALUE!</v>
      </c>
      <c r="BQ62" s="349"/>
      <c r="BR62" s="349"/>
      <c r="BS62" s="349"/>
      <c r="BT62" s="349"/>
      <c r="BU62" s="349"/>
      <c r="BV62" s="349"/>
      <c r="BW62" s="350"/>
      <c r="BX62" s="201"/>
    </row>
    <row r="63" spans="1:76" ht="20.25" customHeight="1" thickBot="1">
      <c r="A63" s="459"/>
      <c r="B63" s="194" t="s">
        <v>305</v>
      </c>
      <c r="C63" s="202"/>
      <c r="D63" s="277" t="s">
        <v>313</v>
      </c>
      <c r="E63" s="278"/>
      <c r="F63" s="278"/>
      <c r="G63" s="278"/>
      <c r="H63" s="278"/>
      <c r="I63" s="278"/>
      <c r="J63" s="263"/>
      <c r="L63" s="276"/>
      <c r="M63" s="262" t="s">
        <v>220</v>
      </c>
      <c r="N63" s="351">
        <f>R18-N16</f>
        <v>-1.1188055907779244</v>
      </c>
      <c r="O63" s="352"/>
      <c r="P63" s="352"/>
      <c r="Q63" s="352"/>
      <c r="R63" s="352"/>
      <c r="S63" s="352"/>
      <c r="T63" s="352"/>
      <c r="U63" s="353"/>
      <c r="V63" s="351"/>
      <c r="W63" s="352"/>
      <c r="X63" s="352"/>
      <c r="Y63" s="352"/>
      <c r="Z63" s="352"/>
      <c r="AA63" s="352"/>
      <c r="AB63" s="352"/>
      <c r="AC63" s="353"/>
      <c r="AD63" s="349"/>
      <c r="AE63" s="349"/>
      <c r="AF63" s="349"/>
      <c r="AG63" s="354"/>
      <c r="AH63" s="355"/>
      <c r="AI63" s="349"/>
      <c r="AJ63" s="349"/>
      <c r="AK63" s="354"/>
      <c r="AL63" s="203"/>
      <c r="AM63" s="459"/>
      <c r="AN63" s="194" t="s">
        <v>305</v>
      </c>
      <c r="AO63" s="202"/>
      <c r="AP63" s="277" t="s">
        <v>313</v>
      </c>
      <c r="AQ63" s="278"/>
      <c r="AR63" s="278"/>
      <c r="AS63" s="278"/>
      <c r="AT63" s="278"/>
      <c r="AU63" s="278"/>
      <c r="AV63" s="264"/>
      <c r="AX63" s="276"/>
      <c r="AY63" s="265" t="s">
        <v>220</v>
      </c>
      <c r="AZ63" s="351">
        <f>BD18-AZ16</f>
        <v>-1.1841163333616223</v>
      </c>
      <c r="BA63" s="352"/>
      <c r="BB63" s="352"/>
      <c r="BC63" s="352"/>
      <c r="BD63" s="352"/>
      <c r="BE63" s="352"/>
      <c r="BF63" s="352"/>
      <c r="BG63" s="353"/>
      <c r="BH63" s="351"/>
      <c r="BI63" s="352"/>
      <c r="BJ63" s="352"/>
      <c r="BK63" s="352"/>
      <c r="BL63" s="352"/>
      <c r="BM63" s="352"/>
      <c r="BN63" s="352"/>
      <c r="BO63" s="353"/>
      <c r="BP63" s="349"/>
      <c r="BQ63" s="349"/>
      <c r="BR63" s="349"/>
      <c r="BS63" s="354"/>
      <c r="BT63" s="355"/>
      <c r="BU63" s="349"/>
      <c r="BV63" s="349"/>
      <c r="BW63" s="354"/>
      <c r="BX63" s="203"/>
    </row>
    <row r="64" spans="1:76" ht="20.25" customHeight="1" thickBot="1">
      <c r="A64" s="459"/>
      <c r="B64" s="194"/>
      <c r="C64" s="335" t="s">
        <v>176</v>
      </c>
      <c r="D64" s="336"/>
      <c r="E64" s="336"/>
      <c r="F64" s="336"/>
      <c r="G64" s="336"/>
      <c r="H64" s="336"/>
      <c r="I64" s="336"/>
      <c r="J64" s="336"/>
      <c r="K64" s="336"/>
      <c r="L64" s="336"/>
      <c r="M64" s="336"/>
      <c r="N64" s="336"/>
      <c r="O64" s="336"/>
      <c r="P64" s="336"/>
      <c r="Q64" s="336"/>
      <c r="R64" s="336"/>
      <c r="S64" s="336"/>
      <c r="T64" s="336"/>
      <c r="U64" s="336"/>
      <c r="V64" s="336"/>
      <c r="W64" s="336"/>
      <c r="X64" s="336"/>
      <c r="Y64" s="336"/>
      <c r="Z64" s="336"/>
      <c r="AA64" s="336"/>
      <c r="AB64" s="336"/>
      <c r="AC64" s="336"/>
      <c r="AD64" s="336"/>
      <c r="AE64" s="336"/>
      <c r="AF64" s="336"/>
      <c r="AG64" s="336"/>
      <c r="AH64" s="336"/>
      <c r="AI64" s="336"/>
      <c r="AJ64" s="336"/>
      <c r="AK64" s="336"/>
      <c r="AL64" s="337"/>
      <c r="AM64" s="459"/>
      <c r="AN64" s="194"/>
      <c r="AO64" s="335" t="s">
        <v>176</v>
      </c>
      <c r="AP64" s="336"/>
      <c r="AQ64" s="336"/>
      <c r="AR64" s="336"/>
      <c r="AS64" s="336"/>
      <c r="AT64" s="336"/>
      <c r="AU64" s="336"/>
      <c r="AV64" s="336"/>
      <c r="AW64" s="336"/>
      <c r="AX64" s="336"/>
      <c r="AY64" s="336"/>
      <c r="AZ64" s="336"/>
      <c r="BA64" s="336"/>
      <c r="BB64" s="336"/>
      <c r="BC64" s="336"/>
      <c r="BD64" s="336"/>
      <c r="BE64" s="336"/>
      <c r="BF64" s="336"/>
      <c r="BG64" s="336"/>
      <c r="BH64" s="336"/>
      <c r="BI64" s="336"/>
      <c r="BJ64" s="336"/>
      <c r="BK64" s="336"/>
      <c r="BL64" s="336"/>
      <c r="BM64" s="336"/>
      <c r="BN64" s="336"/>
      <c r="BO64" s="336"/>
      <c r="BP64" s="336"/>
      <c r="BQ64" s="336"/>
      <c r="BR64" s="336"/>
      <c r="BS64" s="336"/>
      <c r="BT64" s="336"/>
      <c r="BU64" s="336"/>
      <c r="BV64" s="336"/>
      <c r="BW64" s="336"/>
      <c r="BX64" s="337"/>
    </row>
    <row r="65" spans="1:76" ht="20.25" customHeight="1">
      <c r="A65" s="459"/>
      <c r="B65" s="194"/>
      <c r="C65" s="338"/>
      <c r="D65" s="339"/>
      <c r="E65" s="340"/>
      <c r="F65" s="341"/>
      <c r="G65" s="341"/>
      <c r="H65" s="342"/>
      <c r="I65" s="339"/>
      <c r="J65" s="339"/>
      <c r="K65" s="339"/>
      <c r="L65" s="339"/>
      <c r="M65" s="339"/>
      <c r="N65" s="339"/>
      <c r="O65" s="339"/>
      <c r="P65" s="339"/>
      <c r="Q65" s="339"/>
      <c r="R65" s="339"/>
      <c r="S65" s="339"/>
      <c r="T65" s="339"/>
      <c r="U65" s="339"/>
      <c r="V65" s="339"/>
      <c r="W65" s="339"/>
      <c r="X65" s="339"/>
      <c r="Y65" s="339"/>
      <c r="Z65" s="339"/>
      <c r="AA65" s="339"/>
      <c r="AB65" s="339"/>
      <c r="AC65" s="339"/>
      <c r="AD65" s="339"/>
      <c r="AE65" s="339"/>
      <c r="AF65" s="339"/>
      <c r="AG65" s="339"/>
      <c r="AH65" s="339"/>
      <c r="AI65" s="339"/>
      <c r="AJ65" s="339"/>
      <c r="AK65" s="339"/>
      <c r="AL65" s="343"/>
      <c r="AM65" s="459"/>
      <c r="AN65" s="194"/>
      <c r="AO65" s="338"/>
      <c r="AP65" s="339"/>
      <c r="AQ65" s="340"/>
      <c r="AR65" s="341"/>
      <c r="AS65" s="341"/>
      <c r="AT65" s="342"/>
      <c r="AU65" s="339"/>
      <c r="AV65" s="339"/>
      <c r="AW65" s="339"/>
      <c r="AX65" s="339"/>
      <c r="AY65" s="339"/>
      <c r="AZ65" s="339"/>
      <c r="BA65" s="339"/>
      <c r="BB65" s="339"/>
      <c r="BC65" s="339"/>
      <c r="BD65" s="339"/>
      <c r="BE65" s="339"/>
      <c r="BF65" s="339"/>
      <c r="BG65" s="339"/>
      <c r="BH65" s="339"/>
      <c r="BI65" s="339"/>
      <c r="BJ65" s="339"/>
      <c r="BK65" s="339"/>
      <c r="BL65" s="339"/>
      <c r="BM65" s="339"/>
      <c r="BN65" s="339"/>
      <c r="BO65" s="339"/>
      <c r="BP65" s="339"/>
      <c r="BQ65" s="339"/>
      <c r="BR65" s="339"/>
      <c r="BS65" s="339"/>
      <c r="BT65" s="339"/>
      <c r="BU65" s="339"/>
      <c r="BV65" s="339"/>
      <c r="BW65" s="339"/>
      <c r="BX65" s="343"/>
    </row>
    <row r="66" spans="1:76" ht="20.25" customHeight="1">
      <c r="A66" s="459"/>
      <c r="C66" s="326"/>
      <c r="D66" s="327"/>
      <c r="E66" s="328"/>
      <c r="F66" s="329"/>
      <c r="G66" s="329"/>
      <c r="H66" s="330"/>
      <c r="I66" s="327"/>
      <c r="J66" s="327"/>
      <c r="K66" s="327"/>
      <c r="L66" s="327"/>
      <c r="M66" s="327"/>
      <c r="N66" s="327"/>
      <c r="O66" s="327"/>
      <c r="P66" s="327"/>
      <c r="Q66" s="327"/>
      <c r="R66" s="327"/>
      <c r="S66" s="327"/>
      <c r="T66" s="327"/>
      <c r="U66" s="327"/>
      <c r="V66" s="327"/>
      <c r="W66" s="327"/>
      <c r="X66" s="327"/>
      <c r="Y66" s="327"/>
      <c r="Z66" s="327"/>
      <c r="AA66" s="327"/>
      <c r="AB66" s="327"/>
      <c r="AC66" s="327"/>
      <c r="AD66" s="327"/>
      <c r="AE66" s="327"/>
      <c r="AF66" s="327"/>
      <c r="AG66" s="327"/>
      <c r="AH66" s="327"/>
      <c r="AI66" s="327"/>
      <c r="AJ66" s="327"/>
      <c r="AK66" s="327"/>
      <c r="AL66" s="331"/>
      <c r="AM66" s="459"/>
      <c r="AO66" s="326"/>
      <c r="AP66" s="327"/>
      <c r="AQ66" s="328"/>
      <c r="AR66" s="329"/>
      <c r="AS66" s="329"/>
      <c r="AT66" s="330"/>
      <c r="AU66" s="327"/>
      <c r="AV66" s="327"/>
      <c r="AW66" s="327"/>
      <c r="AX66" s="327"/>
      <c r="AY66" s="327"/>
      <c r="AZ66" s="327"/>
      <c r="BA66" s="327"/>
      <c r="BB66" s="327"/>
      <c r="BC66" s="327"/>
      <c r="BD66" s="327"/>
      <c r="BE66" s="327"/>
      <c r="BF66" s="327"/>
      <c r="BG66" s="327"/>
      <c r="BH66" s="327"/>
      <c r="BI66" s="327"/>
      <c r="BJ66" s="327"/>
      <c r="BK66" s="327"/>
      <c r="BL66" s="327"/>
      <c r="BM66" s="327"/>
      <c r="BN66" s="327"/>
      <c r="BO66" s="327"/>
      <c r="BP66" s="327"/>
      <c r="BQ66" s="327"/>
      <c r="BR66" s="327"/>
      <c r="BS66" s="327"/>
      <c r="BT66" s="327"/>
      <c r="BU66" s="327"/>
      <c r="BV66" s="327"/>
      <c r="BW66" s="327"/>
      <c r="BX66" s="331"/>
    </row>
    <row r="67" spans="1:76" ht="20.25" customHeight="1">
      <c r="A67" s="459"/>
      <c r="C67" s="326"/>
      <c r="D67" s="327"/>
      <c r="E67" s="328"/>
      <c r="F67" s="329"/>
      <c r="G67" s="329"/>
      <c r="H67" s="330"/>
      <c r="I67" s="327"/>
      <c r="J67" s="327"/>
      <c r="K67" s="327"/>
      <c r="L67" s="327"/>
      <c r="M67" s="327"/>
      <c r="N67" s="327"/>
      <c r="O67" s="327"/>
      <c r="P67" s="327"/>
      <c r="Q67" s="327"/>
      <c r="R67" s="327"/>
      <c r="S67" s="327"/>
      <c r="T67" s="327"/>
      <c r="U67" s="327"/>
      <c r="V67" s="327"/>
      <c r="W67" s="327"/>
      <c r="X67" s="327"/>
      <c r="Y67" s="327"/>
      <c r="Z67" s="327"/>
      <c r="AA67" s="327"/>
      <c r="AB67" s="327"/>
      <c r="AC67" s="327"/>
      <c r="AD67" s="327"/>
      <c r="AE67" s="327"/>
      <c r="AF67" s="327"/>
      <c r="AG67" s="327"/>
      <c r="AH67" s="327"/>
      <c r="AI67" s="327"/>
      <c r="AJ67" s="327"/>
      <c r="AK67" s="327"/>
      <c r="AL67" s="331"/>
      <c r="AM67" s="459"/>
      <c r="AO67" s="326"/>
      <c r="AP67" s="327"/>
      <c r="AQ67" s="328"/>
      <c r="AR67" s="329"/>
      <c r="AS67" s="329"/>
      <c r="AT67" s="330"/>
      <c r="AU67" s="327"/>
      <c r="AV67" s="327"/>
      <c r="AW67" s="327"/>
      <c r="AX67" s="327"/>
      <c r="AY67" s="327"/>
      <c r="AZ67" s="327"/>
      <c r="BA67" s="327"/>
      <c r="BB67" s="327"/>
      <c r="BC67" s="327"/>
      <c r="BD67" s="327"/>
      <c r="BE67" s="327"/>
      <c r="BF67" s="327"/>
      <c r="BG67" s="327"/>
      <c r="BH67" s="327"/>
      <c r="BI67" s="327"/>
      <c r="BJ67" s="327"/>
      <c r="BK67" s="327"/>
      <c r="BL67" s="327"/>
      <c r="BM67" s="327"/>
      <c r="BN67" s="327"/>
      <c r="BO67" s="327"/>
      <c r="BP67" s="327"/>
      <c r="BQ67" s="327"/>
      <c r="BR67" s="327"/>
      <c r="BS67" s="327"/>
      <c r="BT67" s="327"/>
      <c r="BU67" s="327"/>
      <c r="BV67" s="327"/>
      <c r="BW67" s="327"/>
      <c r="BX67" s="331"/>
    </row>
    <row r="68" spans="1:76" ht="20.25" customHeight="1">
      <c r="A68" s="459"/>
      <c r="C68" s="332"/>
      <c r="D68" s="333"/>
      <c r="E68" s="328"/>
      <c r="F68" s="329"/>
      <c r="G68" s="329"/>
      <c r="H68" s="330"/>
      <c r="I68" s="333"/>
      <c r="J68" s="333"/>
      <c r="K68" s="333"/>
      <c r="L68" s="333"/>
      <c r="M68" s="333"/>
      <c r="N68" s="333"/>
      <c r="O68" s="333"/>
      <c r="P68" s="333"/>
      <c r="Q68" s="333"/>
      <c r="R68" s="333"/>
      <c r="S68" s="333"/>
      <c r="T68" s="333"/>
      <c r="U68" s="333"/>
      <c r="V68" s="333"/>
      <c r="W68" s="333"/>
      <c r="X68" s="333"/>
      <c r="Y68" s="333"/>
      <c r="Z68" s="333"/>
      <c r="AA68" s="333"/>
      <c r="AB68" s="333"/>
      <c r="AC68" s="333"/>
      <c r="AD68" s="333"/>
      <c r="AE68" s="333"/>
      <c r="AF68" s="333"/>
      <c r="AG68" s="333"/>
      <c r="AH68" s="333"/>
      <c r="AI68" s="333"/>
      <c r="AJ68" s="333"/>
      <c r="AK68" s="333"/>
      <c r="AL68" s="334"/>
      <c r="AM68" s="459"/>
      <c r="AO68" s="332"/>
      <c r="AP68" s="333"/>
      <c r="AQ68" s="328"/>
      <c r="AR68" s="329"/>
      <c r="AS68" s="329"/>
      <c r="AT68" s="330"/>
      <c r="AU68" s="333"/>
      <c r="AV68" s="333"/>
      <c r="AW68" s="333"/>
      <c r="AX68" s="333"/>
      <c r="AY68" s="333"/>
      <c r="AZ68" s="333"/>
      <c r="BA68" s="333"/>
      <c r="BB68" s="333"/>
      <c r="BC68" s="333"/>
      <c r="BD68" s="333"/>
      <c r="BE68" s="333"/>
      <c r="BF68" s="333"/>
      <c r="BG68" s="333"/>
      <c r="BH68" s="333"/>
      <c r="BI68" s="333"/>
      <c r="BJ68" s="333"/>
      <c r="BK68" s="333"/>
      <c r="BL68" s="333"/>
      <c r="BM68" s="333"/>
      <c r="BN68" s="333"/>
      <c r="BO68" s="333"/>
      <c r="BP68" s="333"/>
      <c r="BQ68" s="333"/>
      <c r="BR68" s="333"/>
      <c r="BS68" s="333"/>
      <c r="BT68" s="333"/>
      <c r="BU68" s="333"/>
      <c r="BV68" s="333"/>
      <c r="BW68" s="333"/>
      <c r="BX68" s="334"/>
    </row>
    <row r="69" spans="1:76" ht="20.25" customHeight="1" thickBot="1">
      <c r="A69" s="459"/>
      <c r="C69" s="321" t="s">
        <v>177</v>
      </c>
      <c r="D69" s="322"/>
      <c r="E69" s="323" t="s">
        <v>178</v>
      </c>
      <c r="F69" s="322"/>
      <c r="G69" s="322"/>
      <c r="H69" s="324"/>
      <c r="I69" s="323" t="s">
        <v>179</v>
      </c>
      <c r="J69" s="322"/>
      <c r="K69" s="322"/>
      <c r="L69" s="322"/>
      <c r="M69" s="324"/>
      <c r="N69" s="323" t="s">
        <v>180</v>
      </c>
      <c r="O69" s="322"/>
      <c r="P69" s="322"/>
      <c r="Q69" s="322"/>
      <c r="R69" s="324"/>
      <c r="S69" s="323" t="s">
        <v>181</v>
      </c>
      <c r="T69" s="322"/>
      <c r="U69" s="322"/>
      <c r="V69" s="322"/>
      <c r="W69" s="324"/>
      <c r="X69" s="323" t="s">
        <v>181</v>
      </c>
      <c r="Y69" s="322"/>
      <c r="Z69" s="322"/>
      <c r="AA69" s="322"/>
      <c r="AB69" s="324"/>
      <c r="AC69" s="323" t="s">
        <v>182</v>
      </c>
      <c r="AD69" s="322"/>
      <c r="AE69" s="322"/>
      <c r="AF69" s="322"/>
      <c r="AG69" s="322"/>
      <c r="AH69" s="322"/>
      <c r="AI69" s="322"/>
      <c r="AJ69" s="322"/>
      <c r="AK69" s="322"/>
      <c r="AL69" s="325"/>
      <c r="AM69" s="459"/>
      <c r="AO69" s="321" t="s">
        <v>177</v>
      </c>
      <c r="AP69" s="322"/>
      <c r="AQ69" s="323" t="s">
        <v>178</v>
      </c>
      <c r="AR69" s="322"/>
      <c r="AS69" s="322"/>
      <c r="AT69" s="324"/>
      <c r="AU69" s="323" t="s">
        <v>179</v>
      </c>
      <c r="AV69" s="322"/>
      <c r="AW69" s="322"/>
      <c r="AX69" s="322"/>
      <c r="AY69" s="324"/>
      <c r="AZ69" s="323" t="s">
        <v>180</v>
      </c>
      <c r="BA69" s="322"/>
      <c r="BB69" s="322"/>
      <c r="BC69" s="322"/>
      <c r="BD69" s="324"/>
      <c r="BE69" s="323" t="s">
        <v>181</v>
      </c>
      <c r="BF69" s="322"/>
      <c r="BG69" s="322"/>
      <c r="BH69" s="322"/>
      <c r="BI69" s="324"/>
      <c r="BJ69" s="323" t="s">
        <v>181</v>
      </c>
      <c r="BK69" s="322"/>
      <c r="BL69" s="322"/>
      <c r="BM69" s="322"/>
      <c r="BN69" s="324"/>
      <c r="BO69" s="323" t="s">
        <v>182</v>
      </c>
      <c r="BP69" s="322"/>
      <c r="BQ69" s="322"/>
      <c r="BR69" s="322"/>
      <c r="BS69" s="322"/>
      <c r="BT69" s="322"/>
      <c r="BU69" s="322"/>
      <c r="BV69" s="322"/>
      <c r="BW69" s="322"/>
      <c r="BX69" s="325"/>
    </row>
    <row r="70" spans="1:76" ht="20.25" customHeight="1">
      <c r="D70" s="204"/>
      <c r="E70" s="205"/>
      <c r="F70" s="482"/>
      <c r="G70" s="482"/>
      <c r="H70" s="482"/>
      <c r="I70" s="206"/>
      <c r="J70" s="206"/>
      <c r="K70" s="206"/>
      <c r="L70" s="206"/>
      <c r="M70" s="206"/>
      <c r="N70" s="483"/>
      <c r="O70" s="483"/>
      <c r="P70" s="484"/>
      <c r="Q70" s="484"/>
      <c r="R70" s="484"/>
      <c r="S70" s="484"/>
      <c r="T70" s="204"/>
      <c r="U70" s="204"/>
      <c r="Z70" s="485"/>
      <c r="AA70" s="485"/>
      <c r="AB70" s="485"/>
      <c r="AC70" s="485"/>
      <c r="AD70" s="485"/>
      <c r="AE70" s="485"/>
      <c r="AF70" s="485"/>
      <c r="AG70" s="485"/>
    </row>
    <row r="71" spans="1:76">
      <c r="D71" s="204"/>
      <c r="E71" s="205"/>
      <c r="F71" s="482"/>
      <c r="G71" s="482"/>
      <c r="H71" s="482"/>
      <c r="I71" s="206"/>
      <c r="J71" s="206"/>
      <c r="K71" s="206"/>
      <c r="L71" s="206"/>
      <c r="M71" s="206"/>
      <c r="N71" s="483">
        <f>N58/4.882431</f>
        <v>2.4639108180999756</v>
      </c>
      <c r="O71" s="483"/>
      <c r="P71" s="204"/>
      <c r="Q71" s="204"/>
      <c r="R71" s="484">
        <f>R58/4.882431</f>
        <v>0.17995689809322357</v>
      </c>
      <c r="S71" s="484"/>
      <c r="T71" s="204"/>
      <c r="U71" s="204"/>
      <c r="V71" s="484">
        <f>V58/4.882431</f>
        <v>3.8967280387878422</v>
      </c>
      <c r="W71" s="484"/>
      <c r="Z71" s="485"/>
      <c r="AA71" s="485"/>
      <c r="AB71" s="485"/>
      <c r="AC71" s="485"/>
      <c r="AD71" s="486"/>
      <c r="AE71" s="486"/>
      <c r="AF71" s="486"/>
      <c r="AG71" s="486"/>
    </row>
    <row r="72" spans="1:76">
      <c r="D72" s="204"/>
      <c r="E72" s="205"/>
      <c r="F72" s="482"/>
      <c r="G72" s="482"/>
      <c r="H72" s="482"/>
      <c r="I72" s="206"/>
      <c r="J72" s="206"/>
      <c r="K72" s="206"/>
      <c r="L72" s="206"/>
      <c r="M72" s="206"/>
      <c r="N72" s="483"/>
      <c r="O72" s="483"/>
      <c r="P72" s="204"/>
      <c r="Q72" s="204"/>
      <c r="R72" s="204"/>
      <c r="S72" s="204"/>
      <c r="T72" s="204"/>
      <c r="U72" s="204"/>
    </row>
    <row r="73" spans="1:76">
      <c r="D73" s="204"/>
      <c r="E73" s="205"/>
      <c r="F73" s="482"/>
      <c r="G73" s="482"/>
      <c r="H73" s="482"/>
      <c r="I73" s="206"/>
      <c r="J73" s="206"/>
      <c r="K73" s="206"/>
      <c r="L73" s="206"/>
      <c r="M73" s="206"/>
      <c r="N73" s="483"/>
      <c r="O73" s="483"/>
      <c r="P73" s="204"/>
      <c r="Q73" s="204"/>
      <c r="R73" s="204"/>
      <c r="S73" s="204"/>
      <c r="T73" s="204"/>
      <c r="U73" s="204"/>
    </row>
    <row r="74" spans="1:76">
      <c r="D74" s="204"/>
      <c r="E74" s="205"/>
      <c r="F74" s="482"/>
      <c r="G74" s="482"/>
      <c r="H74" s="482"/>
      <c r="I74" s="206"/>
      <c r="J74" s="206"/>
      <c r="K74" s="206"/>
      <c r="L74" s="206"/>
      <c r="M74" s="206"/>
      <c r="N74" s="483"/>
      <c r="O74" s="483"/>
      <c r="P74" s="484"/>
      <c r="Q74" s="484"/>
      <c r="R74" s="484"/>
      <c r="S74" s="484"/>
      <c r="T74" s="204"/>
      <c r="U74" s="204"/>
    </row>
    <row r="75" spans="1:76">
      <c r="D75" s="204"/>
      <c r="E75" s="205"/>
      <c r="F75" s="482"/>
      <c r="G75" s="482"/>
      <c r="H75" s="482"/>
      <c r="I75" s="206"/>
      <c r="J75" s="206"/>
      <c r="K75" s="206"/>
      <c r="L75" s="206"/>
      <c r="M75" s="206"/>
      <c r="N75" s="483"/>
      <c r="O75" s="483"/>
      <c r="P75" s="204"/>
      <c r="Q75" s="204"/>
      <c r="R75" s="204"/>
      <c r="S75" s="204"/>
      <c r="T75" s="204"/>
      <c r="U75" s="204"/>
    </row>
    <row r="76" spans="1:76">
      <c r="D76" s="204"/>
      <c r="E76" s="205"/>
      <c r="F76" s="482"/>
      <c r="G76" s="482"/>
      <c r="H76" s="482"/>
      <c r="I76" s="206"/>
      <c r="J76" s="206"/>
      <c r="K76" s="206"/>
      <c r="L76" s="206"/>
      <c r="M76" s="206"/>
      <c r="N76" s="483"/>
      <c r="O76" s="483"/>
      <c r="P76" s="204"/>
      <c r="Q76" s="204"/>
      <c r="R76" s="204"/>
      <c r="S76" s="204"/>
      <c r="T76" s="204"/>
      <c r="U76" s="204"/>
    </row>
    <row r="77" spans="1:76">
      <c r="D77" s="204"/>
      <c r="E77" s="205"/>
      <c r="F77" s="482"/>
      <c r="G77" s="482"/>
      <c r="H77" s="482"/>
      <c r="I77" s="206"/>
      <c r="J77" s="206"/>
      <c r="K77" s="206"/>
      <c r="L77" s="206"/>
      <c r="M77" s="206"/>
      <c r="N77" s="483"/>
      <c r="O77" s="483"/>
      <c r="P77" s="204"/>
      <c r="Q77" s="204"/>
      <c r="R77" s="204"/>
      <c r="S77" s="204"/>
      <c r="T77" s="204"/>
      <c r="U77" s="204"/>
    </row>
    <row r="78" spans="1:76">
      <c r="D78" s="204"/>
      <c r="E78" s="205"/>
      <c r="F78" s="482"/>
      <c r="G78" s="482"/>
      <c r="H78" s="482"/>
      <c r="I78" s="207"/>
      <c r="J78" s="207"/>
      <c r="K78" s="207"/>
      <c r="L78" s="207"/>
      <c r="M78" s="207"/>
      <c r="N78" s="483"/>
      <c r="O78" s="483"/>
      <c r="P78" s="484"/>
      <c r="Q78" s="484"/>
      <c r="R78" s="484"/>
      <c r="S78" s="484"/>
      <c r="T78" s="204"/>
      <c r="U78" s="204"/>
    </row>
    <row r="79" spans="1:76">
      <c r="D79" s="204"/>
      <c r="E79" s="205"/>
      <c r="F79" s="482"/>
      <c r="G79" s="482"/>
      <c r="H79" s="482"/>
      <c r="I79" s="207"/>
      <c r="J79" s="207"/>
      <c r="K79" s="207"/>
      <c r="L79" s="207"/>
      <c r="M79" s="207"/>
      <c r="N79" s="483"/>
      <c r="O79" s="483"/>
      <c r="P79" s="204"/>
      <c r="Q79" s="204"/>
      <c r="R79" s="204"/>
      <c r="S79" s="204"/>
      <c r="T79" s="204"/>
      <c r="U79" s="204"/>
    </row>
    <row r="80" spans="1:76">
      <c r="D80" s="204"/>
      <c r="E80" s="205"/>
      <c r="F80" s="482"/>
      <c r="G80" s="482"/>
      <c r="H80" s="482"/>
      <c r="I80" s="207"/>
      <c r="J80" s="207"/>
      <c r="K80" s="207"/>
      <c r="L80" s="207"/>
      <c r="M80" s="207"/>
      <c r="N80" s="483"/>
      <c r="O80" s="483"/>
      <c r="P80" s="204"/>
      <c r="Q80" s="204"/>
      <c r="R80" s="204"/>
      <c r="S80" s="204"/>
      <c r="T80" s="204"/>
      <c r="U80" s="204"/>
    </row>
    <row r="81" spans="4:21">
      <c r="D81" s="204"/>
      <c r="E81" s="205"/>
      <c r="F81" s="482"/>
      <c r="G81" s="482"/>
      <c r="H81" s="482"/>
      <c r="I81" s="207"/>
      <c r="J81" s="207"/>
      <c r="K81" s="207"/>
      <c r="L81" s="207"/>
      <c r="M81" s="207"/>
      <c r="N81" s="483"/>
      <c r="O81" s="483"/>
      <c r="P81" s="204"/>
      <c r="Q81" s="204"/>
      <c r="R81" s="204"/>
      <c r="S81" s="204"/>
      <c r="T81" s="204"/>
      <c r="U81" s="204"/>
    </row>
    <row r="82" spans="4:21">
      <c r="D82" s="204"/>
      <c r="E82" s="205"/>
      <c r="F82" s="488"/>
      <c r="G82" s="488"/>
      <c r="H82" s="488"/>
      <c r="I82" s="207"/>
      <c r="J82" s="207"/>
      <c r="K82" s="207"/>
      <c r="L82" s="207"/>
      <c r="M82" s="207"/>
      <c r="N82" s="483"/>
      <c r="O82" s="483"/>
      <c r="P82" s="484"/>
      <c r="Q82" s="484"/>
      <c r="R82" s="484"/>
      <c r="S82" s="484"/>
      <c r="T82" s="204"/>
      <c r="U82" s="204"/>
    </row>
    <row r="83" spans="4:21">
      <c r="D83" s="204"/>
      <c r="E83" s="205"/>
      <c r="F83" s="488"/>
      <c r="G83" s="488"/>
      <c r="H83" s="488"/>
      <c r="I83" s="207"/>
      <c r="J83" s="207"/>
      <c r="K83" s="207"/>
      <c r="L83" s="207"/>
      <c r="M83" s="207"/>
      <c r="N83" s="483"/>
      <c r="O83" s="483"/>
      <c r="P83" s="204"/>
      <c r="Q83" s="204"/>
      <c r="R83" s="204"/>
      <c r="S83" s="204"/>
      <c r="T83" s="204"/>
      <c r="U83" s="204"/>
    </row>
    <row r="84" spans="4:21">
      <c r="D84" s="204"/>
      <c r="E84" s="205"/>
      <c r="F84" s="488"/>
      <c r="G84" s="488"/>
      <c r="H84" s="488"/>
      <c r="I84" s="207"/>
      <c r="J84" s="207"/>
      <c r="K84" s="207"/>
      <c r="L84" s="207"/>
      <c r="M84" s="207"/>
      <c r="N84" s="483"/>
      <c r="O84" s="483"/>
      <c r="P84" s="204"/>
      <c r="Q84" s="204"/>
      <c r="R84" s="204"/>
      <c r="S84" s="204"/>
      <c r="T84" s="204"/>
      <c r="U84" s="204"/>
    </row>
    <row r="85" spans="4:21">
      <c r="D85" s="204"/>
      <c r="E85" s="205"/>
      <c r="F85" s="484"/>
      <c r="G85" s="484"/>
      <c r="H85" s="484"/>
      <c r="I85" s="208"/>
      <c r="J85" s="208"/>
      <c r="K85" s="208"/>
      <c r="L85" s="208"/>
      <c r="M85" s="208"/>
      <c r="N85" s="483"/>
      <c r="O85" s="483"/>
      <c r="P85" s="204"/>
      <c r="Q85" s="204"/>
      <c r="R85" s="204"/>
      <c r="S85" s="204"/>
      <c r="T85" s="204"/>
      <c r="U85" s="204"/>
    </row>
    <row r="86" spans="4:21">
      <c r="D86" s="204"/>
      <c r="E86" s="205"/>
      <c r="F86" s="484"/>
      <c r="G86" s="484"/>
      <c r="H86" s="484"/>
      <c r="I86" s="208"/>
      <c r="J86" s="208"/>
      <c r="K86" s="208"/>
      <c r="L86" s="208"/>
      <c r="M86" s="208"/>
      <c r="N86" s="483"/>
      <c r="O86" s="483"/>
      <c r="P86" s="204"/>
      <c r="Q86" s="204"/>
      <c r="R86" s="204"/>
      <c r="S86" s="204"/>
      <c r="T86" s="204"/>
      <c r="U86" s="204"/>
    </row>
    <row r="87" spans="4:21">
      <c r="D87" s="204"/>
      <c r="E87" s="205"/>
      <c r="F87" s="484"/>
      <c r="G87" s="484"/>
      <c r="H87" s="484"/>
      <c r="I87" s="208"/>
      <c r="J87" s="208"/>
      <c r="K87" s="208"/>
      <c r="L87" s="208"/>
      <c r="M87" s="208"/>
      <c r="N87" s="483"/>
      <c r="O87" s="483"/>
      <c r="P87" s="204"/>
      <c r="Q87" s="204"/>
      <c r="R87" s="204"/>
      <c r="S87" s="204"/>
      <c r="T87" s="204"/>
      <c r="U87" s="204"/>
    </row>
    <row r="88" spans="4:21">
      <c r="D88" s="204"/>
      <c r="E88" s="205"/>
      <c r="F88" s="484"/>
      <c r="G88" s="484"/>
      <c r="H88" s="484"/>
      <c r="I88" s="209"/>
      <c r="J88" s="209"/>
      <c r="K88" s="209"/>
      <c r="L88" s="209"/>
      <c r="M88" s="209"/>
      <c r="N88" s="487"/>
      <c r="O88" s="487"/>
      <c r="P88" s="484"/>
      <c r="Q88" s="484"/>
      <c r="R88" s="484"/>
      <c r="S88" s="484"/>
      <c r="T88" s="204"/>
      <c r="U88" s="204"/>
    </row>
    <row r="89" spans="4:21">
      <c r="D89" s="204"/>
      <c r="E89" s="204"/>
      <c r="F89" s="484"/>
      <c r="G89" s="484"/>
      <c r="H89" s="484"/>
      <c r="I89" s="209"/>
      <c r="J89" s="209"/>
      <c r="K89" s="209"/>
      <c r="L89" s="209"/>
      <c r="M89" s="209"/>
      <c r="N89" s="483"/>
      <c r="O89" s="483"/>
      <c r="P89" s="204"/>
      <c r="Q89" s="210"/>
      <c r="R89" s="204"/>
      <c r="S89" s="204"/>
      <c r="T89" s="204"/>
      <c r="U89" s="204"/>
    </row>
    <row r="90" spans="4:21">
      <c r="D90" s="204"/>
      <c r="E90" s="204"/>
      <c r="F90" s="484"/>
      <c r="G90" s="484"/>
      <c r="H90" s="484"/>
      <c r="I90" s="209"/>
      <c r="J90" s="209"/>
      <c r="K90" s="209"/>
      <c r="L90" s="209"/>
      <c r="M90" s="209"/>
      <c r="N90" s="483"/>
      <c r="O90" s="483"/>
      <c r="P90" s="204"/>
      <c r="Q90" s="210"/>
      <c r="R90" s="204"/>
      <c r="S90" s="204"/>
      <c r="T90" s="204"/>
      <c r="U90" s="204"/>
    </row>
    <row r="91" spans="4:21">
      <c r="D91" s="204"/>
      <c r="E91" s="204"/>
      <c r="F91" s="204"/>
      <c r="G91" s="204"/>
      <c r="H91" s="204"/>
      <c r="I91" s="204"/>
      <c r="J91" s="204"/>
      <c r="K91" s="204"/>
      <c r="L91" s="204"/>
      <c r="M91" s="204"/>
      <c r="N91" s="204"/>
      <c r="O91" s="204"/>
      <c r="P91" s="204"/>
      <c r="Q91" s="204"/>
      <c r="R91" s="204"/>
      <c r="S91" s="204"/>
      <c r="T91" s="204"/>
      <c r="U91" s="204"/>
    </row>
    <row r="92" spans="4:21">
      <c r="D92" s="204"/>
      <c r="E92" s="204"/>
      <c r="F92" s="204"/>
      <c r="G92" s="204"/>
      <c r="H92" s="204"/>
      <c r="I92" s="204"/>
      <c r="J92" s="204"/>
      <c r="K92" s="204"/>
      <c r="L92" s="204"/>
      <c r="M92" s="204"/>
      <c r="N92" s="204"/>
      <c r="O92" s="204"/>
      <c r="P92" s="204"/>
      <c r="Q92" s="204"/>
      <c r="R92" s="204"/>
      <c r="S92" s="204"/>
      <c r="T92" s="204"/>
      <c r="U92" s="204"/>
    </row>
  </sheetData>
  <mergeCells count="866">
    <mergeCell ref="N63:U63"/>
    <mergeCell ref="V61:AC61"/>
    <mergeCell ref="V62:AC62"/>
    <mergeCell ref="V63:AC63"/>
    <mergeCell ref="AD61:AK61"/>
    <mergeCell ref="AD62:AK62"/>
    <mergeCell ref="N61:U61"/>
    <mergeCell ref="N11:U11"/>
    <mergeCell ref="V11:AC11"/>
    <mergeCell ref="AD11:AK11"/>
    <mergeCell ref="AD63:AG63"/>
    <mergeCell ref="AH63:AK63"/>
    <mergeCell ref="AH51:AK51"/>
    <mergeCell ref="AD55:AG55"/>
    <mergeCell ref="AH55:AK55"/>
    <mergeCell ref="AD53:AG53"/>
    <mergeCell ref="AH53:AK53"/>
    <mergeCell ref="AH45:AK45"/>
    <mergeCell ref="AH54:AK54"/>
    <mergeCell ref="AH47:AK47"/>
    <mergeCell ref="AH48:AK48"/>
    <mergeCell ref="AH49:AK49"/>
    <mergeCell ref="R59:U59"/>
    <mergeCell ref="V59:Y59"/>
    <mergeCell ref="D37:I37"/>
    <mergeCell ref="N37:Q37"/>
    <mergeCell ref="R37:U37"/>
    <mergeCell ref="V37:Y37"/>
    <mergeCell ref="Z37:AC37"/>
    <mergeCell ref="AD37:AG37"/>
    <mergeCell ref="AH37:AK37"/>
    <mergeCell ref="K37:M37"/>
    <mergeCell ref="N38:Q38"/>
    <mergeCell ref="R38:U38"/>
    <mergeCell ref="V38:Y38"/>
    <mergeCell ref="Z38:AC38"/>
    <mergeCell ref="AD38:AG38"/>
    <mergeCell ref="AH38:AK38"/>
    <mergeCell ref="D38:I38"/>
    <mergeCell ref="K38:M38"/>
    <mergeCell ref="Z4:AL4"/>
    <mergeCell ref="Z5:AL5"/>
    <mergeCell ref="Z7:AK7"/>
    <mergeCell ref="AJ3:AK3"/>
    <mergeCell ref="AG3:AH3"/>
    <mergeCell ref="Z6:AL6"/>
    <mergeCell ref="AI8:AL8"/>
    <mergeCell ref="AG8:AH8"/>
    <mergeCell ref="Z15:AC15"/>
    <mergeCell ref="AD15:AG15"/>
    <mergeCell ref="AH15:AK15"/>
    <mergeCell ref="AD12:AG12"/>
    <mergeCell ref="AH12:AK12"/>
    <mergeCell ref="D10:AK10"/>
    <mergeCell ref="C7:T8"/>
    <mergeCell ref="D12:I12"/>
    <mergeCell ref="Z59:AC59"/>
    <mergeCell ref="AD59:AG59"/>
    <mergeCell ref="AH59:AK59"/>
    <mergeCell ref="D61:I61"/>
    <mergeCell ref="K61:M61"/>
    <mergeCell ref="K58:M58"/>
    <mergeCell ref="K59:M59"/>
    <mergeCell ref="D62:I62"/>
    <mergeCell ref="K62:M62"/>
    <mergeCell ref="N62:U62"/>
    <mergeCell ref="F90:H90"/>
    <mergeCell ref="N90:O90"/>
    <mergeCell ref="N12:Q12"/>
    <mergeCell ref="R12:U12"/>
    <mergeCell ref="D45:I45"/>
    <mergeCell ref="F89:H89"/>
    <mergeCell ref="N89:O89"/>
    <mergeCell ref="F88:H88"/>
    <mergeCell ref="N88:O88"/>
    <mergeCell ref="P88:Q88"/>
    <mergeCell ref="R88:S88"/>
    <mergeCell ref="F86:H86"/>
    <mergeCell ref="N86:O86"/>
    <mergeCell ref="F87:H87"/>
    <mergeCell ref="N87:O87"/>
    <mergeCell ref="F84:H84"/>
    <mergeCell ref="N59:Q59"/>
    <mergeCell ref="N84:O84"/>
    <mergeCell ref="F85:H85"/>
    <mergeCell ref="N85:O85"/>
    <mergeCell ref="F83:H83"/>
    <mergeCell ref="N83:O83"/>
    <mergeCell ref="F82:H82"/>
    <mergeCell ref="N82:O82"/>
    <mergeCell ref="P82:Q82"/>
    <mergeCell ref="R82:S82"/>
    <mergeCell ref="F80:H80"/>
    <mergeCell ref="N80:O80"/>
    <mergeCell ref="F81:H81"/>
    <mergeCell ref="N81:O81"/>
    <mergeCell ref="F79:H79"/>
    <mergeCell ref="N79:O79"/>
    <mergeCell ref="F78:H78"/>
    <mergeCell ref="N78:O78"/>
    <mergeCell ref="P78:Q78"/>
    <mergeCell ref="R78:S78"/>
    <mergeCell ref="F76:H76"/>
    <mergeCell ref="N76:O76"/>
    <mergeCell ref="F77:H77"/>
    <mergeCell ref="N77:O77"/>
    <mergeCell ref="F75:H75"/>
    <mergeCell ref="N75:O75"/>
    <mergeCell ref="F74:H74"/>
    <mergeCell ref="N74:O74"/>
    <mergeCell ref="P74:Q74"/>
    <mergeCell ref="R74:S74"/>
    <mergeCell ref="F72:H72"/>
    <mergeCell ref="N72:O72"/>
    <mergeCell ref="F73:H73"/>
    <mergeCell ref="N73:O73"/>
    <mergeCell ref="F71:H71"/>
    <mergeCell ref="N71:O71"/>
    <mergeCell ref="Z71:AC71"/>
    <mergeCell ref="AD71:AG71"/>
    <mergeCell ref="F70:H70"/>
    <mergeCell ref="N70:O70"/>
    <mergeCell ref="P70:Q70"/>
    <mergeCell ref="R70:S70"/>
    <mergeCell ref="Z70:AC70"/>
    <mergeCell ref="AD70:AG70"/>
    <mergeCell ref="R71:S71"/>
    <mergeCell ref="V71:W71"/>
    <mergeCell ref="C69:D69"/>
    <mergeCell ref="N69:R69"/>
    <mergeCell ref="S69:W69"/>
    <mergeCell ref="X69:AB69"/>
    <mergeCell ref="AC69:AL69"/>
    <mergeCell ref="C68:D68"/>
    <mergeCell ref="N68:R68"/>
    <mergeCell ref="S68:W68"/>
    <mergeCell ref="X68:AB68"/>
    <mergeCell ref="AC68:AL68"/>
    <mergeCell ref="E69:H69"/>
    <mergeCell ref="E68:H68"/>
    <mergeCell ref="I68:M68"/>
    <mergeCell ref="I69:M69"/>
    <mergeCell ref="C67:D67"/>
    <mergeCell ref="N67:R67"/>
    <mergeCell ref="S67:W67"/>
    <mergeCell ref="X67:AB67"/>
    <mergeCell ref="AC67:AL67"/>
    <mergeCell ref="C66:D66"/>
    <mergeCell ref="N66:R66"/>
    <mergeCell ref="S66:W66"/>
    <mergeCell ref="X66:AB66"/>
    <mergeCell ref="AC66:AL66"/>
    <mergeCell ref="E66:H66"/>
    <mergeCell ref="E67:H67"/>
    <mergeCell ref="I66:M66"/>
    <mergeCell ref="I67:M67"/>
    <mergeCell ref="C64:AL64"/>
    <mergeCell ref="C65:D65"/>
    <mergeCell ref="N65:R65"/>
    <mergeCell ref="S65:W65"/>
    <mergeCell ref="X65:AB65"/>
    <mergeCell ref="AC65:AL65"/>
    <mergeCell ref="D56:I56"/>
    <mergeCell ref="N56:Q56"/>
    <mergeCell ref="R56:U56"/>
    <mergeCell ref="V56:Y56"/>
    <mergeCell ref="Z56:AC56"/>
    <mergeCell ref="AD56:AG56"/>
    <mergeCell ref="AH56:AK56"/>
    <mergeCell ref="D58:I58"/>
    <mergeCell ref="N58:Q58"/>
    <mergeCell ref="R58:U58"/>
    <mergeCell ref="V58:Y58"/>
    <mergeCell ref="Z58:AC58"/>
    <mergeCell ref="AD58:AG58"/>
    <mergeCell ref="AH58:AK58"/>
    <mergeCell ref="K56:M56"/>
    <mergeCell ref="E65:H65"/>
    <mergeCell ref="I65:M65"/>
    <mergeCell ref="D59:I59"/>
    <mergeCell ref="D52:I52"/>
    <mergeCell ref="N52:Q52"/>
    <mergeCell ref="R52:U52"/>
    <mergeCell ref="D55:I55"/>
    <mergeCell ref="D51:I51"/>
    <mergeCell ref="N55:Q55"/>
    <mergeCell ref="R55:U55"/>
    <mergeCell ref="V55:Y55"/>
    <mergeCell ref="Z55:AC55"/>
    <mergeCell ref="N53:Q53"/>
    <mergeCell ref="R53:U53"/>
    <mergeCell ref="V53:Y53"/>
    <mergeCell ref="Z53:AC53"/>
    <mergeCell ref="D54:I54"/>
    <mergeCell ref="N54:Q54"/>
    <mergeCell ref="K52:M52"/>
    <mergeCell ref="R54:U54"/>
    <mergeCell ref="V54:Y54"/>
    <mergeCell ref="Z54:AC54"/>
    <mergeCell ref="AD54:AG54"/>
    <mergeCell ref="N49:Q49"/>
    <mergeCell ref="R49:U49"/>
    <mergeCell ref="V49:Y49"/>
    <mergeCell ref="Z49:AC49"/>
    <mergeCell ref="AD49:AG49"/>
    <mergeCell ref="AD39:AG39"/>
    <mergeCell ref="AH39:AK39"/>
    <mergeCell ref="AH43:AK43"/>
    <mergeCell ref="AH41:AK41"/>
    <mergeCell ref="AH52:AK52"/>
    <mergeCell ref="V43:Y43"/>
    <mergeCell ref="Z43:AC43"/>
    <mergeCell ref="V48:Y48"/>
    <mergeCell ref="Z48:AC48"/>
    <mergeCell ref="AD48:AG48"/>
    <mergeCell ref="V52:Y52"/>
    <mergeCell ref="Z52:AC52"/>
    <mergeCell ref="AD52:AG52"/>
    <mergeCell ref="K39:M39"/>
    <mergeCell ref="D42:I42"/>
    <mergeCell ref="N42:Q42"/>
    <mergeCell ref="R42:U42"/>
    <mergeCell ref="V42:Y42"/>
    <mergeCell ref="Z42:AC42"/>
    <mergeCell ref="AD42:AG42"/>
    <mergeCell ref="AD43:AG43"/>
    <mergeCell ref="D43:I43"/>
    <mergeCell ref="K43:M43"/>
    <mergeCell ref="N43:Q43"/>
    <mergeCell ref="AD41:AG41"/>
    <mergeCell ref="D39:I39"/>
    <mergeCell ref="N39:Q39"/>
    <mergeCell ref="R39:U39"/>
    <mergeCell ref="V39:Y39"/>
    <mergeCell ref="Z39:AC39"/>
    <mergeCell ref="D41:I41"/>
    <mergeCell ref="K41:M41"/>
    <mergeCell ref="N41:Q41"/>
    <mergeCell ref="R41:U41"/>
    <mergeCell ref="V41:Y41"/>
    <mergeCell ref="Z41:AC41"/>
    <mergeCell ref="R43:U43"/>
    <mergeCell ref="AH33:AK33"/>
    <mergeCell ref="D33:I33"/>
    <mergeCell ref="N33:Q33"/>
    <mergeCell ref="R33:U33"/>
    <mergeCell ref="V33:Y33"/>
    <mergeCell ref="Z33:AC33"/>
    <mergeCell ref="AD33:AG33"/>
    <mergeCell ref="AH36:AK36"/>
    <mergeCell ref="D36:I36"/>
    <mergeCell ref="N36:Q36"/>
    <mergeCell ref="R36:U36"/>
    <mergeCell ref="V36:Y36"/>
    <mergeCell ref="Z36:AC36"/>
    <mergeCell ref="AD36:AG36"/>
    <mergeCell ref="D35:I35"/>
    <mergeCell ref="N35:Q35"/>
    <mergeCell ref="R35:U35"/>
    <mergeCell ref="V35:Y35"/>
    <mergeCell ref="Z35:AC35"/>
    <mergeCell ref="AD35:AG35"/>
    <mergeCell ref="AH35:AK35"/>
    <mergeCell ref="N34:Q34"/>
    <mergeCell ref="R34:U34"/>
    <mergeCell ref="K33:M33"/>
    <mergeCell ref="AH32:AK32"/>
    <mergeCell ref="D32:I32"/>
    <mergeCell ref="N32:Q32"/>
    <mergeCell ref="R32:U32"/>
    <mergeCell ref="V32:Y32"/>
    <mergeCell ref="Z32:AC32"/>
    <mergeCell ref="AD32:AG32"/>
    <mergeCell ref="D31:I31"/>
    <mergeCell ref="N31:Q31"/>
    <mergeCell ref="R31:U31"/>
    <mergeCell ref="V31:Y31"/>
    <mergeCell ref="Z31:AC31"/>
    <mergeCell ref="AD31:AG31"/>
    <mergeCell ref="AH31:AK31"/>
    <mergeCell ref="D30:I30"/>
    <mergeCell ref="N30:Q30"/>
    <mergeCell ref="R30:U30"/>
    <mergeCell ref="V30:Y30"/>
    <mergeCell ref="Z30:AC30"/>
    <mergeCell ref="AD30:AG30"/>
    <mergeCell ref="D29:I29"/>
    <mergeCell ref="N29:Q29"/>
    <mergeCell ref="R29:U29"/>
    <mergeCell ref="V29:Y29"/>
    <mergeCell ref="Z29:AC29"/>
    <mergeCell ref="AD29:AG29"/>
    <mergeCell ref="AD20:AG20"/>
    <mergeCell ref="AH20:AK20"/>
    <mergeCell ref="N21:Q21"/>
    <mergeCell ref="R21:U21"/>
    <mergeCell ref="V21:Y21"/>
    <mergeCell ref="Z21:AC21"/>
    <mergeCell ref="AD21:AG21"/>
    <mergeCell ref="AH21:AK21"/>
    <mergeCell ref="AH30:AK30"/>
    <mergeCell ref="AH29:AK29"/>
    <mergeCell ref="AH28:AK28"/>
    <mergeCell ref="AH26:AK26"/>
    <mergeCell ref="V20:Y20"/>
    <mergeCell ref="Z20:AC20"/>
    <mergeCell ref="AD25:AG25"/>
    <mergeCell ref="AH25:AK25"/>
    <mergeCell ref="R23:U23"/>
    <mergeCell ref="V23:Y23"/>
    <mergeCell ref="Z23:AC23"/>
    <mergeCell ref="AD23:AG23"/>
    <mergeCell ref="AH23:AK23"/>
    <mergeCell ref="R24:U24"/>
    <mergeCell ref="V24:Y24"/>
    <mergeCell ref="Z24:AC24"/>
    <mergeCell ref="D28:I28"/>
    <mergeCell ref="N28:Q28"/>
    <mergeCell ref="R28:U28"/>
    <mergeCell ref="V28:Y28"/>
    <mergeCell ref="Z28:AC28"/>
    <mergeCell ref="AD28:AG28"/>
    <mergeCell ref="D26:I26"/>
    <mergeCell ref="N26:Q26"/>
    <mergeCell ref="R26:U26"/>
    <mergeCell ref="V26:Y26"/>
    <mergeCell ref="Z26:AC26"/>
    <mergeCell ref="AD26:AG26"/>
    <mergeCell ref="A3:A69"/>
    <mergeCell ref="V2:Y2"/>
    <mergeCell ref="Z2:AC2"/>
    <mergeCell ref="AD2:AG2"/>
    <mergeCell ref="AH2:AK2"/>
    <mergeCell ref="D27:I27"/>
    <mergeCell ref="N27:Q27"/>
    <mergeCell ref="R27:U27"/>
    <mergeCell ref="V27:Y27"/>
    <mergeCell ref="Z27:AC27"/>
    <mergeCell ref="AD27:AG27"/>
    <mergeCell ref="AH27:AK27"/>
    <mergeCell ref="D11:I11"/>
    <mergeCell ref="V12:Y12"/>
    <mergeCell ref="Z12:AC12"/>
    <mergeCell ref="AH14:AK14"/>
    <mergeCell ref="V13:Y13"/>
    <mergeCell ref="Z13:AC13"/>
    <mergeCell ref="AD13:AG13"/>
    <mergeCell ref="AH13:AK13"/>
    <mergeCell ref="N19:Q19"/>
    <mergeCell ref="R19:U19"/>
    <mergeCell ref="V19:Y19"/>
    <mergeCell ref="Z19:AC19"/>
    <mergeCell ref="AD19:AG19"/>
    <mergeCell ref="AH19:AK19"/>
    <mergeCell ref="AD16:AG16"/>
    <mergeCell ref="AH16:AK16"/>
    <mergeCell ref="N14:Q14"/>
    <mergeCell ref="R14:U14"/>
    <mergeCell ref="V16:Y16"/>
    <mergeCell ref="Z16:AC16"/>
    <mergeCell ref="AD14:AG14"/>
    <mergeCell ref="N15:Q15"/>
    <mergeCell ref="R15:U15"/>
    <mergeCell ref="V14:Y14"/>
    <mergeCell ref="Z14:AC14"/>
    <mergeCell ref="V15:Y15"/>
    <mergeCell ref="D19:I19"/>
    <mergeCell ref="D20:I20"/>
    <mergeCell ref="D21:I21"/>
    <mergeCell ref="K19:M19"/>
    <mergeCell ref="K20:M20"/>
    <mergeCell ref="K21:M21"/>
    <mergeCell ref="N20:Q20"/>
    <mergeCell ref="R20:U20"/>
    <mergeCell ref="N13:Q13"/>
    <mergeCell ref="R13:U13"/>
    <mergeCell ref="D15:I15"/>
    <mergeCell ref="D14:I14"/>
    <mergeCell ref="K13:M13"/>
    <mergeCell ref="K16:M16"/>
    <mergeCell ref="K18:M18"/>
    <mergeCell ref="K14:M14"/>
    <mergeCell ref="D16:I16"/>
    <mergeCell ref="N16:Q16"/>
    <mergeCell ref="R16:U16"/>
    <mergeCell ref="D13:I13"/>
    <mergeCell ref="AD34:AG34"/>
    <mergeCell ref="AH34:AK34"/>
    <mergeCell ref="D34:I34"/>
    <mergeCell ref="N17:Q17"/>
    <mergeCell ref="R17:U17"/>
    <mergeCell ref="V17:Y17"/>
    <mergeCell ref="Z17:AC17"/>
    <mergeCell ref="AD17:AG17"/>
    <mergeCell ref="AH17:AK17"/>
    <mergeCell ref="N18:Q18"/>
    <mergeCell ref="R18:U18"/>
    <mergeCell ref="V18:Y18"/>
    <mergeCell ref="Z18:AC18"/>
    <mergeCell ref="AD18:AG18"/>
    <mergeCell ref="AH18:AK18"/>
    <mergeCell ref="D18:I18"/>
    <mergeCell ref="K26:M26"/>
    <mergeCell ref="K27:M27"/>
    <mergeCell ref="K28:M28"/>
    <mergeCell ref="K29:M29"/>
    <mergeCell ref="K30:M30"/>
    <mergeCell ref="K31:M31"/>
    <mergeCell ref="K32:M32"/>
    <mergeCell ref="D23:I23"/>
    <mergeCell ref="K23:M23"/>
    <mergeCell ref="N23:Q23"/>
    <mergeCell ref="D24:I24"/>
    <mergeCell ref="K24:M24"/>
    <mergeCell ref="N24:Q24"/>
    <mergeCell ref="D25:I25"/>
    <mergeCell ref="K25:M25"/>
    <mergeCell ref="N25:Q25"/>
    <mergeCell ref="AD24:AG24"/>
    <mergeCell ref="AH24:AK24"/>
    <mergeCell ref="R25:U25"/>
    <mergeCell ref="V25:Y25"/>
    <mergeCell ref="Z25:AC25"/>
    <mergeCell ref="K54:M54"/>
    <mergeCell ref="K55:M55"/>
    <mergeCell ref="K48:M48"/>
    <mergeCell ref="K49:M49"/>
    <mergeCell ref="K34:M34"/>
    <mergeCell ref="V34:Y34"/>
    <mergeCell ref="Z34:AC34"/>
    <mergeCell ref="AH42:AK42"/>
    <mergeCell ref="AD44:AG44"/>
    <mergeCell ref="N47:Q47"/>
    <mergeCell ref="R47:U47"/>
    <mergeCell ref="V47:Y47"/>
    <mergeCell ref="Z47:AC47"/>
    <mergeCell ref="AD47:AG47"/>
    <mergeCell ref="N51:Q51"/>
    <mergeCell ref="R51:U51"/>
    <mergeCell ref="V51:Y51"/>
    <mergeCell ref="Z51:AC51"/>
    <mergeCell ref="AD51:AG51"/>
    <mergeCell ref="K45:M45"/>
    <mergeCell ref="D47:I47"/>
    <mergeCell ref="D44:I44"/>
    <mergeCell ref="K44:M44"/>
    <mergeCell ref="K47:M47"/>
    <mergeCell ref="K51:M51"/>
    <mergeCell ref="D49:I49"/>
    <mergeCell ref="D48:I48"/>
    <mergeCell ref="AH44:AK44"/>
    <mergeCell ref="N44:Q44"/>
    <mergeCell ref="R44:U44"/>
    <mergeCell ref="V44:Y44"/>
    <mergeCell ref="Z44:AC44"/>
    <mergeCell ref="N45:Q45"/>
    <mergeCell ref="R45:U45"/>
    <mergeCell ref="V45:Y45"/>
    <mergeCell ref="Z45:AC45"/>
    <mergeCell ref="AD45:AG45"/>
    <mergeCell ref="N48:Q48"/>
    <mergeCell ref="R48:U48"/>
    <mergeCell ref="BH2:BK2"/>
    <mergeCell ref="BL2:BO2"/>
    <mergeCell ref="BP2:BS2"/>
    <mergeCell ref="BT2:BW2"/>
    <mergeCell ref="AM3:AM69"/>
    <mergeCell ref="BS3:BT3"/>
    <mergeCell ref="BV3:BW3"/>
    <mergeCell ref="BL4:BX4"/>
    <mergeCell ref="BL5:BX5"/>
    <mergeCell ref="BL6:BX6"/>
    <mergeCell ref="AO7:BF8"/>
    <mergeCell ref="BL7:BW7"/>
    <mergeCell ref="BS8:BT8"/>
    <mergeCell ref="BU8:BX8"/>
    <mergeCell ref="AP10:BW10"/>
    <mergeCell ref="AP11:AU11"/>
    <mergeCell ref="AZ11:BG11"/>
    <mergeCell ref="BH11:BO11"/>
    <mergeCell ref="BP11:BW11"/>
    <mergeCell ref="AP12:AU12"/>
    <mergeCell ref="AZ12:BC12"/>
    <mergeCell ref="BD12:BG12"/>
    <mergeCell ref="BH12:BK12"/>
    <mergeCell ref="BL12:BO12"/>
    <mergeCell ref="BP12:BS12"/>
    <mergeCell ref="BT12:BW12"/>
    <mergeCell ref="AP13:AU13"/>
    <mergeCell ref="AW13:AY13"/>
    <mergeCell ref="AZ13:BC13"/>
    <mergeCell ref="BD13:BG13"/>
    <mergeCell ref="BH13:BK13"/>
    <mergeCell ref="BL13:BO13"/>
    <mergeCell ref="BP13:BS13"/>
    <mergeCell ref="BT13:BW13"/>
    <mergeCell ref="AP14:AU14"/>
    <mergeCell ref="AW14:AY14"/>
    <mergeCell ref="AZ14:BC14"/>
    <mergeCell ref="BD14:BG14"/>
    <mergeCell ref="BH14:BK14"/>
    <mergeCell ref="BL14:BO14"/>
    <mergeCell ref="BP14:BS14"/>
    <mergeCell ref="BT14:BW14"/>
    <mergeCell ref="AP15:AU15"/>
    <mergeCell ref="AZ15:BC15"/>
    <mergeCell ref="BD15:BG15"/>
    <mergeCell ref="BH15:BK15"/>
    <mergeCell ref="BL15:BO15"/>
    <mergeCell ref="BP15:BS15"/>
    <mergeCell ref="BT15:BW15"/>
    <mergeCell ref="AP16:AU16"/>
    <mergeCell ref="AW16:AY16"/>
    <mergeCell ref="AZ16:BC16"/>
    <mergeCell ref="BD16:BG16"/>
    <mergeCell ref="BH16:BK16"/>
    <mergeCell ref="BL16:BO16"/>
    <mergeCell ref="BP16:BS16"/>
    <mergeCell ref="BT16:BW16"/>
    <mergeCell ref="AZ17:BC17"/>
    <mergeCell ref="BD17:BG17"/>
    <mergeCell ref="BH17:BK17"/>
    <mergeCell ref="BL17:BO17"/>
    <mergeCell ref="BP17:BS17"/>
    <mergeCell ref="BT17:BW17"/>
    <mergeCell ref="AP18:AU18"/>
    <mergeCell ref="AW18:AY18"/>
    <mergeCell ref="AZ18:BC18"/>
    <mergeCell ref="BD18:BG18"/>
    <mergeCell ref="BH18:BK18"/>
    <mergeCell ref="BL18:BO18"/>
    <mergeCell ref="BP18:BS18"/>
    <mergeCell ref="BT18:BW18"/>
    <mergeCell ref="AP19:AU19"/>
    <mergeCell ref="AW19:AY19"/>
    <mergeCell ref="AZ19:BC19"/>
    <mergeCell ref="BD19:BG19"/>
    <mergeCell ref="BH19:BK19"/>
    <mergeCell ref="BL19:BO19"/>
    <mergeCell ref="BP19:BS19"/>
    <mergeCell ref="BT19:BW19"/>
    <mergeCell ref="AP20:AU20"/>
    <mergeCell ref="AW20:AY20"/>
    <mergeCell ref="AZ20:BC20"/>
    <mergeCell ref="BD20:BG20"/>
    <mergeCell ref="BH20:BK20"/>
    <mergeCell ref="BL20:BO20"/>
    <mergeCell ref="BP20:BS20"/>
    <mergeCell ref="BT20:BW20"/>
    <mergeCell ref="AP21:AU21"/>
    <mergeCell ref="AW21:AY21"/>
    <mergeCell ref="AZ21:BC21"/>
    <mergeCell ref="BD21:BG21"/>
    <mergeCell ref="BH21:BK21"/>
    <mergeCell ref="BL21:BO21"/>
    <mergeCell ref="BP21:BS21"/>
    <mergeCell ref="BT21:BW21"/>
    <mergeCell ref="AP23:AU23"/>
    <mergeCell ref="AW23:AY23"/>
    <mergeCell ref="AZ23:BC23"/>
    <mergeCell ref="BD23:BG23"/>
    <mergeCell ref="BH23:BK23"/>
    <mergeCell ref="BL23:BO23"/>
    <mergeCell ref="BP23:BS23"/>
    <mergeCell ref="BT23:BW23"/>
    <mergeCell ref="AP24:AU24"/>
    <mergeCell ref="AW24:AY24"/>
    <mergeCell ref="AZ24:BC24"/>
    <mergeCell ref="BD24:BG24"/>
    <mergeCell ref="BH24:BK24"/>
    <mergeCell ref="BL24:BO24"/>
    <mergeCell ref="BP24:BS24"/>
    <mergeCell ref="BT24:BW24"/>
    <mergeCell ref="AP25:AU25"/>
    <mergeCell ref="AW25:AY25"/>
    <mergeCell ref="AZ25:BC25"/>
    <mergeCell ref="BD25:BG25"/>
    <mergeCell ref="BH25:BK25"/>
    <mergeCell ref="BL25:BO25"/>
    <mergeCell ref="BP25:BS25"/>
    <mergeCell ref="BT25:BW25"/>
    <mergeCell ref="AP26:AU26"/>
    <mergeCell ref="AW26:AY26"/>
    <mergeCell ref="AZ26:BC26"/>
    <mergeCell ref="BD26:BG26"/>
    <mergeCell ref="BH26:BK26"/>
    <mergeCell ref="BL26:BO26"/>
    <mergeCell ref="BP26:BS26"/>
    <mergeCell ref="BT26:BW26"/>
    <mergeCell ref="AP27:AU27"/>
    <mergeCell ref="AW27:AY27"/>
    <mergeCell ref="AZ27:BC27"/>
    <mergeCell ref="BD27:BG27"/>
    <mergeCell ref="BH27:BK27"/>
    <mergeCell ref="BL27:BO27"/>
    <mergeCell ref="BP27:BS27"/>
    <mergeCell ref="BT27:BW27"/>
    <mergeCell ref="AP28:AU28"/>
    <mergeCell ref="AW28:AY28"/>
    <mergeCell ref="AZ28:BC28"/>
    <mergeCell ref="BD28:BG28"/>
    <mergeCell ref="BH28:BK28"/>
    <mergeCell ref="BL28:BO28"/>
    <mergeCell ref="BP28:BS28"/>
    <mergeCell ref="BT28:BW28"/>
    <mergeCell ref="AP29:AU29"/>
    <mergeCell ref="AW29:AY29"/>
    <mergeCell ref="AZ29:BC29"/>
    <mergeCell ref="BD29:BG29"/>
    <mergeCell ref="BH29:BK29"/>
    <mergeCell ref="BL29:BO29"/>
    <mergeCell ref="BP29:BS29"/>
    <mergeCell ref="BT29:BW29"/>
    <mergeCell ref="AP30:AU30"/>
    <mergeCell ref="AW30:AY30"/>
    <mergeCell ref="AZ30:BC30"/>
    <mergeCell ref="BD30:BG30"/>
    <mergeCell ref="BH30:BK30"/>
    <mergeCell ref="BL30:BO30"/>
    <mergeCell ref="BP30:BS30"/>
    <mergeCell ref="BT30:BW30"/>
    <mergeCell ref="AP31:AU31"/>
    <mergeCell ref="AW31:AY31"/>
    <mergeCell ref="AZ31:BC31"/>
    <mergeCell ref="BD31:BG31"/>
    <mergeCell ref="BH31:BK31"/>
    <mergeCell ref="BL31:BO31"/>
    <mergeCell ref="BP31:BS31"/>
    <mergeCell ref="BT31:BW31"/>
    <mergeCell ref="AP32:AU32"/>
    <mergeCell ref="AW32:AY32"/>
    <mergeCell ref="AZ32:BC32"/>
    <mergeCell ref="BD32:BG32"/>
    <mergeCell ref="BH32:BK32"/>
    <mergeCell ref="BL32:BO32"/>
    <mergeCell ref="BP32:BS32"/>
    <mergeCell ref="BT32:BW32"/>
    <mergeCell ref="AP33:AU33"/>
    <mergeCell ref="AW33:AY33"/>
    <mergeCell ref="AZ33:BC33"/>
    <mergeCell ref="BD33:BG33"/>
    <mergeCell ref="BH33:BK33"/>
    <mergeCell ref="BL33:BO33"/>
    <mergeCell ref="BP33:BS33"/>
    <mergeCell ref="BT33:BW33"/>
    <mergeCell ref="AP34:AU34"/>
    <mergeCell ref="AW34:AY34"/>
    <mergeCell ref="AZ34:BC34"/>
    <mergeCell ref="BD34:BG34"/>
    <mergeCell ref="BH34:BK34"/>
    <mergeCell ref="BL34:BO34"/>
    <mergeCell ref="BP34:BS34"/>
    <mergeCell ref="BT34:BW34"/>
    <mergeCell ref="AP35:AU35"/>
    <mergeCell ref="AZ35:BC35"/>
    <mergeCell ref="BD35:BG35"/>
    <mergeCell ref="BH35:BK35"/>
    <mergeCell ref="BL35:BO35"/>
    <mergeCell ref="BP35:BS35"/>
    <mergeCell ref="BT35:BW35"/>
    <mergeCell ref="AP36:AU36"/>
    <mergeCell ref="AZ36:BC36"/>
    <mergeCell ref="BD36:BG36"/>
    <mergeCell ref="BH36:BK36"/>
    <mergeCell ref="BL36:BO36"/>
    <mergeCell ref="BP36:BS36"/>
    <mergeCell ref="BT36:BW36"/>
    <mergeCell ref="AP37:AU37"/>
    <mergeCell ref="AW37:AY37"/>
    <mergeCell ref="AZ37:BC37"/>
    <mergeCell ref="BD37:BG37"/>
    <mergeCell ref="BH37:BK37"/>
    <mergeCell ref="BL37:BO37"/>
    <mergeCell ref="BP37:BS37"/>
    <mergeCell ref="BT37:BW37"/>
    <mergeCell ref="AP38:AU38"/>
    <mergeCell ref="AW38:AY38"/>
    <mergeCell ref="AZ38:BC38"/>
    <mergeCell ref="BD38:BG38"/>
    <mergeCell ref="BH38:BK38"/>
    <mergeCell ref="BL38:BO38"/>
    <mergeCell ref="BP38:BS38"/>
    <mergeCell ref="BT38:BW38"/>
    <mergeCell ref="AP39:AU39"/>
    <mergeCell ref="AW39:AY39"/>
    <mergeCell ref="AZ39:BC39"/>
    <mergeCell ref="BD39:BG39"/>
    <mergeCell ref="BH39:BK39"/>
    <mergeCell ref="BL39:BO39"/>
    <mergeCell ref="BP39:BS39"/>
    <mergeCell ref="BT39:BW39"/>
    <mergeCell ref="AP41:AU41"/>
    <mergeCell ref="AW41:AY41"/>
    <mergeCell ref="AZ41:BC41"/>
    <mergeCell ref="BD41:BG41"/>
    <mergeCell ref="BH41:BK41"/>
    <mergeCell ref="BL41:BO41"/>
    <mergeCell ref="BP41:BS41"/>
    <mergeCell ref="BT41:BW41"/>
    <mergeCell ref="AP42:AU42"/>
    <mergeCell ref="AZ42:BC42"/>
    <mergeCell ref="BD42:BG42"/>
    <mergeCell ref="BH42:BK42"/>
    <mergeCell ref="BL42:BO42"/>
    <mergeCell ref="BP42:BS42"/>
    <mergeCell ref="BT42:BW42"/>
    <mergeCell ref="AP43:AU43"/>
    <mergeCell ref="AW43:AY43"/>
    <mergeCell ref="AZ43:BC43"/>
    <mergeCell ref="BD43:BG43"/>
    <mergeCell ref="BH43:BK43"/>
    <mergeCell ref="BL43:BO43"/>
    <mergeCell ref="BP43:BS43"/>
    <mergeCell ref="BT43:BW43"/>
    <mergeCell ref="AP44:AU44"/>
    <mergeCell ref="AW44:AY44"/>
    <mergeCell ref="AZ44:BC44"/>
    <mergeCell ref="BD44:BG44"/>
    <mergeCell ref="BH44:BK44"/>
    <mergeCell ref="BL44:BO44"/>
    <mergeCell ref="BP44:BS44"/>
    <mergeCell ref="BT44:BW44"/>
    <mergeCell ref="AP45:AU45"/>
    <mergeCell ref="AW45:AY45"/>
    <mergeCell ref="AZ45:BC45"/>
    <mergeCell ref="BD45:BG45"/>
    <mergeCell ref="BH45:BK45"/>
    <mergeCell ref="BL45:BO45"/>
    <mergeCell ref="BP45:BS45"/>
    <mergeCell ref="BT45:BW45"/>
    <mergeCell ref="AP47:AU47"/>
    <mergeCell ref="AW47:AY47"/>
    <mergeCell ref="AZ47:BC47"/>
    <mergeCell ref="BD47:BG47"/>
    <mergeCell ref="BH47:BK47"/>
    <mergeCell ref="BL47:BO47"/>
    <mergeCell ref="BP47:BS47"/>
    <mergeCell ref="BT47:BW47"/>
    <mergeCell ref="AP48:AU48"/>
    <mergeCell ref="AW48:AY48"/>
    <mergeCell ref="AZ48:BC48"/>
    <mergeCell ref="BD48:BG48"/>
    <mergeCell ref="BH48:BK48"/>
    <mergeCell ref="BL48:BO48"/>
    <mergeCell ref="BP48:BS48"/>
    <mergeCell ref="BT48:BW48"/>
    <mergeCell ref="AP49:AU49"/>
    <mergeCell ref="AW49:AY49"/>
    <mergeCell ref="AZ49:BC49"/>
    <mergeCell ref="BD49:BG49"/>
    <mergeCell ref="BH49:BK49"/>
    <mergeCell ref="BL49:BO49"/>
    <mergeCell ref="BP49:BS49"/>
    <mergeCell ref="BT49:BW49"/>
    <mergeCell ref="AP51:AU51"/>
    <mergeCell ref="AW51:AY51"/>
    <mergeCell ref="AZ51:BC51"/>
    <mergeCell ref="BD51:BG51"/>
    <mergeCell ref="BH51:BK51"/>
    <mergeCell ref="BL51:BO51"/>
    <mergeCell ref="BP51:BS51"/>
    <mergeCell ref="BT51:BW51"/>
    <mergeCell ref="AP52:AU52"/>
    <mergeCell ref="AW52:AY52"/>
    <mergeCell ref="AZ52:BC52"/>
    <mergeCell ref="BD52:BG52"/>
    <mergeCell ref="BH52:BK52"/>
    <mergeCell ref="BL52:BO52"/>
    <mergeCell ref="BP52:BS52"/>
    <mergeCell ref="BT52:BW52"/>
    <mergeCell ref="AZ53:BC53"/>
    <mergeCell ref="BD53:BG53"/>
    <mergeCell ref="BH53:BK53"/>
    <mergeCell ref="BL53:BO53"/>
    <mergeCell ref="BP53:BS53"/>
    <mergeCell ref="BT53:BW53"/>
    <mergeCell ref="AP54:AU54"/>
    <mergeCell ref="AW54:AY54"/>
    <mergeCell ref="AZ54:BC54"/>
    <mergeCell ref="BD54:BG54"/>
    <mergeCell ref="BH54:BK54"/>
    <mergeCell ref="BL54:BO54"/>
    <mergeCell ref="BP54:BS54"/>
    <mergeCell ref="BT54:BW54"/>
    <mergeCell ref="AP55:AU55"/>
    <mergeCell ref="AW55:AY55"/>
    <mergeCell ref="AZ55:BC55"/>
    <mergeCell ref="BD55:BG55"/>
    <mergeCell ref="BH55:BK55"/>
    <mergeCell ref="BL55:BO55"/>
    <mergeCell ref="BP55:BS55"/>
    <mergeCell ref="BT55:BW55"/>
    <mergeCell ref="AP56:AU56"/>
    <mergeCell ref="AW56:AY56"/>
    <mergeCell ref="AZ56:BC56"/>
    <mergeCell ref="BD56:BG56"/>
    <mergeCell ref="BH56:BK56"/>
    <mergeCell ref="BL56:BO56"/>
    <mergeCell ref="BP56:BS56"/>
    <mergeCell ref="BT56:BW56"/>
    <mergeCell ref="AP58:AU58"/>
    <mergeCell ref="AW58:AY58"/>
    <mergeCell ref="AZ58:BC58"/>
    <mergeCell ref="BD58:BG58"/>
    <mergeCell ref="BH58:BK58"/>
    <mergeCell ref="BL58:BO58"/>
    <mergeCell ref="BP58:BS58"/>
    <mergeCell ref="BT58:BW58"/>
    <mergeCell ref="AP59:AU59"/>
    <mergeCell ref="AW59:AY59"/>
    <mergeCell ref="AZ59:BC59"/>
    <mergeCell ref="BD59:BG59"/>
    <mergeCell ref="BH59:BK59"/>
    <mergeCell ref="BL59:BO59"/>
    <mergeCell ref="BP59:BS59"/>
    <mergeCell ref="BT59:BW59"/>
    <mergeCell ref="AP61:AU61"/>
    <mergeCell ref="AW61:AY61"/>
    <mergeCell ref="AZ61:BG61"/>
    <mergeCell ref="BH61:BO61"/>
    <mergeCell ref="BP61:BW61"/>
    <mergeCell ref="AP62:AU62"/>
    <mergeCell ref="AW62:AY62"/>
    <mergeCell ref="AZ62:BG62"/>
    <mergeCell ref="BH62:BO62"/>
    <mergeCell ref="BP62:BW62"/>
    <mergeCell ref="AZ63:BG63"/>
    <mergeCell ref="BH63:BO63"/>
    <mergeCell ref="BP63:BS63"/>
    <mergeCell ref="BT63:BW63"/>
    <mergeCell ref="AO64:BX64"/>
    <mergeCell ref="AO65:AP65"/>
    <mergeCell ref="AQ65:AT65"/>
    <mergeCell ref="AU65:AY65"/>
    <mergeCell ref="AZ65:BD65"/>
    <mergeCell ref="BE65:BI65"/>
    <mergeCell ref="BJ65:BN65"/>
    <mergeCell ref="BO65:BX65"/>
    <mergeCell ref="AO66:AP66"/>
    <mergeCell ref="AQ66:AT66"/>
    <mergeCell ref="AU66:AY66"/>
    <mergeCell ref="AZ66:BD66"/>
    <mergeCell ref="BE66:BI66"/>
    <mergeCell ref="BJ66:BN66"/>
    <mergeCell ref="BO66:BX66"/>
    <mergeCell ref="AO69:AP69"/>
    <mergeCell ref="AQ69:AT69"/>
    <mergeCell ref="AU69:AY69"/>
    <mergeCell ref="AZ69:BD69"/>
    <mergeCell ref="BE69:BI69"/>
    <mergeCell ref="BJ69:BN69"/>
    <mergeCell ref="BO69:BX69"/>
    <mergeCell ref="AO67:AP67"/>
    <mergeCell ref="AQ67:AT67"/>
    <mergeCell ref="AU67:AY67"/>
    <mergeCell ref="AZ67:BD67"/>
    <mergeCell ref="BE67:BI67"/>
    <mergeCell ref="BJ67:BN67"/>
    <mergeCell ref="BO67:BX67"/>
    <mergeCell ref="AO68:AP68"/>
    <mergeCell ref="AQ68:AT68"/>
    <mergeCell ref="AU68:AY68"/>
    <mergeCell ref="AZ68:BD68"/>
    <mergeCell ref="BE68:BI68"/>
    <mergeCell ref="BJ68:BN68"/>
    <mergeCell ref="BO68:BX68"/>
  </mergeCells>
  <phoneticPr fontId="43" type="noConversion"/>
  <dataValidations disablePrompts="1" count="8">
    <dataValidation type="list" allowBlank="1" showInputMessage="1" showErrorMessage="1" sqref="N35:AK35 AZ35:BW35">
      <formula1>EM</formula1>
    </dataValidation>
    <dataValidation type="list" allowBlank="1" showInputMessage="1" showErrorMessage="1" sqref="N34:AK34 AZ34:BW34">
      <formula1>PIPE_M</formula1>
    </dataValidation>
    <dataValidation type="list" allowBlank="1" showInputMessage="1" showErrorMessage="1" sqref="N28:AK28 AZ28:BW28">
      <formula1>PIPE</formula1>
    </dataValidation>
    <dataValidation type="list" allowBlank="1" showInputMessage="1" showErrorMessage="1" sqref="N29:AK29 AZ29:BW29">
      <formula1>SCH</formula1>
    </dataValidation>
    <dataValidation type="list" allowBlank="1" showInputMessage="1" showErrorMessage="1" sqref="N33:AK33 AZ33:BW33">
      <formula1>"HORIZONTAL,VERTICAL"</formula1>
    </dataValidation>
    <dataValidation type="list" allowBlank="1" showInputMessage="1" showErrorMessage="1" sqref="N21:AK21 AZ21:BW21">
      <formula1>"Spring,Summer,Autumn,Winter"</formula1>
    </dataValidation>
    <dataValidation type="list" allowBlank="1" showInputMessage="1" showErrorMessage="1" sqref="N36:AK36 AZ36:BW36">
      <formula1>INS</formula1>
    </dataValidation>
    <dataValidation type="list" allowBlank="1" showInputMessage="1" showErrorMessage="1" sqref="N27:AK27 AZ27:BW27">
      <formula1>"BARE,BURIED,NO PIPE"</formula1>
    </dataValidation>
  </dataValidations>
  <printOptions horizontalCentered="1"/>
  <pageMargins left="0.11811023622047245" right="0.11811023622047245" top="0.74803149606299213" bottom="0.74803149606299213" header="0.31496062992125984" footer="0.31496062992125984"/>
  <pageSetup paperSize="9" scale="48" fitToWidth="0" fitToHeight="0" orientation="portrait" r:id="rId1"/>
  <colBreaks count="1" manualBreakCount="1">
    <brk id="38" max="68" man="1"/>
  </colBreaks>
  <ignoredErrors>
    <ignoredError sqref="N35:Q35 N30:AK30 R31:AH31 N31 O48:Q48 O47:Q47 N53 N54 O53:Q53 O54:Q54 N51 O49:Q49 O42:Q42 O41:Q41 N38:Q40 N50:Q50 N49 N52:Q52 O51:Q51 N55:Q57 N46:Q46 N48 N47 N18:U18 R38:AK38 R53:AK54 R52:U52 Z52:AK52 R50:AK51 W43:Y43 N43:V43 AD43:AK43 O45:Q45 O44:Q44 N45 N44 R44:U44 R45:AK45 O59:Q59 O58:Q58 N59 N58 R58:AK58 R59:AK59 O17:Q17 N17 R17:U17 R16:U16 R46:U49 AD46:AK49 AD44:AK44 W17:Y17 AA17:AK17 W18:AK18" unlockedFormula="1"/>
    <ignoredError sqref="B10:B37 B38:B63"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anchor moveWithCells="1" sizeWithCells="1">
                  <from>
                    <xdr:col>77</xdr:col>
                    <xdr:colOff>228600</xdr:colOff>
                    <xdr:row>4</xdr:row>
                    <xdr:rowOff>171450</xdr:rowOff>
                  </from>
                  <to>
                    <xdr:col>79</xdr:col>
                    <xdr:colOff>581025</xdr:colOff>
                    <xdr:row>7</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X92"/>
  <sheetViews>
    <sheetView showGridLines="0" view="pageBreakPreview" topLeftCell="A4" zoomScale="70" zoomScaleNormal="55" zoomScaleSheetLayoutView="70" workbookViewId="0">
      <selection activeCell="AD63" sqref="AD63:AK63"/>
    </sheetView>
  </sheetViews>
  <sheetFormatPr defaultRowHeight="16.5"/>
  <cols>
    <col min="1" max="1" width="6.42578125" style="197" customWidth="1"/>
    <col min="2" max="4" width="4.140625" style="197" customWidth="1"/>
    <col min="5" max="6" width="6.7109375" style="197" customWidth="1"/>
    <col min="7" max="37" width="5.28515625" style="197" customWidth="1"/>
    <col min="38" max="38" width="4.140625" style="197" customWidth="1"/>
    <col min="39" max="39" width="6.42578125" style="197" customWidth="1"/>
    <col min="40" max="42" width="4.140625" style="197" customWidth="1"/>
    <col min="43" max="44" width="6.7109375" style="197" customWidth="1"/>
    <col min="45" max="75" width="5.28515625" style="197" customWidth="1"/>
    <col min="76" max="76" width="4.140625" style="197" customWidth="1"/>
    <col min="77" max="154" width="14.7109375" style="197" customWidth="1"/>
    <col min="155" max="16384" width="9.140625" style="197"/>
  </cols>
  <sheetData>
    <row r="1" spans="1:76" s="166" customFormat="1" ht="20.25" customHeight="1">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N1" s="167"/>
      <c r="AO1" s="167"/>
      <c r="AP1" s="167"/>
      <c r="AQ1" s="167"/>
      <c r="AR1" s="167"/>
      <c r="AS1" s="167"/>
      <c r="AT1" s="167"/>
      <c r="AU1" s="167"/>
      <c r="AV1" s="167"/>
      <c r="AW1" s="167"/>
      <c r="AX1" s="167"/>
      <c r="AY1" s="167"/>
      <c r="AZ1" s="167"/>
      <c r="BA1" s="167"/>
      <c r="BB1" s="167"/>
      <c r="BC1" s="167"/>
      <c r="BD1" s="167"/>
      <c r="BE1" s="167"/>
      <c r="BF1" s="167"/>
      <c r="BG1" s="167"/>
      <c r="BH1" s="167"/>
      <c r="BI1" s="167"/>
      <c r="BJ1" s="167"/>
      <c r="BK1" s="167"/>
      <c r="BL1" s="167"/>
      <c r="BM1" s="167"/>
      <c r="BN1" s="167"/>
      <c r="BO1" s="167"/>
      <c r="BP1" s="167"/>
      <c r="BQ1" s="167"/>
      <c r="BR1" s="167"/>
      <c r="BS1" s="167"/>
      <c r="BT1" s="167"/>
      <c r="BU1" s="167"/>
      <c r="BV1" s="167"/>
      <c r="BW1" s="167"/>
      <c r="BX1" s="167"/>
    </row>
    <row r="2" spans="1:76" s="166" customFormat="1" ht="15" customHeight="1" thickBot="1">
      <c r="B2" s="168"/>
      <c r="C2" s="168"/>
      <c r="D2" s="168"/>
      <c r="E2" s="168"/>
      <c r="F2" s="168"/>
      <c r="G2" s="168"/>
      <c r="H2" s="168"/>
      <c r="I2" s="168"/>
      <c r="J2" s="168"/>
      <c r="K2" s="168"/>
      <c r="L2" s="168"/>
      <c r="M2" s="168"/>
      <c r="N2" s="168"/>
      <c r="O2" s="168"/>
      <c r="P2" s="168"/>
      <c r="Q2" s="168"/>
      <c r="R2" s="168"/>
      <c r="S2" s="168"/>
      <c r="T2" s="168"/>
      <c r="U2" s="168"/>
      <c r="V2" s="458"/>
      <c r="W2" s="458"/>
      <c r="X2" s="458"/>
      <c r="Y2" s="458"/>
      <c r="Z2" s="458"/>
      <c r="AA2" s="458"/>
      <c r="AB2" s="458"/>
      <c r="AC2" s="458"/>
      <c r="AD2" s="458"/>
      <c r="AE2" s="458"/>
      <c r="AF2" s="458"/>
      <c r="AG2" s="458"/>
      <c r="AH2" s="458"/>
      <c r="AI2" s="458"/>
      <c r="AJ2" s="458"/>
      <c r="AK2" s="458"/>
      <c r="AL2" s="274"/>
      <c r="AN2" s="168"/>
      <c r="AO2" s="168"/>
      <c r="AP2" s="168"/>
      <c r="AQ2" s="168"/>
      <c r="AR2" s="168"/>
      <c r="AS2" s="168"/>
      <c r="AT2" s="168"/>
      <c r="AU2" s="168"/>
      <c r="AV2" s="168"/>
      <c r="AW2" s="168"/>
      <c r="AX2" s="168"/>
      <c r="AY2" s="168"/>
      <c r="AZ2" s="168"/>
      <c r="BA2" s="168"/>
      <c r="BB2" s="168"/>
      <c r="BC2" s="168"/>
      <c r="BD2" s="168"/>
      <c r="BE2" s="168"/>
      <c r="BF2" s="168"/>
      <c r="BG2" s="168"/>
      <c r="BH2" s="458"/>
      <c r="BI2" s="458"/>
      <c r="BJ2" s="458"/>
      <c r="BK2" s="458"/>
      <c r="BL2" s="458"/>
      <c r="BM2" s="458"/>
      <c r="BN2" s="458"/>
      <c r="BO2" s="458"/>
      <c r="BP2" s="458"/>
      <c r="BQ2" s="458"/>
      <c r="BR2" s="458"/>
      <c r="BS2" s="458"/>
      <c r="BT2" s="458"/>
      <c r="BU2" s="458"/>
      <c r="BV2" s="458"/>
      <c r="BW2" s="458"/>
      <c r="BX2" s="274"/>
    </row>
    <row r="3" spans="1:76" s="166" customFormat="1" ht="20.25" customHeight="1">
      <c r="A3" s="459" t="s">
        <v>136</v>
      </c>
      <c r="B3" s="168"/>
      <c r="C3" s="170"/>
      <c r="D3" s="171"/>
      <c r="E3" s="171"/>
      <c r="F3" s="171"/>
      <c r="G3" s="171"/>
      <c r="H3" s="171"/>
      <c r="I3" s="171"/>
      <c r="J3" s="171"/>
      <c r="K3" s="171"/>
      <c r="L3" s="171"/>
      <c r="M3" s="171"/>
      <c r="N3" s="171"/>
      <c r="O3" s="171"/>
      <c r="P3" s="171"/>
      <c r="Q3" s="171"/>
      <c r="R3" s="171"/>
      <c r="S3" s="171"/>
      <c r="T3" s="171"/>
      <c r="U3" s="172"/>
      <c r="V3" s="173"/>
      <c r="W3" s="173"/>
      <c r="X3" s="214"/>
      <c r="Y3" s="173"/>
      <c r="Z3" s="173"/>
      <c r="AA3" s="174"/>
      <c r="AB3" s="174"/>
      <c r="AC3" s="174"/>
      <c r="AD3" s="255"/>
      <c r="AE3" s="175" t="s">
        <v>137</v>
      </c>
      <c r="AF3" s="255"/>
      <c r="AG3" s="460">
        <v>2</v>
      </c>
      <c r="AH3" s="460"/>
      <c r="AI3" s="257" t="s">
        <v>302</v>
      </c>
      <c r="AJ3" s="460">
        <v>2</v>
      </c>
      <c r="AK3" s="460"/>
      <c r="AL3" s="176"/>
      <c r="AM3" s="459" t="s">
        <v>136</v>
      </c>
      <c r="AN3" s="168"/>
      <c r="AO3" s="170"/>
      <c r="AP3" s="171"/>
      <c r="AQ3" s="171"/>
      <c r="AR3" s="171"/>
      <c r="AS3" s="171"/>
      <c r="AT3" s="171"/>
      <c r="AU3" s="171"/>
      <c r="AV3" s="171"/>
      <c r="AW3" s="171"/>
      <c r="AX3" s="171"/>
      <c r="AY3" s="171"/>
      <c r="AZ3" s="171"/>
      <c r="BA3" s="171"/>
      <c r="BB3" s="171"/>
      <c r="BC3" s="171"/>
      <c r="BD3" s="171"/>
      <c r="BE3" s="171"/>
      <c r="BF3" s="171"/>
      <c r="BG3" s="172"/>
      <c r="BH3" s="173"/>
      <c r="BI3" s="173"/>
      <c r="BJ3" s="214"/>
      <c r="BK3" s="173"/>
      <c r="BL3" s="173"/>
      <c r="BM3" s="174"/>
      <c r="BN3" s="174"/>
      <c r="BO3" s="174"/>
      <c r="BP3" s="255"/>
      <c r="BQ3" s="175" t="s">
        <v>137</v>
      </c>
      <c r="BR3" s="255"/>
      <c r="BS3" s="460">
        <v>2</v>
      </c>
      <c r="BT3" s="460"/>
      <c r="BU3" s="257" t="s">
        <v>302</v>
      </c>
      <c r="BV3" s="460">
        <v>2</v>
      </c>
      <c r="BW3" s="460"/>
      <c r="BX3" s="176"/>
    </row>
    <row r="4" spans="1:76" s="166" customFormat="1" ht="20.25" customHeight="1">
      <c r="A4" s="459"/>
      <c r="B4" s="168"/>
      <c r="C4" s="177"/>
      <c r="D4" s="168"/>
      <c r="E4" s="168"/>
      <c r="F4" s="168"/>
      <c r="G4" s="168"/>
      <c r="H4" s="168"/>
      <c r="I4" s="168"/>
      <c r="J4" s="168"/>
      <c r="K4" s="168"/>
      <c r="L4" s="168"/>
      <c r="M4" s="168"/>
      <c r="N4" s="168"/>
      <c r="O4" s="168"/>
      <c r="P4" s="168"/>
      <c r="Q4" s="168"/>
      <c r="R4" s="168"/>
      <c r="S4" s="168"/>
      <c r="T4" s="168"/>
      <c r="U4" s="178" t="s">
        <v>138</v>
      </c>
      <c r="V4" s="179"/>
      <c r="W4" s="215"/>
      <c r="X4" s="215"/>
      <c r="Y4" s="179"/>
      <c r="Z4" s="461"/>
      <c r="AA4" s="461"/>
      <c r="AB4" s="461"/>
      <c r="AC4" s="461"/>
      <c r="AD4" s="461"/>
      <c r="AE4" s="461"/>
      <c r="AF4" s="461"/>
      <c r="AG4" s="461"/>
      <c r="AH4" s="461"/>
      <c r="AI4" s="461"/>
      <c r="AJ4" s="461"/>
      <c r="AK4" s="461"/>
      <c r="AL4" s="462"/>
      <c r="AM4" s="459"/>
      <c r="AN4" s="168"/>
      <c r="AO4" s="177"/>
      <c r="AP4" s="168"/>
      <c r="AQ4" s="168"/>
      <c r="AR4" s="168"/>
      <c r="AS4" s="168"/>
      <c r="AT4" s="168"/>
      <c r="AU4" s="168"/>
      <c r="AV4" s="168"/>
      <c r="AW4" s="168"/>
      <c r="AX4" s="168"/>
      <c r="AY4" s="168"/>
      <c r="AZ4" s="168"/>
      <c r="BA4" s="168"/>
      <c r="BB4" s="168"/>
      <c r="BC4" s="168"/>
      <c r="BD4" s="168"/>
      <c r="BE4" s="168"/>
      <c r="BF4" s="168"/>
      <c r="BG4" s="178" t="s">
        <v>138</v>
      </c>
      <c r="BH4" s="179"/>
      <c r="BI4" s="215"/>
      <c r="BJ4" s="215"/>
      <c r="BK4" s="179"/>
      <c r="BL4" s="461"/>
      <c r="BM4" s="461"/>
      <c r="BN4" s="461"/>
      <c r="BO4" s="461"/>
      <c r="BP4" s="461"/>
      <c r="BQ4" s="461"/>
      <c r="BR4" s="461"/>
      <c r="BS4" s="461"/>
      <c r="BT4" s="461"/>
      <c r="BU4" s="461"/>
      <c r="BV4" s="461"/>
      <c r="BW4" s="461"/>
      <c r="BX4" s="462"/>
    </row>
    <row r="5" spans="1:76" s="166" customFormat="1" ht="20.25" customHeight="1">
      <c r="A5" s="459"/>
      <c r="B5" s="168"/>
      <c r="C5" s="177"/>
      <c r="D5" s="168"/>
      <c r="E5" s="168"/>
      <c r="F5" s="168"/>
      <c r="G5" s="168"/>
      <c r="H5" s="168"/>
      <c r="I5" s="168"/>
      <c r="J5" s="168"/>
      <c r="K5" s="168"/>
      <c r="L5" s="168"/>
      <c r="M5" s="168"/>
      <c r="N5" s="168"/>
      <c r="O5" s="168"/>
      <c r="P5" s="168"/>
      <c r="Q5" s="168"/>
      <c r="R5" s="168"/>
      <c r="S5" s="168"/>
      <c r="T5" s="168"/>
      <c r="U5" s="178" t="s">
        <v>139</v>
      </c>
      <c r="V5" s="179"/>
      <c r="W5" s="215"/>
      <c r="X5" s="215"/>
      <c r="Y5" s="179"/>
      <c r="Z5" s="461"/>
      <c r="AA5" s="461"/>
      <c r="AB5" s="461"/>
      <c r="AC5" s="461"/>
      <c r="AD5" s="461"/>
      <c r="AE5" s="461"/>
      <c r="AF5" s="461"/>
      <c r="AG5" s="461"/>
      <c r="AH5" s="461"/>
      <c r="AI5" s="461"/>
      <c r="AJ5" s="461"/>
      <c r="AK5" s="461"/>
      <c r="AL5" s="462"/>
      <c r="AM5" s="459"/>
      <c r="AN5" s="168"/>
      <c r="AO5" s="177"/>
      <c r="AP5" s="168"/>
      <c r="AQ5" s="168"/>
      <c r="AR5" s="168"/>
      <c r="AS5" s="168"/>
      <c r="AT5" s="168"/>
      <c r="AU5" s="168"/>
      <c r="AV5" s="168"/>
      <c r="AW5" s="168"/>
      <c r="AX5" s="168"/>
      <c r="AY5" s="168"/>
      <c r="AZ5" s="168"/>
      <c r="BA5" s="168"/>
      <c r="BB5" s="168"/>
      <c r="BC5" s="168"/>
      <c r="BD5" s="168"/>
      <c r="BE5" s="168"/>
      <c r="BF5" s="168"/>
      <c r="BG5" s="178" t="s">
        <v>139</v>
      </c>
      <c r="BH5" s="179"/>
      <c r="BI5" s="215"/>
      <c r="BJ5" s="215"/>
      <c r="BK5" s="179"/>
      <c r="BL5" s="461"/>
      <c r="BM5" s="461"/>
      <c r="BN5" s="461"/>
      <c r="BO5" s="461"/>
      <c r="BP5" s="461"/>
      <c r="BQ5" s="461"/>
      <c r="BR5" s="461"/>
      <c r="BS5" s="461"/>
      <c r="BT5" s="461"/>
      <c r="BU5" s="461"/>
      <c r="BV5" s="461"/>
      <c r="BW5" s="461"/>
      <c r="BX5" s="462"/>
    </row>
    <row r="6" spans="1:76" s="166" customFormat="1" ht="20.25" customHeight="1">
      <c r="A6" s="459"/>
      <c r="B6" s="168"/>
      <c r="C6" s="177"/>
      <c r="D6" s="168"/>
      <c r="E6" s="168"/>
      <c r="F6" s="168"/>
      <c r="G6" s="168"/>
      <c r="H6" s="168"/>
      <c r="I6" s="168"/>
      <c r="J6" s="168"/>
      <c r="K6" s="168"/>
      <c r="L6" s="168"/>
      <c r="M6" s="168"/>
      <c r="N6" s="168"/>
      <c r="O6" s="168"/>
      <c r="P6" s="168"/>
      <c r="Q6" s="168"/>
      <c r="R6" s="168"/>
      <c r="S6" s="168"/>
      <c r="T6" s="168"/>
      <c r="U6" s="178" t="s">
        <v>140</v>
      </c>
      <c r="V6" s="179"/>
      <c r="W6" s="215"/>
      <c r="X6" s="215"/>
      <c r="Y6" s="179"/>
      <c r="Z6" s="461"/>
      <c r="AA6" s="461"/>
      <c r="AB6" s="461"/>
      <c r="AC6" s="461"/>
      <c r="AD6" s="461"/>
      <c r="AE6" s="461"/>
      <c r="AF6" s="461"/>
      <c r="AG6" s="461"/>
      <c r="AH6" s="461"/>
      <c r="AI6" s="461"/>
      <c r="AJ6" s="461"/>
      <c r="AK6" s="461"/>
      <c r="AL6" s="462"/>
      <c r="AM6" s="459"/>
      <c r="AN6" s="168"/>
      <c r="AO6" s="177"/>
      <c r="AP6" s="168"/>
      <c r="AQ6" s="168"/>
      <c r="AR6" s="168"/>
      <c r="AS6" s="168"/>
      <c r="AT6" s="168"/>
      <c r="AU6" s="168"/>
      <c r="AV6" s="168"/>
      <c r="AW6" s="168"/>
      <c r="AX6" s="168"/>
      <c r="AY6" s="168"/>
      <c r="AZ6" s="168"/>
      <c r="BA6" s="168"/>
      <c r="BB6" s="168"/>
      <c r="BC6" s="168"/>
      <c r="BD6" s="168"/>
      <c r="BE6" s="168"/>
      <c r="BF6" s="168"/>
      <c r="BG6" s="178" t="s">
        <v>140</v>
      </c>
      <c r="BH6" s="179"/>
      <c r="BI6" s="215"/>
      <c r="BJ6" s="215"/>
      <c r="BK6" s="179"/>
      <c r="BL6" s="461"/>
      <c r="BM6" s="461"/>
      <c r="BN6" s="461"/>
      <c r="BO6" s="461"/>
      <c r="BP6" s="461"/>
      <c r="BQ6" s="461"/>
      <c r="BR6" s="461"/>
      <c r="BS6" s="461"/>
      <c r="BT6" s="461"/>
      <c r="BU6" s="461"/>
      <c r="BV6" s="461"/>
      <c r="BW6" s="461"/>
      <c r="BX6" s="462"/>
    </row>
    <row r="7" spans="1:76" s="181" customFormat="1" ht="20.25" customHeight="1">
      <c r="A7" s="459"/>
      <c r="B7" s="180"/>
      <c r="C7" s="463" t="s">
        <v>203</v>
      </c>
      <c r="D7" s="464"/>
      <c r="E7" s="464"/>
      <c r="F7" s="464"/>
      <c r="G7" s="464"/>
      <c r="H7" s="464"/>
      <c r="I7" s="464"/>
      <c r="J7" s="464"/>
      <c r="K7" s="464"/>
      <c r="L7" s="464"/>
      <c r="M7" s="464"/>
      <c r="N7" s="464"/>
      <c r="O7" s="464"/>
      <c r="P7" s="464"/>
      <c r="Q7" s="464"/>
      <c r="R7" s="464"/>
      <c r="S7" s="464"/>
      <c r="T7" s="465"/>
      <c r="U7" s="178" t="s">
        <v>141</v>
      </c>
      <c r="V7" s="179"/>
      <c r="W7" s="216"/>
      <c r="X7" s="218"/>
      <c r="Y7" s="179"/>
      <c r="Z7" s="461"/>
      <c r="AA7" s="461"/>
      <c r="AB7" s="461"/>
      <c r="AC7" s="461"/>
      <c r="AD7" s="461"/>
      <c r="AE7" s="461"/>
      <c r="AF7" s="461"/>
      <c r="AG7" s="461"/>
      <c r="AH7" s="461"/>
      <c r="AI7" s="461"/>
      <c r="AJ7" s="461"/>
      <c r="AK7" s="461"/>
      <c r="AL7" s="211"/>
      <c r="AM7" s="459"/>
      <c r="AN7" s="180"/>
      <c r="AO7" s="463" t="s">
        <v>203</v>
      </c>
      <c r="AP7" s="464"/>
      <c r="AQ7" s="464"/>
      <c r="AR7" s="464"/>
      <c r="AS7" s="464"/>
      <c r="AT7" s="464"/>
      <c r="AU7" s="464"/>
      <c r="AV7" s="464"/>
      <c r="AW7" s="464"/>
      <c r="AX7" s="464"/>
      <c r="AY7" s="464"/>
      <c r="AZ7" s="464"/>
      <c r="BA7" s="464"/>
      <c r="BB7" s="464"/>
      <c r="BC7" s="464"/>
      <c r="BD7" s="464"/>
      <c r="BE7" s="464"/>
      <c r="BF7" s="465"/>
      <c r="BG7" s="178" t="s">
        <v>141</v>
      </c>
      <c r="BH7" s="179"/>
      <c r="BI7" s="216"/>
      <c r="BJ7" s="218"/>
      <c r="BK7" s="179"/>
      <c r="BL7" s="461"/>
      <c r="BM7" s="461"/>
      <c r="BN7" s="461"/>
      <c r="BO7" s="461"/>
      <c r="BP7" s="461"/>
      <c r="BQ7" s="461"/>
      <c r="BR7" s="461"/>
      <c r="BS7" s="461"/>
      <c r="BT7" s="461"/>
      <c r="BU7" s="461"/>
      <c r="BV7" s="461"/>
      <c r="BW7" s="461"/>
      <c r="BX7" s="211"/>
    </row>
    <row r="8" spans="1:76" s="181" customFormat="1" ht="20.25" customHeight="1">
      <c r="A8" s="459"/>
      <c r="B8" s="180"/>
      <c r="C8" s="466"/>
      <c r="D8" s="467"/>
      <c r="E8" s="467"/>
      <c r="F8" s="467"/>
      <c r="G8" s="467"/>
      <c r="H8" s="467"/>
      <c r="I8" s="467"/>
      <c r="J8" s="467"/>
      <c r="K8" s="467"/>
      <c r="L8" s="467"/>
      <c r="M8" s="467"/>
      <c r="N8" s="467"/>
      <c r="O8" s="467"/>
      <c r="P8" s="467"/>
      <c r="Q8" s="467"/>
      <c r="R8" s="467"/>
      <c r="S8" s="467"/>
      <c r="T8" s="468"/>
      <c r="U8" s="182"/>
      <c r="V8" s="183"/>
      <c r="W8" s="217"/>
      <c r="X8" s="219"/>
      <c r="Y8" s="183"/>
      <c r="Z8" s="256"/>
      <c r="AA8" s="256"/>
      <c r="AB8" s="256"/>
      <c r="AC8" s="256"/>
      <c r="AD8" s="256"/>
      <c r="AE8" s="256"/>
      <c r="AF8" s="256"/>
      <c r="AG8" s="469" t="s">
        <v>142</v>
      </c>
      <c r="AH8" s="469"/>
      <c r="AI8" s="470"/>
      <c r="AJ8" s="470"/>
      <c r="AK8" s="470"/>
      <c r="AL8" s="471"/>
      <c r="AM8" s="459"/>
      <c r="AN8" s="180"/>
      <c r="AO8" s="466"/>
      <c r="AP8" s="467"/>
      <c r="AQ8" s="467"/>
      <c r="AR8" s="467"/>
      <c r="AS8" s="467"/>
      <c r="AT8" s="467"/>
      <c r="AU8" s="467"/>
      <c r="AV8" s="467"/>
      <c r="AW8" s="467"/>
      <c r="AX8" s="467"/>
      <c r="AY8" s="467"/>
      <c r="AZ8" s="467"/>
      <c r="BA8" s="467"/>
      <c r="BB8" s="467"/>
      <c r="BC8" s="467"/>
      <c r="BD8" s="467"/>
      <c r="BE8" s="467"/>
      <c r="BF8" s="468"/>
      <c r="BG8" s="182"/>
      <c r="BH8" s="183"/>
      <c r="BI8" s="217"/>
      <c r="BJ8" s="219"/>
      <c r="BK8" s="183"/>
      <c r="BL8" s="256"/>
      <c r="BM8" s="256"/>
      <c r="BN8" s="256"/>
      <c r="BO8" s="256"/>
      <c r="BP8" s="256"/>
      <c r="BQ8" s="256"/>
      <c r="BR8" s="256"/>
      <c r="BS8" s="469" t="s">
        <v>142</v>
      </c>
      <c r="BT8" s="469"/>
      <c r="BU8" s="470"/>
      <c r="BV8" s="470"/>
      <c r="BW8" s="470"/>
      <c r="BX8" s="471"/>
    </row>
    <row r="9" spans="1:76" s="181" customFormat="1" ht="5.0999999999999996" customHeight="1">
      <c r="A9" s="459"/>
      <c r="B9" s="180"/>
      <c r="C9" s="184"/>
      <c r="D9" s="185"/>
      <c r="E9" s="186"/>
      <c r="F9" s="187"/>
      <c r="G9" s="188"/>
      <c r="H9" s="189"/>
      <c r="I9" s="190"/>
      <c r="J9" s="190"/>
      <c r="K9" s="190"/>
      <c r="L9" s="190"/>
      <c r="M9" s="190"/>
      <c r="N9" s="189"/>
      <c r="O9" s="190"/>
      <c r="P9" s="190"/>
      <c r="Q9" s="190"/>
      <c r="R9" s="190"/>
      <c r="S9" s="190"/>
      <c r="T9" s="190"/>
      <c r="U9" s="190"/>
      <c r="V9" s="185"/>
      <c r="W9" s="185"/>
      <c r="X9" s="185"/>
      <c r="Y9" s="185"/>
      <c r="Z9" s="185"/>
      <c r="AA9" s="187"/>
      <c r="AB9" s="187"/>
      <c r="AC9" s="191"/>
      <c r="AD9" s="186"/>
      <c r="AE9" s="186"/>
      <c r="AF9" s="185"/>
      <c r="AG9" s="185"/>
      <c r="AH9" s="186"/>
      <c r="AI9" s="192"/>
      <c r="AJ9" s="192"/>
      <c r="AK9" s="192"/>
      <c r="AL9" s="193"/>
      <c r="AM9" s="459"/>
      <c r="AN9" s="180"/>
      <c r="AO9" s="184"/>
      <c r="AP9" s="185"/>
      <c r="AQ9" s="186"/>
      <c r="AR9" s="187"/>
      <c r="AS9" s="188"/>
      <c r="AT9" s="189"/>
      <c r="AU9" s="190"/>
      <c r="AV9" s="190"/>
      <c r="AW9" s="190"/>
      <c r="AX9" s="190"/>
      <c r="AY9" s="190"/>
      <c r="AZ9" s="189"/>
      <c r="BA9" s="190"/>
      <c r="BB9" s="190"/>
      <c r="BC9" s="190"/>
      <c r="BD9" s="190"/>
      <c r="BE9" s="190"/>
      <c r="BF9" s="190"/>
      <c r="BG9" s="190"/>
      <c r="BH9" s="185"/>
      <c r="BI9" s="185"/>
      <c r="BJ9" s="185"/>
      <c r="BK9" s="185"/>
      <c r="BL9" s="185"/>
      <c r="BM9" s="187"/>
      <c r="BN9" s="187"/>
      <c r="BO9" s="191"/>
      <c r="BP9" s="186"/>
      <c r="BQ9" s="186"/>
      <c r="BR9" s="185"/>
      <c r="BS9" s="185"/>
      <c r="BT9" s="186"/>
      <c r="BU9" s="192"/>
      <c r="BV9" s="192"/>
      <c r="BW9" s="192"/>
      <c r="BX9" s="193"/>
    </row>
    <row r="10" spans="1:76" ht="20.25" customHeight="1">
      <c r="A10" s="459"/>
      <c r="B10" s="194" t="s">
        <v>143</v>
      </c>
      <c r="C10" s="195"/>
      <c r="D10" s="472"/>
      <c r="E10" s="473"/>
      <c r="F10" s="473"/>
      <c r="G10" s="473"/>
      <c r="H10" s="473"/>
      <c r="I10" s="473"/>
      <c r="J10" s="473"/>
      <c r="K10" s="473"/>
      <c r="L10" s="473"/>
      <c r="M10" s="473"/>
      <c r="N10" s="473"/>
      <c r="O10" s="473"/>
      <c r="P10" s="473"/>
      <c r="Q10" s="473"/>
      <c r="R10" s="473"/>
      <c r="S10" s="473"/>
      <c r="T10" s="473"/>
      <c r="U10" s="473"/>
      <c r="V10" s="473"/>
      <c r="W10" s="473"/>
      <c r="X10" s="473"/>
      <c r="Y10" s="473"/>
      <c r="Z10" s="473"/>
      <c r="AA10" s="473"/>
      <c r="AB10" s="473"/>
      <c r="AC10" s="473"/>
      <c r="AD10" s="473"/>
      <c r="AE10" s="473"/>
      <c r="AF10" s="473"/>
      <c r="AG10" s="473"/>
      <c r="AH10" s="473"/>
      <c r="AI10" s="473"/>
      <c r="AJ10" s="473"/>
      <c r="AK10" s="473"/>
      <c r="AL10" s="196"/>
      <c r="AM10" s="459"/>
      <c r="AN10" s="194" t="s">
        <v>143</v>
      </c>
      <c r="AO10" s="195"/>
      <c r="AP10" s="472"/>
      <c r="AQ10" s="473"/>
      <c r="AR10" s="473"/>
      <c r="AS10" s="473"/>
      <c r="AT10" s="473"/>
      <c r="AU10" s="473"/>
      <c r="AV10" s="473"/>
      <c r="AW10" s="473"/>
      <c r="AX10" s="473"/>
      <c r="AY10" s="473"/>
      <c r="AZ10" s="473"/>
      <c r="BA10" s="473"/>
      <c r="BB10" s="473"/>
      <c r="BC10" s="473"/>
      <c r="BD10" s="473"/>
      <c r="BE10" s="473"/>
      <c r="BF10" s="473"/>
      <c r="BG10" s="473"/>
      <c r="BH10" s="473"/>
      <c r="BI10" s="473"/>
      <c r="BJ10" s="473"/>
      <c r="BK10" s="473"/>
      <c r="BL10" s="473"/>
      <c r="BM10" s="473"/>
      <c r="BN10" s="473"/>
      <c r="BO10" s="473"/>
      <c r="BP10" s="473"/>
      <c r="BQ10" s="473"/>
      <c r="BR10" s="473"/>
      <c r="BS10" s="473"/>
      <c r="BT10" s="473"/>
      <c r="BU10" s="473"/>
      <c r="BV10" s="473"/>
      <c r="BW10" s="473"/>
      <c r="BX10" s="196"/>
    </row>
    <row r="11" spans="1:76" ht="20.25" customHeight="1">
      <c r="A11" s="459"/>
      <c r="B11" s="194" t="s">
        <v>275</v>
      </c>
      <c r="C11" s="198"/>
      <c r="D11" s="474" t="s">
        <v>314</v>
      </c>
      <c r="E11" s="475"/>
      <c r="F11" s="475"/>
      <c r="G11" s="475"/>
      <c r="H11" s="475"/>
      <c r="I11" s="475"/>
      <c r="J11" s="230"/>
      <c r="K11" s="230"/>
      <c r="L11" s="271"/>
      <c r="M11" s="271"/>
      <c r="N11" s="476" t="s">
        <v>316</v>
      </c>
      <c r="O11" s="477"/>
      <c r="P11" s="477"/>
      <c r="Q11" s="477"/>
      <c r="R11" s="477"/>
      <c r="S11" s="477"/>
      <c r="T11" s="477"/>
      <c r="U11" s="477"/>
      <c r="V11" s="476" t="s">
        <v>317</v>
      </c>
      <c r="W11" s="477"/>
      <c r="X11" s="477"/>
      <c r="Y11" s="477"/>
      <c r="Z11" s="477"/>
      <c r="AA11" s="477"/>
      <c r="AB11" s="477"/>
      <c r="AC11" s="478"/>
      <c r="AD11" s="477" t="s">
        <v>318</v>
      </c>
      <c r="AE11" s="477"/>
      <c r="AF11" s="477"/>
      <c r="AG11" s="477"/>
      <c r="AH11" s="477"/>
      <c r="AI11" s="477"/>
      <c r="AJ11" s="477"/>
      <c r="AK11" s="479"/>
      <c r="AL11" s="196"/>
      <c r="AM11" s="459"/>
      <c r="AN11" s="194" t="s">
        <v>275</v>
      </c>
      <c r="AO11" s="198"/>
      <c r="AP11" s="474" t="s">
        <v>314</v>
      </c>
      <c r="AQ11" s="475"/>
      <c r="AR11" s="475"/>
      <c r="AS11" s="475"/>
      <c r="AT11" s="475"/>
      <c r="AU11" s="475"/>
      <c r="AV11" s="230"/>
      <c r="AW11" s="230"/>
      <c r="AX11" s="271"/>
      <c r="AY11" s="271"/>
      <c r="AZ11" s="476" t="s">
        <v>319</v>
      </c>
      <c r="BA11" s="477"/>
      <c r="BB11" s="477"/>
      <c r="BC11" s="477"/>
      <c r="BD11" s="477"/>
      <c r="BE11" s="477"/>
      <c r="BF11" s="477"/>
      <c r="BG11" s="477"/>
      <c r="BH11" s="476"/>
      <c r="BI11" s="477"/>
      <c r="BJ11" s="477"/>
      <c r="BK11" s="477"/>
      <c r="BL11" s="477"/>
      <c r="BM11" s="477"/>
      <c r="BN11" s="477"/>
      <c r="BO11" s="478"/>
      <c r="BP11" s="477"/>
      <c r="BQ11" s="477"/>
      <c r="BR11" s="477"/>
      <c r="BS11" s="477"/>
      <c r="BT11" s="477"/>
      <c r="BU11" s="477"/>
      <c r="BV11" s="477"/>
      <c r="BW11" s="479"/>
      <c r="BX11" s="196"/>
    </row>
    <row r="12" spans="1:76" ht="20.25" customHeight="1">
      <c r="A12" s="459"/>
      <c r="B12" s="194" t="s">
        <v>192</v>
      </c>
      <c r="C12" s="198"/>
      <c r="D12" s="474" t="s">
        <v>315</v>
      </c>
      <c r="E12" s="475"/>
      <c r="F12" s="475"/>
      <c r="G12" s="475"/>
      <c r="H12" s="475"/>
      <c r="I12" s="475"/>
      <c r="J12" s="230"/>
      <c r="K12" s="231"/>
      <c r="L12" s="271"/>
      <c r="M12" s="271"/>
      <c r="N12" s="480">
        <v>1</v>
      </c>
      <c r="O12" s="455"/>
      <c r="P12" s="455"/>
      <c r="Q12" s="456"/>
      <c r="R12" s="457">
        <v>2</v>
      </c>
      <c r="S12" s="455"/>
      <c r="T12" s="455"/>
      <c r="U12" s="455"/>
      <c r="V12" s="480">
        <v>3</v>
      </c>
      <c r="W12" s="455"/>
      <c r="X12" s="455"/>
      <c r="Y12" s="456"/>
      <c r="Z12" s="457">
        <v>4</v>
      </c>
      <c r="AA12" s="455"/>
      <c r="AB12" s="455"/>
      <c r="AC12" s="481"/>
      <c r="AD12" s="455">
        <v>5</v>
      </c>
      <c r="AE12" s="455"/>
      <c r="AF12" s="455"/>
      <c r="AG12" s="456"/>
      <c r="AH12" s="457">
        <v>6</v>
      </c>
      <c r="AI12" s="455"/>
      <c r="AJ12" s="455"/>
      <c r="AK12" s="456"/>
      <c r="AL12" s="196"/>
      <c r="AM12" s="459"/>
      <c r="AN12" s="194" t="s">
        <v>192</v>
      </c>
      <c r="AO12" s="198"/>
      <c r="AP12" s="474" t="s">
        <v>315</v>
      </c>
      <c r="AQ12" s="475"/>
      <c r="AR12" s="475"/>
      <c r="AS12" s="475"/>
      <c r="AT12" s="475"/>
      <c r="AU12" s="475"/>
      <c r="AV12" s="230"/>
      <c r="AW12" s="231"/>
      <c r="AX12" s="271"/>
      <c r="AY12" s="271"/>
      <c r="AZ12" s="480">
        <v>1</v>
      </c>
      <c r="BA12" s="455"/>
      <c r="BB12" s="455"/>
      <c r="BC12" s="456"/>
      <c r="BD12" s="457">
        <v>2</v>
      </c>
      <c r="BE12" s="455"/>
      <c r="BF12" s="455"/>
      <c r="BG12" s="455"/>
      <c r="BH12" s="480"/>
      <c r="BI12" s="455"/>
      <c r="BJ12" s="455"/>
      <c r="BK12" s="456"/>
      <c r="BL12" s="457"/>
      <c r="BM12" s="455"/>
      <c r="BN12" s="455"/>
      <c r="BO12" s="481"/>
      <c r="BP12" s="455"/>
      <c r="BQ12" s="455"/>
      <c r="BR12" s="455"/>
      <c r="BS12" s="456"/>
      <c r="BT12" s="457"/>
      <c r="BU12" s="455"/>
      <c r="BV12" s="455"/>
      <c r="BW12" s="456"/>
      <c r="BX12" s="196"/>
    </row>
    <row r="13" spans="1:76" ht="20.25" customHeight="1">
      <c r="A13" s="459"/>
      <c r="B13" s="194" t="s">
        <v>276</v>
      </c>
      <c r="C13" s="198"/>
      <c r="D13" s="362" t="s">
        <v>195</v>
      </c>
      <c r="E13" s="363"/>
      <c r="F13" s="363"/>
      <c r="G13" s="363"/>
      <c r="H13" s="363"/>
      <c r="I13" s="363"/>
      <c r="J13" s="273"/>
      <c r="K13" s="364"/>
      <c r="L13" s="364"/>
      <c r="M13" s="364"/>
      <c r="N13" s="365"/>
      <c r="O13" s="365"/>
      <c r="P13" s="365"/>
      <c r="Q13" s="365"/>
      <c r="R13" s="365"/>
      <c r="S13" s="365"/>
      <c r="T13" s="365"/>
      <c r="U13" s="365"/>
      <c r="V13" s="366"/>
      <c r="W13" s="365"/>
      <c r="X13" s="365"/>
      <c r="Y13" s="365"/>
      <c r="Z13" s="365"/>
      <c r="AA13" s="365"/>
      <c r="AB13" s="365"/>
      <c r="AC13" s="367"/>
      <c r="AD13" s="365"/>
      <c r="AE13" s="365"/>
      <c r="AF13" s="365"/>
      <c r="AG13" s="365"/>
      <c r="AH13" s="365"/>
      <c r="AI13" s="365"/>
      <c r="AJ13" s="365"/>
      <c r="AK13" s="368"/>
      <c r="AL13" s="196"/>
      <c r="AM13" s="459"/>
      <c r="AN13" s="194" t="s">
        <v>276</v>
      </c>
      <c r="AO13" s="198"/>
      <c r="AP13" s="362" t="s">
        <v>195</v>
      </c>
      <c r="AQ13" s="363"/>
      <c r="AR13" s="363"/>
      <c r="AS13" s="363"/>
      <c r="AT13" s="363"/>
      <c r="AU13" s="363"/>
      <c r="AV13" s="273"/>
      <c r="AW13" s="364"/>
      <c r="AX13" s="364"/>
      <c r="AY13" s="364"/>
      <c r="AZ13" s="365"/>
      <c r="BA13" s="365"/>
      <c r="BB13" s="365"/>
      <c r="BC13" s="365"/>
      <c r="BD13" s="365"/>
      <c r="BE13" s="365"/>
      <c r="BF13" s="365"/>
      <c r="BG13" s="365"/>
      <c r="BH13" s="366"/>
      <c r="BI13" s="365"/>
      <c r="BJ13" s="365"/>
      <c r="BK13" s="365"/>
      <c r="BL13" s="365"/>
      <c r="BM13" s="365"/>
      <c r="BN13" s="365"/>
      <c r="BO13" s="367"/>
      <c r="BP13" s="365"/>
      <c r="BQ13" s="365"/>
      <c r="BR13" s="365"/>
      <c r="BS13" s="365"/>
      <c r="BT13" s="365"/>
      <c r="BU13" s="365"/>
      <c r="BV13" s="365"/>
      <c r="BW13" s="368"/>
      <c r="BX13" s="196"/>
    </row>
    <row r="14" spans="1:76" ht="20.25" customHeight="1">
      <c r="A14" s="459"/>
      <c r="B14" s="194" t="s">
        <v>277</v>
      </c>
      <c r="C14" s="198"/>
      <c r="D14" s="436" t="s">
        <v>222</v>
      </c>
      <c r="E14" s="437"/>
      <c r="F14" s="437"/>
      <c r="G14" s="437"/>
      <c r="H14" s="437"/>
      <c r="I14" s="437"/>
      <c r="J14" s="272"/>
      <c r="K14" s="346" t="s">
        <v>210</v>
      </c>
      <c r="L14" s="346"/>
      <c r="M14" s="347"/>
      <c r="N14" s="447">
        <v>19830</v>
      </c>
      <c r="O14" s="448"/>
      <c r="P14" s="448"/>
      <c r="Q14" s="448"/>
      <c r="R14" s="449">
        <v>19830</v>
      </c>
      <c r="S14" s="448"/>
      <c r="T14" s="448"/>
      <c r="U14" s="450"/>
      <c r="V14" s="447">
        <v>19830</v>
      </c>
      <c r="W14" s="448"/>
      <c r="X14" s="448"/>
      <c r="Y14" s="448"/>
      <c r="Z14" s="449">
        <v>19830</v>
      </c>
      <c r="AA14" s="448"/>
      <c r="AB14" s="448"/>
      <c r="AC14" s="450"/>
      <c r="AD14" s="447">
        <v>19830</v>
      </c>
      <c r="AE14" s="448"/>
      <c r="AF14" s="448"/>
      <c r="AG14" s="448"/>
      <c r="AH14" s="449">
        <v>19830</v>
      </c>
      <c r="AI14" s="448"/>
      <c r="AJ14" s="448"/>
      <c r="AK14" s="450"/>
      <c r="AL14" s="196"/>
      <c r="AM14" s="459"/>
      <c r="AN14" s="194" t="s">
        <v>277</v>
      </c>
      <c r="AO14" s="198"/>
      <c r="AP14" s="436" t="s">
        <v>222</v>
      </c>
      <c r="AQ14" s="437"/>
      <c r="AR14" s="437"/>
      <c r="AS14" s="437"/>
      <c r="AT14" s="437"/>
      <c r="AU14" s="437"/>
      <c r="AV14" s="272"/>
      <c r="AW14" s="346" t="s">
        <v>210</v>
      </c>
      <c r="AX14" s="346"/>
      <c r="AY14" s="347"/>
      <c r="AZ14" s="447">
        <v>19830</v>
      </c>
      <c r="BA14" s="448"/>
      <c r="BB14" s="448"/>
      <c r="BC14" s="448"/>
      <c r="BD14" s="449">
        <v>19830</v>
      </c>
      <c r="BE14" s="448"/>
      <c r="BF14" s="448"/>
      <c r="BG14" s="450"/>
      <c r="BH14" s="447"/>
      <c r="BI14" s="448"/>
      <c r="BJ14" s="448"/>
      <c r="BK14" s="448"/>
      <c r="BL14" s="449"/>
      <c r="BM14" s="448"/>
      <c r="BN14" s="448"/>
      <c r="BO14" s="450"/>
      <c r="BP14" s="448"/>
      <c r="BQ14" s="448"/>
      <c r="BR14" s="448"/>
      <c r="BS14" s="448"/>
      <c r="BT14" s="449"/>
      <c r="BU14" s="448"/>
      <c r="BV14" s="448"/>
      <c r="BW14" s="451"/>
      <c r="BX14" s="196"/>
    </row>
    <row r="15" spans="1:76" ht="20.25" customHeight="1">
      <c r="A15" s="459"/>
      <c r="B15" s="194" t="s">
        <v>278</v>
      </c>
      <c r="C15" s="198"/>
      <c r="D15" s="436" t="s">
        <v>221</v>
      </c>
      <c r="E15" s="437"/>
      <c r="F15" s="437"/>
      <c r="G15" s="437"/>
      <c r="H15" s="437"/>
      <c r="I15" s="437"/>
      <c r="J15" s="272"/>
      <c r="K15" s="269"/>
      <c r="L15" s="269"/>
      <c r="M15" s="270"/>
      <c r="N15" s="373"/>
      <c r="O15" s="374"/>
      <c r="P15" s="374"/>
      <c r="Q15" s="375"/>
      <c r="R15" s="376"/>
      <c r="S15" s="374"/>
      <c r="T15" s="374"/>
      <c r="U15" s="374"/>
      <c r="V15" s="373"/>
      <c r="W15" s="374"/>
      <c r="X15" s="374"/>
      <c r="Y15" s="375"/>
      <c r="Z15" s="452"/>
      <c r="AA15" s="453"/>
      <c r="AB15" s="453"/>
      <c r="AC15" s="454"/>
      <c r="AD15" s="374"/>
      <c r="AE15" s="374"/>
      <c r="AF15" s="374"/>
      <c r="AG15" s="375"/>
      <c r="AH15" s="376"/>
      <c r="AI15" s="374"/>
      <c r="AJ15" s="374"/>
      <c r="AK15" s="375"/>
      <c r="AL15" s="196"/>
      <c r="AM15" s="459"/>
      <c r="AN15" s="194" t="s">
        <v>278</v>
      </c>
      <c r="AO15" s="198"/>
      <c r="AP15" s="436" t="s">
        <v>221</v>
      </c>
      <c r="AQ15" s="437"/>
      <c r="AR15" s="437"/>
      <c r="AS15" s="437"/>
      <c r="AT15" s="437"/>
      <c r="AU15" s="437"/>
      <c r="AV15" s="272"/>
      <c r="AW15" s="269"/>
      <c r="AX15" s="269"/>
      <c r="AY15" s="270"/>
      <c r="AZ15" s="373"/>
      <c r="BA15" s="374"/>
      <c r="BB15" s="374"/>
      <c r="BC15" s="375"/>
      <c r="BD15" s="376"/>
      <c r="BE15" s="374"/>
      <c r="BF15" s="374"/>
      <c r="BG15" s="374"/>
      <c r="BH15" s="373"/>
      <c r="BI15" s="374"/>
      <c r="BJ15" s="374"/>
      <c r="BK15" s="375"/>
      <c r="BL15" s="452"/>
      <c r="BM15" s="453"/>
      <c r="BN15" s="453"/>
      <c r="BO15" s="454"/>
      <c r="BP15" s="374"/>
      <c r="BQ15" s="374"/>
      <c r="BR15" s="374"/>
      <c r="BS15" s="375"/>
      <c r="BT15" s="376"/>
      <c r="BU15" s="374"/>
      <c r="BV15" s="374"/>
      <c r="BW15" s="375"/>
      <c r="BX15" s="196"/>
    </row>
    <row r="16" spans="1:76" ht="20.25" customHeight="1">
      <c r="A16" s="459"/>
      <c r="B16" s="194" t="s">
        <v>279</v>
      </c>
      <c r="C16" s="198"/>
      <c r="D16" s="436" t="s">
        <v>205</v>
      </c>
      <c r="E16" s="437"/>
      <c r="F16" s="437"/>
      <c r="G16" s="437"/>
      <c r="H16" s="437"/>
      <c r="I16" s="437"/>
      <c r="J16" s="272"/>
      <c r="K16" s="438" t="s">
        <v>220</v>
      </c>
      <c r="L16" s="438"/>
      <c r="M16" s="439"/>
      <c r="N16" s="502">
        <v>44.74</v>
      </c>
      <c r="O16" s="503"/>
      <c r="P16" s="503"/>
      <c r="Q16" s="504"/>
      <c r="R16" s="443">
        <f>N18</f>
        <v>44.074331614276652</v>
      </c>
      <c r="S16" s="441"/>
      <c r="T16" s="441"/>
      <c r="U16" s="441"/>
      <c r="V16" s="502">
        <v>44.74</v>
      </c>
      <c r="W16" s="503"/>
      <c r="X16" s="503"/>
      <c r="Y16" s="504"/>
      <c r="Z16" s="444">
        <f>V18</f>
        <v>43.707489345341081</v>
      </c>
      <c r="AA16" s="445"/>
      <c r="AB16" s="445"/>
      <c r="AC16" s="446"/>
      <c r="AD16" s="502">
        <v>44.74</v>
      </c>
      <c r="AE16" s="503"/>
      <c r="AF16" s="503"/>
      <c r="AG16" s="504"/>
      <c r="AH16" s="443">
        <f>AD18</f>
        <v>44.311730544028357</v>
      </c>
      <c r="AI16" s="441"/>
      <c r="AJ16" s="441"/>
      <c r="AK16" s="442"/>
      <c r="AL16" s="196"/>
      <c r="AM16" s="459"/>
      <c r="AN16" s="194" t="s">
        <v>279</v>
      </c>
      <c r="AO16" s="198"/>
      <c r="AP16" s="436" t="s">
        <v>205</v>
      </c>
      <c r="AQ16" s="437"/>
      <c r="AR16" s="437"/>
      <c r="AS16" s="437"/>
      <c r="AT16" s="437"/>
      <c r="AU16" s="437"/>
      <c r="AV16" s="272"/>
      <c r="AW16" s="438" t="s">
        <v>220</v>
      </c>
      <c r="AX16" s="438"/>
      <c r="AY16" s="439"/>
      <c r="AZ16" s="502">
        <v>44.74</v>
      </c>
      <c r="BA16" s="503"/>
      <c r="BB16" s="503"/>
      <c r="BC16" s="504"/>
      <c r="BD16" s="443">
        <f>AZ18</f>
        <v>44.087731513699779</v>
      </c>
      <c r="BE16" s="441"/>
      <c r="BF16" s="441"/>
      <c r="BG16" s="441"/>
      <c r="BH16" s="440"/>
      <c r="BI16" s="441"/>
      <c r="BJ16" s="441"/>
      <c r="BK16" s="442"/>
      <c r="BL16" s="444"/>
      <c r="BM16" s="445"/>
      <c r="BN16" s="445"/>
      <c r="BO16" s="446"/>
      <c r="BP16" s="441"/>
      <c r="BQ16" s="441"/>
      <c r="BR16" s="441"/>
      <c r="BS16" s="442"/>
      <c r="BT16" s="443"/>
      <c r="BU16" s="441"/>
      <c r="BV16" s="441"/>
      <c r="BW16" s="442"/>
      <c r="BX16" s="196"/>
    </row>
    <row r="17" spans="1:76" ht="20.25" customHeight="1">
      <c r="A17" s="459"/>
      <c r="B17" s="194" t="s">
        <v>280</v>
      </c>
      <c r="C17" s="198"/>
      <c r="D17" s="248" t="s">
        <v>312</v>
      </c>
      <c r="E17" s="249"/>
      <c r="F17" s="249"/>
      <c r="G17" s="249"/>
      <c r="H17" s="249"/>
      <c r="I17" s="249"/>
      <c r="J17" s="264"/>
      <c r="K17" s="258"/>
      <c r="L17" s="258"/>
      <c r="M17" s="265" t="s">
        <v>220</v>
      </c>
      <c r="N17" s="369">
        <f>IF(N27="BARE",IF(N16="","",(Ts(N16*1.8+32,N19*1.8+32,N24/1.488164,N14/0.4536,N25,N23,N41,N42,N31,N30,N20*3600/1600)-32)/1.8),"")</f>
        <v>44.124268425835503</v>
      </c>
      <c r="O17" s="361"/>
      <c r="P17" s="361"/>
      <c r="Q17" s="361"/>
      <c r="R17" s="356">
        <f>IF(R27="BARE",IF(R16="","",(Ts(R16*1.8+32,R19*1.8+32,R24/1.488164,R14/0.4536,R25,R23,R41,R42,R31,R30,R20*3600/1600)-32)/1.8),"")</f>
        <v>43.220189412434898</v>
      </c>
      <c r="S17" s="356"/>
      <c r="T17" s="356"/>
      <c r="U17" s="357"/>
      <c r="V17" s="358">
        <f>IF(V27="BARE",IF(V16="","",(Ts(V16*1.8+32,V19*1.8+32,V24/1.488164,V14/0.4536,V25,V23,V41,V42,V31,V30,V20*3600/1600)-32)/1.8),"")</f>
        <v>43.763351440429688</v>
      </c>
      <c r="W17" s="356"/>
      <c r="X17" s="356"/>
      <c r="Y17" s="356"/>
      <c r="Z17" s="356">
        <f>IF(Z27="BARE",IF(Z16="","",(Ts(Z16*1.8+32,Z19*1.8+32,Z24/1.488164,Z14/0.4536,Z25,Z23,Z41,Z42,Z31,Z30,Z20*3600/1600)-32)/1.8),"")</f>
        <v>42.413219875759545</v>
      </c>
      <c r="AA17" s="356"/>
      <c r="AB17" s="356"/>
      <c r="AC17" s="359"/>
      <c r="AD17" s="360">
        <f>IF(AD27="BARE",IF(AD16="","",(Ts(AD16*1.8+32,AD19*1.8+32,AD24/1.488164,AD14/0.4536,AD25,AD23,AD41,AD42,AD31,AD30,AD20*3600/1600)-32)/1.8),"")</f>
        <v>44.344092475043404</v>
      </c>
      <c r="AE17" s="356"/>
      <c r="AF17" s="356"/>
      <c r="AG17" s="356"/>
      <c r="AH17" s="361">
        <f>IF(AH27="BARE",IF(AH16="","",(Ts(AH16*1.8+32,AH19*1.8+32,AH24/1.488164,AH14/0.4536,AH25,AH23,AH41,AH42,AH31,AH30,AH20*3600/1600)-32)/1.8),"")</f>
        <v>43.759617275661888</v>
      </c>
      <c r="AI17" s="361"/>
      <c r="AJ17" s="361"/>
      <c r="AK17" s="361"/>
      <c r="AL17" s="196"/>
      <c r="AM17" s="459"/>
      <c r="AN17" s="194" t="s">
        <v>280</v>
      </c>
      <c r="AO17" s="198"/>
      <c r="AP17" s="248" t="s">
        <v>312</v>
      </c>
      <c r="AQ17" s="249"/>
      <c r="AR17" s="249"/>
      <c r="AS17" s="249"/>
      <c r="AT17" s="249"/>
      <c r="AU17" s="249"/>
      <c r="AV17" s="264"/>
      <c r="AW17" s="258"/>
      <c r="AX17" s="258"/>
      <c r="AY17" s="265" t="s">
        <v>220</v>
      </c>
      <c r="AZ17" s="369">
        <f>IF(AZ27="BARE",IF(AZ16="","",(Ts(AZ16*1.8+32,AZ19*1.8+32,AZ24/1.488164,AZ14/0.4536,AZ25,AZ23,AZ41,AZ42,AZ31,AZ30,AZ20*3600/1600)-32)/1.8),"")</f>
        <v>44.120983547634545</v>
      </c>
      <c r="BA17" s="361"/>
      <c r="BB17" s="361"/>
      <c r="BC17" s="361"/>
      <c r="BD17" s="356">
        <f>IF(BD27="BARE",IF(BD16="","",(Ts(BD16*1.8+32,BD19*1.8+32,BD24/1.488164,BD14/0.4536,BD25,BD23,BD41,BD42,BD31,BD30,BD20*3600/1600)-32)/1.8),"")</f>
        <v>43.262231614854599</v>
      </c>
      <c r="BE17" s="356"/>
      <c r="BF17" s="356"/>
      <c r="BG17" s="357"/>
      <c r="BH17" s="358" t="str">
        <f>IF(BH27="BARE",IF(BH16="","",(Ts(BH16*1.8+32,BH19*1.8+32,BH24/1.488164,BH14/0.4536,BH25,BH23,BH41,BH42,BH31,BH30,BH20*3600/1600)-32)/1.8),"")</f>
        <v/>
      </c>
      <c r="BI17" s="356"/>
      <c r="BJ17" s="356"/>
      <c r="BK17" s="356"/>
      <c r="BL17" s="356" t="str">
        <f>IF(BL27="BARE",IF(BL16="","",(Ts(BL16*1.8+32,BL19*1.8+32,BL24/1.488164,BL14/0.4536,BL25,BL23,BL41,BL42,BL31,BL30,BL20*3600/1600)-32)/1.8),"")</f>
        <v/>
      </c>
      <c r="BM17" s="356"/>
      <c r="BN17" s="356"/>
      <c r="BO17" s="359"/>
      <c r="BP17" s="360" t="str">
        <f>IF(BP27="BARE",IF(BP16="","",(Ts(BP16*1.8+32,BP19*1.8+32,BP24/1.488164,BP14/0.4536,BP25,BP23,BP41,BP42,BP31,BP30,BP20*3600/1600)-32)/1.8),"")</f>
        <v/>
      </c>
      <c r="BQ17" s="356"/>
      <c r="BR17" s="356"/>
      <c r="BS17" s="356"/>
      <c r="BT17" s="361" t="str">
        <f>IF(BT27="BARE",IF(BT16="","",(Ts(BT16*1.8+32,BT19*1.8+32,BT24/1.488164,BT14/0.4536,BT25,BT23,BT41,BT42,BT31,BT30,BT20*3600/1600)-32)/1.8),"")</f>
        <v/>
      </c>
      <c r="BU17" s="361"/>
      <c r="BV17" s="361"/>
      <c r="BW17" s="361"/>
      <c r="BX17" s="196"/>
    </row>
    <row r="18" spans="1:76" ht="20.25" customHeight="1">
      <c r="A18" s="459"/>
      <c r="B18" s="194" t="s">
        <v>281</v>
      </c>
      <c r="C18" s="198"/>
      <c r="D18" s="344" t="s">
        <v>204</v>
      </c>
      <c r="E18" s="345"/>
      <c r="F18" s="345"/>
      <c r="G18" s="345"/>
      <c r="H18" s="345"/>
      <c r="I18" s="345"/>
      <c r="J18" s="264"/>
      <c r="K18" s="346" t="s">
        <v>220</v>
      </c>
      <c r="L18" s="346"/>
      <c r="M18" s="347"/>
      <c r="N18" s="369">
        <f>IF(N14=0,"",(N16-N59/N25/N14))</f>
        <v>44.074331614276652</v>
      </c>
      <c r="O18" s="361"/>
      <c r="P18" s="361"/>
      <c r="Q18" s="361"/>
      <c r="R18" s="356">
        <f t="shared" ref="R18" si="0">IF(R14=0,"",(R16-R59/R25/R14))</f>
        <v>43.960788217959497</v>
      </c>
      <c r="S18" s="356"/>
      <c r="T18" s="356"/>
      <c r="U18" s="357"/>
      <c r="V18" s="358">
        <f>IF(V14=0,"",(V16-V59/V25/V14))</f>
        <v>43.707489345341081</v>
      </c>
      <c r="W18" s="356"/>
      <c r="X18" s="356"/>
      <c r="Y18" s="356"/>
      <c r="Z18" s="356">
        <f t="shared" ref="Z18" si="1">IF(Z14=0,"",(Z16-Z59/Z25/Z14))</f>
        <v>43.595454677816434</v>
      </c>
      <c r="AA18" s="356"/>
      <c r="AB18" s="356"/>
      <c r="AC18" s="359"/>
      <c r="AD18" s="360">
        <f t="shared" ref="AD18" si="2">IF(AD14=0,"",(AD16-AD59/AD25/AD14))</f>
        <v>44.311730544028357</v>
      </c>
      <c r="AE18" s="356"/>
      <c r="AF18" s="356"/>
      <c r="AG18" s="356"/>
      <c r="AH18" s="361">
        <f t="shared" ref="AH18" si="3">IF(AH14=0,"",(AH16-AH59/AH25/AH14))</f>
        <v>44.234735747390779</v>
      </c>
      <c r="AI18" s="361"/>
      <c r="AJ18" s="361"/>
      <c r="AK18" s="360"/>
      <c r="AL18" s="196"/>
      <c r="AM18" s="459"/>
      <c r="AN18" s="194" t="s">
        <v>281</v>
      </c>
      <c r="AO18" s="198"/>
      <c r="AP18" s="344" t="s">
        <v>204</v>
      </c>
      <c r="AQ18" s="345"/>
      <c r="AR18" s="345"/>
      <c r="AS18" s="345"/>
      <c r="AT18" s="345"/>
      <c r="AU18" s="345"/>
      <c r="AV18" s="264"/>
      <c r="AW18" s="346" t="s">
        <v>220</v>
      </c>
      <c r="AX18" s="346"/>
      <c r="AY18" s="347"/>
      <c r="AZ18" s="369">
        <f>IF(AZ14=0,"",(AZ16-AZ59/AZ25/AZ14))</f>
        <v>44.087731513699779</v>
      </c>
      <c r="BA18" s="361"/>
      <c r="BB18" s="361"/>
      <c r="BC18" s="361"/>
      <c r="BD18" s="356">
        <f t="shared" ref="BD18" si="4">IF(BD14=0,"",(BD16-BD59/BD25/BD14))</f>
        <v>44.011408319307343</v>
      </c>
      <c r="BE18" s="356"/>
      <c r="BF18" s="356"/>
      <c r="BG18" s="357"/>
      <c r="BH18" s="358" t="str">
        <f>IF(BH14=0,"",(BH16-BH59/BH25/BH14))</f>
        <v/>
      </c>
      <c r="BI18" s="356"/>
      <c r="BJ18" s="356"/>
      <c r="BK18" s="356"/>
      <c r="BL18" s="356" t="str">
        <f t="shared" ref="BL18" si="5">IF(BL14=0,"",(BL16-BL59/BL25/BL14))</f>
        <v/>
      </c>
      <c r="BM18" s="356"/>
      <c r="BN18" s="356"/>
      <c r="BO18" s="359"/>
      <c r="BP18" s="360" t="str">
        <f t="shared" ref="BP18" si="6">IF(BP14=0,"",(BP16-BP59/BP25/BP14))</f>
        <v/>
      </c>
      <c r="BQ18" s="356"/>
      <c r="BR18" s="356"/>
      <c r="BS18" s="356"/>
      <c r="BT18" s="361" t="str">
        <f t="shared" ref="BT18" si="7">IF(BT14=0,"",(BT16-BT59/BT25/BT14))</f>
        <v/>
      </c>
      <c r="BU18" s="361"/>
      <c r="BV18" s="361"/>
      <c r="BW18" s="360"/>
      <c r="BX18" s="196"/>
    </row>
    <row r="19" spans="1:76" ht="20.25" customHeight="1">
      <c r="A19" s="459"/>
      <c r="B19" s="194" t="s">
        <v>144</v>
      </c>
      <c r="C19" s="198"/>
      <c r="D19" s="344" t="s">
        <v>196</v>
      </c>
      <c r="E19" s="345"/>
      <c r="F19" s="345"/>
      <c r="G19" s="345"/>
      <c r="H19" s="345"/>
      <c r="I19" s="345"/>
      <c r="J19" s="264"/>
      <c r="K19" s="346" t="s">
        <v>220</v>
      </c>
      <c r="L19" s="346"/>
      <c r="M19" s="347"/>
      <c r="N19" s="373">
        <v>23</v>
      </c>
      <c r="O19" s="374"/>
      <c r="P19" s="374"/>
      <c r="Q19" s="374"/>
      <c r="R19" s="376">
        <v>23</v>
      </c>
      <c r="S19" s="374"/>
      <c r="T19" s="374"/>
      <c r="U19" s="374"/>
      <c r="V19" s="373">
        <v>23</v>
      </c>
      <c r="W19" s="374"/>
      <c r="X19" s="374"/>
      <c r="Y19" s="375"/>
      <c r="Z19" s="376">
        <v>23</v>
      </c>
      <c r="AA19" s="374"/>
      <c r="AB19" s="374"/>
      <c r="AC19" s="377"/>
      <c r="AD19" s="373">
        <v>30</v>
      </c>
      <c r="AE19" s="374"/>
      <c r="AF19" s="374"/>
      <c r="AG19" s="375"/>
      <c r="AH19" s="376">
        <v>30</v>
      </c>
      <c r="AI19" s="374"/>
      <c r="AJ19" s="374"/>
      <c r="AK19" s="377"/>
      <c r="AL19" s="196"/>
      <c r="AM19" s="459"/>
      <c r="AN19" s="194" t="s">
        <v>144</v>
      </c>
      <c r="AO19" s="198"/>
      <c r="AP19" s="344" t="s">
        <v>196</v>
      </c>
      <c r="AQ19" s="345"/>
      <c r="AR19" s="345"/>
      <c r="AS19" s="345"/>
      <c r="AT19" s="345"/>
      <c r="AU19" s="345"/>
      <c r="AV19" s="264"/>
      <c r="AW19" s="346" t="s">
        <v>220</v>
      </c>
      <c r="AX19" s="346"/>
      <c r="AY19" s="347"/>
      <c r="AZ19" s="373">
        <v>30</v>
      </c>
      <c r="BA19" s="374"/>
      <c r="BB19" s="374"/>
      <c r="BC19" s="374"/>
      <c r="BD19" s="376">
        <v>30</v>
      </c>
      <c r="BE19" s="374"/>
      <c r="BF19" s="374"/>
      <c r="BG19" s="374"/>
      <c r="BH19" s="373"/>
      <c r="BI19" s="374"/>
      <c r="BJ19" s="374"/>
      <c r="BK19" s="375"/>
      <c r="BL19" s="376"/>
      <c r="BM19" s="374"/>
      <c r="BN19" s="374"/>
      <c r="BO19" s="377"/>
      <c r="BP19" s="373"/>
      <c r="BQ19" s="374"/>
      <c r="BR19" s="374"/>
      <c r="BS19" s="375"/>
      <c r="BT19" s="376"/>
      <c r="BU19" s="374"/>
      <c r="BV19" s="374"/>
      <c r="BW19" s="377"/>
      <c r="BX19" s="196"/>
    </row>
    <row r="20" spans="1:76" ht="20.25" customHeight="1">
      <c r="A20" s="459"/>
      <c r="B20" s="194" t="s">
        <v>145</v>
      </c>
      <c r="C20" s="198"/>
      <c r="D20" s="344" t="s">
        <v>197</v>
      </c>
      <c r="E20" s="345"/>
      <c r="F20" s="345"/>
      <c r="G20" s="345"/>
      <c r="H20" s="345"/>
      <c r="I20" s="345"/>
      <c r="J20" s="264"/>
      <c r="K20" s="346" t="s">
        <v>212</v>
      </c>
      <c r="L20" s="346"/>
      <c r="M20" s="347"/>
      <c r="N20" s="373">
        <v>1</v>
      </c>
      <c r="O20" s="374"/>
      <c r="P20" s="374"/>
      <c r="Q20" s="374"/>
      <c r="R20" s="376">
        <v>1</v>
      </c>
      <c r="S20" s="374"/>
      <c r="T20" s="374"/>
      <c r="U20" s="374"/>
      <c r="V20" s="373">
        <v>5</v>
      </c>
      <c r="W20" s="374"/>
      <c r="X20" s="374"/>
      <c r="Y20" s="375"/>
      <c r="Z20" s="376">
        <v>5</v>
      </c>
      <c r="AA20" s="374"/>
      <c r="AB20" s="374"/>
      <c r="AC20" s="377"/>
      <c r="AD20" s="373">
        <v>1</v>
      </c>
      <c r="AE20" s="374"/>
      <c r="AF20" s="374"/>
      <c r="AG20" s="375"/>
      <c r="AH20" s="376">
        <v>1</v>
      </c>
      <c r="AI20" s="374"/>
      <c r="AJ20" s="374"/>
      <c r="AK20" s="377"/>
      <c r="AL20" s="196"/>
      <c r="AM20" s="459"/>
      <c r="AN20" s="194" t="s">
        <v>145</v>
      </c>
      <c r="AO20" s="198"/>
      <c r="AP20" s="344" t="s">
        <v>197</v>
      </c>
      <c r="AQ20" s="345"/>
      <c r="AR20" s="345"/>
      <c r="AS20" s="345"/>
      <c r="AT20" s="345"/>
      <c r="AU20" s="345"/>
      <c r="AV20" s="264"/>
      <c r="AW20" s="346" t="s">
        <v>212</v>
      </c>
      <c r="AX20" s="346"/>
      <c r="AY20" s="347"/>
      <c r="AZ20" s="373">
        <v>5</v>
      </c>
      <c r="BA20" s="374"/>
      <c r="BB20" s="374"/>
      <c r="BC20" s="374"/>
      <c r="BD20" s="376">
        <v>5</v>
      </c>
      <c r="BE20" s="374"/>
      <c r="BF20" s="374"/>
      <c r="BG20" s="374"/>
      <c r="BH20" s="373"/>
      <c r="BI20" s="374"/>
      <c r="BJ20" s="374"/>
      <c r="BK20" s="375"/>
      <c r="BL20" s="376"/>
      <c r="BM20" s="374"/>
      <c r="BN20" s="374"/>
      <c r="BO20" s="377"/>
      <c r="BP20" s="373"/>
      <c r="BQ20" s="374"/>
      <c r="BR20" s="374"/>
      <c r="BS20" s="375"/>
      <c r="BT20" s="376"/>
      <c r="BU20" s="374"/>
      <c r="BV20" s="374"/>
      <c r="BW20" s="377"/>
      <c r="BX20" s="196"/>
    </row>
    <row r="21" spans="1:76" ht="20.25" customHeight="1">
      <c r="A21" s="459"/>
      <c r="B21" s="194" t="s">
        <v>146</v>
      </c>
      <c r="C21" s="198"/>
      <c r="D21" s="344" t="s">
        <v>198</v>
      </c>
      <c r="E21" s="345"/>
      <c r="F21" s="345"/>
      <c r="G21" s="345"/>
      <c r="H21" s="345"/>
      <c r="I21" s="345"/>
      <c r="J21" s="264"/>
      <c r="K21" s="346"/>
      <c r="L21" s="346"/>
      <c r="M21" s="347"/>
      <c r="N21" s="373" t="s">
        <v>209</v>
      </c>
      <c r="O21" s="374"/>
      <c r="P21" s="374"/>
      <c r="Q21" s="374"/>
      <c r="R21" s="434" t="s">
        <v>209</v>
      </c>
      <c r="S21" s="435"/>
      <c r="T21" s="435"/>
      <c r="U21" s="435"/>
      <c r="V21" s="373" t="s">
        <v>209</v>
      </c>
      <c r="W21" s="374"/>
      <c r="X21" s="374"/>
      <c r="Y21" s="374"/>
      <c r="Z21" s="434" t="s">
        <v>209</v>
      </c>
      <c r="AA21" s="435"/>
      <c r="AB21" s="435"/>
      <c r="AC21" s="435"/>
      <c r="AD21" s="373" t="s">
        <v>209</v>
      </c>
      <c r="AE21" s="374"/>
      <c r="AF21" s="374"/>
      <c r="AG21" s="374"/>
      <c r="AH21" s="434" t="s">
        <v>209</v>
      </c>
      <c r="AI21" s="435"/>
      <c r="AJ21" s="435"/>
      <c r="AK21" s="435"/>
      <c r="AL21" s="196"/>
      <c r="AM21" s="459"/>
      <c r="AN21" s="194" t="s">
        <v>146</v>
      </c>
      <c r="AO21" s="198"/>
      <c r="AP21" s="344" t="s">
        <v>198</v>
      </c>
      <c r="AQ21" s="345"/>
      <c r="AR21" s="345"/>
      <c r="AS21" s="345"/>
      <c r="AT21" s="345"/>
      <c r="AU21" s="345"/>
      <c r="AV21" s="264"/>
      <c r="AW21" s="346"/>
      <c r="AX21" s="346"/>
      <c r="AY21" s="347"/>
      <c r="AZ21" s="373" t="s">
        <v>209</v>
      </c>
      <c r="BA21" s="374"/>
      <c r="BB21" s="374"/>
      <c r="BC21" s="374"/>
      <c r="BD21" s="434" t="s">
        <v>209</v>
      </c>
      <c r="BE21" s="435"/>
      <c r="BF21" s="435"/>
      <c r="BG21" s="435"/>
      <c r="BH21" s="373"/>
      <c r="BI21" s="374"/>
      <c r="BJ21" s="374"/>
      <c r="BK21" s="374"/>
      <c r="BL21" s="434"/>
      <c r="BM21" s="435"/>
      <c r="BN21" s="435"/>
      <c r="BO21" s="435"/>
      <c r="BP21" s="373"/>
      <c r="BQ21" s="374"/>
      <c r="BR21" s="374"/>
      <c r="BS21" s="374"/>
      <c r="BT21" s="434"/>
      <c r="BU21" s="435"/>
      <c r="BV21" s="435"/>
      <c r="BW21" s="435"/>
      <c r="BX21" s="196"/>
    </row>
    <row r="22" spans="1:76" ht="20.25" customHeight="1">
      <c r="A22" s="459"/>
      <c r="B22" s="194" t="s">
        <v>147</v>
      </c>
      <c r="C22" s="198"/>
      <c r="D22" s="220" t="s">
        <v>183</v>
      </c>
      <c r="E22" s="221"/>
      <c r="F22" s="221"/>
      <c r="G22" s="221"/>
      <c r="H22" s="221"/>
      <c r="I22" s="221"/>
      <c r="J22" s="221"/>
      <c r="K22" s="222"/>
      <c r="L22" s="222"/>
      <c r="M22" s="222"/>
      <c r="N22" s="223"/>
      <c r="O22" s="223"/>
      <c r="P22" s="223"/>
      <c r="Q22" s="223"/>
      <c r="R22" s="223"/>
      <c r="S22" s="223"/>
      <c r="T22" s="223"/>
      <c r="U22" s="223"/>
      <c r="V22" s="279"/>
      <c r="W22" s="223"/>
      <c r="X22" s="223"/>
      <c r="Y22" s="223"/>
      <c r="Z22" s="223"/>
      <c r="AA22" s="223"/>
      <c r="AB22" s="223"/>
      <c r="AC22" s="223"/>
      <c r="AD22" s="279"/>
      <c r="AE22" s="223"/>
      <c r="AF22" s="223"/>
      <c r="AG22" s="223"/>
      <c r="AH22" s="223"/>
      <c r="AI22" s="223"/>
      <c r="AJ22" s="223"/>
      <c r="AK22" s="224"/>
      <c r="AL22" s="196"/>
      <c r="AM22" s="459"/>
      <c r="AN22" s="194" t="s">
        <v>147</v>
      </c>
      <c r="AO22" s="198"/>
      <c r="AP22" s="220" t="s">
        <v>183</v>
      </c>
      <c r="AQ22" s="221"/>
      <c r="AR22" s="221"/>
      <c r="AS22" s="221"/>
      <c r="AT22" s="221"/>
      <c r="AU22" s="221"/>
      <c r="AV22" s="221"/>
      <c r="AW22" s="222"/>
      <c r="AX22" s="222"/>
      <c r="AY22" s="222"/>
      <c r="AZ22" s="223"/>
      <c r="BA22" s="223"/>
      <c r="BB22" s="223"/>
      <c r="BC22" s="223"/>
      <c r="BD22" s="223"/>
      <c r="BE22" s="223"/>
      <c r="BF22" s="223"/>
      <c r="BG22" s="223"/>
      <c r="BH22" s="279"/>
      <c r="BI22" s="223"/>
      <c r="BJ22" s="223"/>
      <c r="BK22" s="223"/>
      <c r="BL22" s="223"/>
      <c r="BM22" s="223"/>
      <c r="BN22" s="223"/>
      <c r="BO22" s="223"/>
      <c r="BP22" s="279"/>
      <c r="BQ22" s="223"/>
      <c r="BR22" s="223"/>
      <c r="BS22" s="223"/>
      <c r="BT22" s="223"/>
      <c r="BU22" s="223"/>
      <c r="BV22" s="223"/>
      <c r="BW22" s="224"/>
      <c r="BX22" s="196"/>
    </row>
    <row r="23" spans="1:76" ht="20.25" customHeight="1">
      <c r="A23" s="459"/>
      <c r="B23" s="194" t="s">
        <v>148</v>
      </c>
      <c r="C23" s="198"/>
      <c r="D23" s="344" t="s">
        <v>184</v>
      </c>
      <c r="E23" s="345"/>
      <c r="F23" s="345"/>
      <c r="G23" s="345"/>
      <c r="H23" s="345"/>
      <c r="I23" s="345"/>
      <c r="J23" s="264"/>
      <c r="K23" s="346" t="s">
        <v>211</v>
      </c>
      <c r="L23" s="346"/>
      <c r="M23" s="347"/>
      <c r="N23" s="429">
        <v>8.8699999999999994E-3</v>
      </c>
      <c r="O23" s="430"/>
      <c r="P23" s="430"/>
      <c r="Q23" s="430"/>
      <c r="R23" s="431">
        <v>8.8699999999999994E-3</v>
      </c>
      <c r="S23" s="432"/>
      <c r="T23" s="432"/>
      <c r="U23" s="432"/>
      <c r="V23" s="429">
        <v>8.8699999999999994E-3</v>
      </c>
      <c r="W23" s="430"/>
      <c r="X23" s="430"/>
      <c r="Y23" s="430"/>
      <c r="Z23" s="431">
        <v>8.8699999999999994E-3</v>
      </c>
      <c r="AA23" s="432"/>
      <c r="AB23" s="432"/>
      <c r="AC23" s="432"/>
      <c r="AD23" s="429">
        <v>8.8699999999999994E-3</v>
      </c>
      <c r="AE23" s="430"/>
      <c r="AF23" s="430"/>
      <c r="AG23" s="430"/>
      <c r="AH23" s="431">
        <v>8.8699999999999994E-3</v>
      </c>
      <c r="AI23" s="432"/>
      <c r="AJ23" s="432"/>
      <c r="AK23" s="432"/>
      <c r="AL23" s="196"/>
      <c r="AM23" s="459"/>
      <c r="AN23" s="194" t="s">
        <v>148</v>
      </c>
      <c r="AO23" s="198"/>
      <c r="AP23" s="344" t="s">
        <v>184</v>
      </c>
      <c r="AQ23" s="345"/>
      <c r="AR23" s="345"/>
      <c r="AS23" s="345"/>
      <c r="AT23" s="345"/>
      <c r="AU23" s="345"/>
      <c r="AV23" s="264"/>
      <c r="AW23" s="346" t="s">
        <v>211</v>
      </c>
      <c r="AX23" s="346"/>
      <c r="AY23" s="347"/>
      <c r="AZ23" s="429">
        <v>8.8699999999999994E-3</v>
      </c>
      <c r="BA23" s="430"/>
      <c r="BB23" s="430"/>
      <c r="BC23" s="430"/>
      <c r="BD23" s="431">
        <v>8.8699999999999994E-3</v>
      </c>
      <c r="BE23" s="432"/>
      <c r="BF23" s="432"/>
      <c r="BG23" s="432"/>
      <c r="BH23" s="429"/>
      <c r="BI23" s="430"/>
      <c r="BJ23" s="430"/>
      <c r="BK23" s="430"/>
      <c r="BL23" s="431"/>
      <c r="BM23" s="432"/>
      <c r="BN23" s="432"/>
      <c r="BO23" s="432"/>
      <c r="BP23" s="429"/>
      <c r="BQ23" s="430"/>
      <c r="BR23" s="430"/>
      <c r="BS23" s="430"/>
      <c r="BT23" s="431"/>
      <c r="BU23" s="432"/>
      <c r="BV23" s="432"/>
      <c r="BW23" s="432"/>
      <c r="BX23" s="196"/>
    </row>
    <row r="24" spans="1:76" ht="20.25" customHeight="1">
      <c r="A24" s="459"/>
      <c r="B24" s="194" t="s">
        <v>149</v>
      </c>
      <c r="C24" s="198"/>
      <c r="D24" s="344" t="s">
        <v>185</v>
      </c>
      <c r="E24" s="345"/>
      <c r="F24" s="345"/>
      <c r="G24" s="345"/>
      <c r="H24" s="345"/>
      <c r="I24" s="345"/>
      <c r="J24" s="264"/>
      <c r="K24" s="346" t="s">
        <v>215</v>
      </c>
      <c r="L24" s="346"/>
      <c r="M24" s="347"/>
      <c r="N24" s="429">
        <v>1.7850000000000001E-2</v>
      </c>
      <c r="O24" s="430"/>
      <c r="P24" s="430"/>
      <c r="Q24" s="430"/>
      <c r="R24" s="433">
        <v>1.7850000000000001E-2</v>
      </c>
      <c r="S24" s="430"/>
      <c r="T24" s="430"/>
      <c r="U24" s="430"/>
      <c r="V24" s="429">
        <v>1.7850000000000001E-2</v>
      </c>
      <c r="W24" s="430"/>
      <c r="X24" s="430"/>
      <c r="Y24" s="430"/>
      <c r="Z24" s="433">
        <v>1.7850000000000001E-2</v>
      </c>
      <c r="AA24" s="430"/>
      <c r="AB24" s="430"/>
      <c r="AC24" s="430"/>
      <c r="AD24" s="429">
        <v>1.7850000000000001E-2</v>
      </c>
      <c r="AE24" s="430"/>
      <c r="AF24" s="430"/>
      <c r="AG24" s="430"/>
      <c r="AH24" s="433">
        <v>1.7850000000000001E-2</v>
      </c>
      <c r="AI24" s="430"/>
      <c r="AJ24" s="430"/>
      <c r="AK24" s="430"/>
      <c r="AL24" s="196"/>
      <c r="AM24" s="459"/>
      <c r="AN24" s="194" t="s">
        <v>149</v>
      </c>
      <c r="AO24" s="198"/>
      <c r="AP24" s="344" t="s">
        <v>185</v>
      </c>
      <c r="AQ24" s="345"/>
      <c r="AR24" s="345"/>
      <c r="AS24" s="345"/>
      <c r="AT24" s="345"/>
      <c r="AU24" s="345"/>
      <c r="AV24" s="264"/>
      <c r="AW24" s="346" t="s">
        <v>215</v>
      </c>
      <c r="AX24" s="346"/>
      <c r="AY24" s="347"/>
      <c r="AZ24" s="429">
        <v>1.7850000000000001E-2</v>
      </c>
      <c r="BA24" s="430"/>
      <c r="BB24" s="430"/>
      <c r="BC24" s="430"/>
      <c r="BD24" s="433">
        <v>1.7850000000000001E-2</v>
      </c>
      <c r="BE24" s="430"/>
      <c r="BF24" s="430"/>
      <c r="BG24" s="430"/>
      <c r="BH24" s="429"/>
      <c r="BI24" s="430"/>
      <c r="BJ24" s="430"/>
      <c r="BK24" s="430"/>
      <c r="BL24" s="433"/>
      <c r="BM24" s="430"/>
      <c r="BN24" s="430"/>
      <c r="BO24" s="430"/>
      <c r="BP24" s="429"/>
      <c r="BQ24" s="430"/>
      <c r="BR24" s="430"/>
      <c r="BS24" s="430"/>
      <c r="BT24" s="433"/>
      <c r="BU24" s="430"/>
      <c r="BV24" s="430"/>
      <c r="BW24" s="430"/>
      <c r="BX24" s="196"/>
    </row>
    <row r="25" spans="1:76" ht="20.25" customHeight="1">
      <c r="A25" s="459"/>
      <c r="B25" s="194" t="s">
        <v>150</v>
      </c>
      <c r="C25" s="198"/>
      <c r="D25" s="421" t="s">
        <v>186</v>
      </c>
      <c r="E25" s="422"/>
      <c r="F25" s="422"/>
      <c r="G25" s="422"/>
      <c r="H25" s="422"/>
      <c r="I25" s="422"/>
      <c r="J25" s="268"/>
      <c r="K25" s="423" t="s">
        <v>219</v>
      </c>
      <c r="L25" s="423"/>
      <c r="M25" s="424"/>
      <c r="N25" s="425">
        <v>0.53100000000000003</v>
      </c>
      <c r="O25" s="426"/>
      <c r="P25" s="426"/>
      <c r="Q25" s="426"/>
      <c r="R25" s="427">
        <v>0.53100000000000003</v>
      </c>
      <c r="S25" s="428"/>
      <c r="T25" s="428"/>
      <c r="U25" s="428"/>
      <c r="V25" s="425">
        <v>0.53100000000000003</v>
      </c>
      <c r="W25" s="426"/>
      <c r="X25" s="426"/>
      <c r="Y25" s="426"/>
      <c r="Z25" s="427">
        <v>0.53100000000000003</v>
      </c>
      <c r="AA25" s="428"/>
      <c r="AB25" s="428"/>
      <c r="AC25" s="428"/>
      <c r="AD25" s="425">
        <v>0.53100000000000003</v>
      </c>
      <c r="AE25" s="426"/>
      <c r="AF25" s="426"/>
      <c r="AG25" s="426"/>
      <c r="AH25" s="427">
        <v>0.53100000000000003</v>
      </c>
      <c r="AI25" s="428"/>
      <c r="AJ25" s="428"/>
      <c r="AK25" s="428"/>
      <c r="AL25" s="196"/>
      <c r="AM25" s="459"/>
      <c r="AN25" s="194" t="s">
        <v>150</v>
      </c>
      <c r="AO25" s="198"/>
      <c r="AP25" s="421" t="s">
        <v>186</v>
      </c>
      <c r="AQ25" s="422"/>
      <c r="AR25" s="422"/>
      <c r="AS25" s="422"/>
      <c r="AT25" s="422"/>
      <c r="AU25" s="422"/>
      <c r="AV25" s="268"/>
      <c r="AW25" s="423" t="s">
        <v>219</v>
      </c>
      <c r="AX25" s="423"/>
      <c r="AY25" s="424"/>
      <c r="AZ25" s="425">
        <v>0.53100000000000003</v>
      </c>
      <c r="BA25" s="426"/>
      <c r="BB25" s="426"/>
      <c r="BC25" s="426"/>
      <c r="BD25" s="427">
        <v>0.53100000000000003</v>
      </c>
      <c r="BE25" s="428"/>
      <c r="BF25" s="428"/>
      <c r="BG25" s="428"/>
      <c r="BH25" s="425"/>
      <c r="BI25" s="426"/>
      <c r="BJ25" s="426"/>
      <c r="BK25" s="426"/>
      <c r="BL25" s="427"/>
      <c r="BM25" s="428"/>
      <c r="BN25" s="428"/>
      <c r="BO25" s="428"/>
      <c r="BP25" s="425"/>
      <c r="BQ25" s="426"/>
      <c r="BR25" s="426"/>
      <c r="BS25" s="426"/>
      <c r="BT25" s="427"/>
      <c r="BU25" s="428"/>
      <c r="BV25" s="428"/>
      <c r="BW25" s="428"/>
      <c r="BX25" s="196"/>
    </row>
    <row r="26" spans="1:76" ht="20.25" customHeight="1">
      <c r="A26" s="459"/>
      <c r="B26" s="194" t="s">
        <v>151</v>
      </c>
      <c r="C26" s="198"/>
      <c r="D26" s="362" t="s">
        <v>187</v>
      </c>
      <c r="E26" s="363"/>
      <c r="F26" s="363"/>
      <c r="G26" s="363"/>
      <c r="H26" s="363"/>
      <c r="I26" s="363"/>
      <c r="J26" s="273"/>
      <c r="K26" s="364"/>
      <c r="L26" s="364"/>
      <c r="M26" s="364"/>
      <c r="N26" s="365"/>
      <c r="O26" s="365"/>
      <c r="P26" s="365"/>
      <c r="Q26" s="365"/>
      <c r="R26" s="365"/>
      <c r="S26" s="365"/>
      <c r="T26" s="365"/>
      <c r="U26" s="365"/>
      <c r="V26" s="366"/>
      <c r="W26" s="365"/>
      <c r="X26" s="365"/>
      <c r="Y26" s="365"/>
      <c r="Z26" s="365"/>
      <c r="AA26" s="365"/>
      <c r="AB26" s="365"/>
      <c r="AC26" s="365"/>
      <c r="AD26" s="366"/>
      <c r="AE26" s="365"/>
      <c r="AF26" s="365"/>
      <c r="AG26" s="365"/>
      <c r="AH26" s="365"/>
      <c r="AI26" s="365"/>
      <c r="AJ26" s="365"/>
      <c r="AK26" s="368"/>
      <c r="AL26" s="196"/>
      <c r="AM26" s="459"/>
      <c r="AN26" s="194" t="s">
        <v>151</v>
      </c>
      <c r="AO26" s="198"/>
      <c r="AP26" s="362" t="s">
        <v>187</v>
      </c>
      <c r="AQ26" s="363"/>
      <c r="AR26" s="363"/>
      <c r="AS26" s="363"/>
      <c r="AT26" s="363"/>
      <c r="AU26" s="363"/>
      <c r="AV26" s="273"/>
      <c r="AW26" s="364"/>
      <c r="AX26" s="364"/>
      <c r="AY26" s="364"/>
      <c r="AZ26" s="365"/>
      <c r="BA26" s="365"/>
      <c r="BB26" s="365"/>
      <c r="BC26" s="365"/>
      <c r="BD26" s="365"/>
      <c r="BE26" s="365"/>
      <c r="BF26" s="365"/>
      <c r="BG26" s="365"/>
      <c r="BH26" s="366"/>
      <c r="BI26" s="365"/>
      <c r="BJ26" s="365"/>
      <c r="BK26" s="365"/>
      <c r="BL26" s="365"/>
      <c r="BM26" s="365"/>
      <c r="BN26" s="365"/>
      <c r="BO26" s="365"/>
      <c r="BP26" s="366"/>
      <c r="BQ26" s="365"/>
      <c r="BR26" s="365"/>
      <c r="BS26" s="365"/>
      <c r="BT26" s="365"/>
      <c r="BU26" s="365"/>
      <c r="BV26" s="365"/>
      <c r="BW26" s="368"/>
      <c r="BX26" s="196"/>
    </row>
    <row r="27" spans="1:76" ht="20.25" customHeight="1">
      <c r="A27" s="459"/>
      <c r="B27" s="194" t="s">
        <v>152</v>
      </c>
      <c r="C27" s="198"/>
      <c r="D27" s="344" t="s">
        <v>193</v>
      </c>
      <c r="E27" s="345"/>
      <c r="F27" s="345"/>
      <c r="G27" s="345"/>
      <c r="H27" s="345"/>
      <c r="I27" s="345"/>
      <c r="J27" s="264"/>
      <c r="K27" s="346"/>
      <c r="L27" s="346"/>
      <c r="M27" s="347"/>
      <c r="N27" s="416" t="s">
        <v>310</v>
      </c>
      <c r="O27" s="417"/>
      <c r="P27" s="417"/>
      <c r="Q27" s="417"/>
      <c r="R27" s="418" t="s">
        <v>310</v>
      </c>
      <c r="S27" s="419"/>
      <c r="T27" s="419"/>
      <c r="U27" s="419"/>
      <c r="V27" s="416" t="s">
        <v>310</v>
      </c>
      <c r="W27" s="417"/>
      <c r="X27" s="417"/>
      <c r="Y27" s="417"/>
      <c r="Z27" s="418" t="s">
        <v>310</v>
      </c>
      <c r="AA27" s="419"/>
      <c r="AB27" s="419"/>
      <c r="AC27" s="419"/>
      <c r="AD27" s="416" t="s">
        <v>310</v>
      </c>
      <c r="AE27" s="417"/>
      <c r="AF27" s="417"/>
      <c r="AG27" s="417"/>
      <c r="AH27" s="418" t="s">
        <v>310</v>
      </c>
      <c r="AI27" s="419"/>
      <c r="AJ27" s="419"/>
      <c r="AK27" s="419"/>
      <c r="AL27" s="196"/>
      <c r="AM27" s="459"/>
      <c r="AN27" s="194" t="s">
        <v>152</v>
      </c>
      <c r="AO27" s="198"/>
      <c r="AP27" s="344" t="s">
        <v>193</v>
      </c>
      <c r="AQ27" s="345"/>
      <c r="AR27" s="345"/>
      <c r="AS27" s="345"/>
      <c r="AT27" s="345"/>
      <c r="AU27" s="345"/>
      <c r="AV27" s="264"/>
      <c r="AW27" s="346"/>
      <c r="AX27" s="346"/>
      <c r="AY27" s="347"/>
      <c r="AZ27" s="416" t="s">
        <v>310</v>
      </c>
      <c r="BA27" s="417"/>
      <c r="BB27" s="417"/>
      <c r="BC27" s="417"/>
      <c r="BD27" s="418" t="s">
        <v>310</v>
      </c>
      <c r="BE27" s="419"/>
      <c r="BF27" s="419"/>
      <c r="BG27" s="419"/>
      <c r="BH27" s="416"/>
      <c r="BI27" s="417"/>
      <c r="BJ27" s="417"/>
      <c r="BK27" s="417"/>
      <c r="BL27" s="418"/>
      <c r="BM27" s="419"/>
      <c r="BN27" s="419"/>
      <c r="BO27" s="419"/>
      <c r="BP27" s="416"/>
      <c r="BQ27" s="417"/>
      <c r="BR27" s="417"/>
      <c r="BS27" s="417"/>
      <c r="BT27" s="418"/>
      <c r="BU27" s="419"/>
      <c r="BV27" s="419"/>
      <c r="BW27" s="419"/>
      <c r="BX27" s="196"/>
    </row>
    <row r="28" spans="1:76" ht="20.25" customHeight="1">
      <c r="A28" s="459"/>
      <c r="B28" s="194" t="s">
        <v>153</v>
      </c>
      <c r="C28" s="198"/>
      <c r="D28" s="344" t="s">
        <v>188</v>
      </c>
      <c r="E28" s="345"/>
      <c r="F28" s="345"/>
      <c r="G28" s="345"/>
      <c r="H28" s="345"/>
      <c r="I28" s="345"/>
      <c r="J28" s="264"/>
      <c r="K28" s="346" t="s">
        <v>213</v>
      </c>
      <c r="L28" s="346"/>
      <c r="M28" s="347"/>
      <c r="N28" s="416">
        <v>8</v>
      </c>
      <c r="O28" s="417"/>
      <c r="P28" s="417"/>
      <c r="Q28" s="417"/>
      <c r="R28" s="420">
        <v>10</v>
      </c>
      <c r="S28" s="417"/>
      <c r="T28" s="417"/>
      <c r="U28" s="417"/>
      <c r="V28" s="416">
        <v>8</v>
      </c>
      <c r="W28" s="417"/>
      <c r="X28" s="417"/>
      <c r="Y28" s="417"/>
      <c r="Z28" s="420">
        <v>10</v>
      </c>
      <c r="AA28" s="417"/>
      <c r="AB28" s="417"/>
      <c r="AC28" s="417"/>
      <c r="AD28" s="416">
        <v>8</v>
      </c>
      <c r="AE28" s="417"/>
      <c r="AF28" s="417"/>
      <c r="AG28" s="417"/>
      <c r="AH28" s="420">
        <v>10</v>
      </c>
      <c r="AI28" s="417"/>
      <c r="AJ28" s="417"/>
      <c r="AK28" s="417"/>
      <c r="AL28" s="196"/>
      <c r="AM28" s="459"/>
      <c r="AN28" s="194" t="s">
        <v>153</v>
      </c>
      <c r="AO28" s="198"/>
      <c r="AP28" s="344" t="s">
        <v>188</v>
      </c>
      <c r="AQ28" s="345"/>
      <c r="AR28" s="345"/>
      <c r="AS28" s="345"/>
      <c r="AT28" s="345"/>
      <c r="AU28" s="345"/>
      <c r="AV28" s="264"/>
      <c r="AW28" s="346" t="s">
        <v>213</v>
      </c>
      <c r="AX28" s="346"/>
      <c r="AY28" s="347"/>
      <c r="AZ28" s="416">
        <v>8</v>
      </c>
      <c r="BA28" s="417"/>
      <c r="BB28" s="417"/>
      <c r="BC28" s="417"/>
      <c r="BD28" s="420">
        <v>10</v>
      </c>
      <c r="BE28" s="417"/>
      <c r="BF28" s="417"/>
      <c r="BG28" s="417"/>
      <c r="BH28" s="416"/>
      <c r="BI28" s="417"/>
      <c r="BJ28" s="417"/>
      <c r="BK28" s="417"/>
      <c r="BL28" s="420"/>
      <c r="BM28" s="417"/>
      <c r="BN28" s="417"/>
      <c r="BO28" s="417"/>
      <c r="BP28" s="416"/>
      <c r="BQ28" s="417"/>
      <c r="BR28" s="417"/>
      <c r="BS28" s="417"/>
      <c r="BT28" s="420"/>
      <c r="BU28" s="417"/>
      <c r="BV28" s="417"/>
      <c r="BW28" s="417"/>
      <c r="BX28" s="196"/>
    </row>
    <row r="29" spans="1:76" ht="20.25" customHeight="1">
      <c r="A29" s="459"/>
      <c r="B29" s="194" t="s">
        <v>154</v>
      </c>
      <c r="C29" s="198"/>
      <c r="D29" s="344" t="s">
        <v>189</v>
      </c>
      <c r="E29" s="345"/>
      <c r="F29" s="345"/>
      <c r="G29" s="345"/>
      <c r="H29" s="345"/>
      <c r="I29" s="345"/>
      <c r="J29" s="264"/>
      <c r="K29" s="346"/>
      <c r="L29" s="346"/>
      <c r="M29" s="347"/>
      <c r="N29" s="413" t="s">
        <v>4</v>
      </c>
      <c r="O29" s="414"/>
      <c r="P29" s="414"/>
      <c r="Q29" s="414"/>
      <c r="R29" s="415" t="s">
        <v>4</v>
      </c>
      <c r="S29" s="414"/>
      <c r="T29" s="414"/>
      <c r="U29" s="414"/>
      <c r="V29" s="413" t="s">
        <v>4</v>
      </c>
      <c r="W29" s="414"/>
      <c r="X29" s="414"/>
      <c r="Y29" s="414"/>
      <c r="Z29" s="415" t="s">
        <v>4</v>
      </c>
      <c r="AA29" s="414"/>
      <c r="AB29" s="414"/>
      <c r="AC29" s="414"/>
      <c r="AD29" s="413" t="s">
        <v>4</v>
      </c>
      <c r="AE29" s="414"/>
      <c r="AF29" s="414"/>
      <c r="AG29" s="414"/>
      <c r="AH29" s="415" t="s">
        <v>4</v>
      </c>
      <c r="AI29" s="414"/>
      <c r="AJ29" s="414"/>
      <c r="AK29" s="414"/>
      <c r="AL29" s="196"/>
      <c r="AM29" s="459"/>
      <c r="AN29" s="194" t="s">
        <v>154</v>
      </c>
      <c r="AO29" s="198"/>
      <c r="AP29" s="344" t="s">
        <v>189</v>
      </c>
      <c r="AQ29" s="345"/>
      <c r="AR29" s="345"/>
      <c r="AS29" s="345"/>
      <c r="AT29" s="345"/>
      <c r="AU29" s="345"/>
      <c r="AV29" s="264"/>
      <c r="AW29" s="346"/>
      <c r="AX29" s="346"/>
      <c r="AY29" s="347"/>
      <c r="AZ29" s="413" t="s">
        <v>4</v>
      </c>
      <c r="BA29" s="414"/>
      <c r="BB29" s="414"/>
      <c r="BC29" s="414"/>
      <c r="BD29" s="415" t="s">
        <v>4</v>
      </c>
      <c r="BE29" s="414"/>
      <c r="BF29" s="414"/>
      <c r="BG29" s="414"/>
      <c r="BH29" s="413"/>
      <c r="BI29" s="414"/>
      <c r="BJ29" s="414"/>
      <c r="BK29" s="414"/>
      <c r="BL29" s="415"/>
      <c r="BM29" s="414"/>
      <c r="BN29" s="414"/>
      <c r="BO29" s="414"/>
      <c r="BP29" s="413"/>
      <c r="BQ29" s="414"/>
      <c r="BR29" s="414"/>
      <c r="BS29" s="414"/>
      <c r="BT29" s="415"/>
      <c r="BU29" s="414"/>
      <c r="BV29" s="414"/>
      <c r="BW29" s="414"/>
      <c r="BX29" s="196"/>
    </row>
    <row r="30" spans="1:76" ht="20.25" customHeight="1">
      <c r="A30" s="459"/>
      <c r="B30" s="194" t="s">
        <v>155</v>
      </c>
      <c r="C30" s="198"/>
      <c r="D30" s="344" t="s">
        <v>190</v>
      </c>
      <c r="E30" s="345"/>
      <c r="F30" s="345"/>
      <c r="G30" s="345"/>
      <c r="H30" s="345"/>
      <c r="I30" s="345"/>
      <c r="J30" s="264"/>
      <c r="K30" s="346" t="s">
        <v>213</v>
      </c>
      <c r="L30" s="346"/>
      <c r="M30" s="347"/>
      <c r="N30" s="408">
        <f>IF(N28="","",INDEX(PIPE_T,MATCH(N28,PIPE,0),MATCH(N29,SCH,0))*1000/25.4)</f>
        <v>7.9811023622047248</v>
      </c>
      <c r="O30" s="409"/>
      <c r="P30" s="409"/>
      <c r="Q30" s="409"/>
      <c r="R30" s="410">
        <f>IF(R28="","",INDEX(PIPE_T,MATCH(R28,PIPE,0),MATCH(R29,SCH,0))*1000/25.4)</f>
        <v>10.020078740157482</v>
      </c>
      <c r="S30" s="410"/>
      <c r="T30" s="410"/>
      <c r="U30" s="411"/>
      <c r="V30" s="412">
        <f>IF(V28="","",INDEX(PIPE_T,MATCH(V28,PIPE,0),MATCH(V29,SCH,0))*1000/25.4)</f>
        <v>7.9811023622047248</v>
      </c>
      <c r="W30" s="410"/>
      <c r="X30" s="410"/>
      <c r="Y30" s="410"/>
      <c r="Z30" s="410">
        <f>IF(Z28="","",INDEX(PIPE_T,MATCH(Z28,PIPE,0),MATCH(Z29,SCH,0))*1000/25.4)</f>
        <v>10.020078740157482</v>
      </c>
      <c r="AA30" s="410"/>
      <c r="AB30" s="410"/>
      <c r="AC30" s="411"/>
      <c r="AD30" s="412">
        <f>IF(AD28="","",INDEX(PIPE_T,MATCH(AD28,PIPE,0),MATCH(AD29,SCH,0))*1000/25.4)</f>
        <v>7.9811023622047248</v>
      </c>
      <c r="AE30" s="410"/>
      <c r="AF30" s="410"/>
      <c r="AG30" s="410"/>
      <c r="AH30" s="409">
        <f>IF(AH28="","",INDEX(PIPE_T,MATCH(AH28,PIPE,0),MATCH(AH29,SCH,0))*1000/25.4)</f>
        <v>10.020078740157482</v>
      </c>
      <c r="AI30" s="409"/>
      <c r="AJ30" s="409"/>
      <c r="AK30" s="409"/>
      <c r="AL30" s="196"/>
      <c r="AM30" s="459"/>
      <c r="AN30" s="194" t="s">
        <v>155</v>
      </c>
      <c r="AO30" s="198"/>
      <c r="AP30" s="344" t="s">
        <v>190</v>
      </c>
      <c r="AQ30" s="345"/>
      <c r="AR30" s="345"/>
      <c r="AS30" s="345"/>
      <c r="AT30" s="345"/>
      <c r="AU30" s="345"/>
      <c r="AV30" s="264"/>
      <c r="AW30" s="346" t="s">
        <v>213</v>
      </c>
      <c r="AX30" s="346"/>
      <c r="AY30" s="347"/>
      <c r="AZ30" s="408">
        <f>IF(AZ28="","",INDEX(PIPE_T,MATCH(AZ28,PIPE,0),MATCH(AZ29,SCH,0))*1000/25.4)</f>
        <v>7.9811023622047248</v>
      </c>
      <c r="BA30" s="409"/>
      <c r="BB30" s="409"/>
      <c r="BC30" s="409"/>
      <c r="BD30" s="410">
        <f>IF(BD28="","",INDEX(PIPE_T,MATCH(BD28,PIPE,0),MATCH(BD29,SCH,0))*1000/25.4)</f>
        <v>10.020078740157482</v>
      </c>
      <c r="BE30" s="410"/>
      <c r="BF30" s="410"/>
      <c r="BG30" s="411"/>
      <c r="BH30" s="412" t="str">
        <f>IF(BH28="","",INDEX(PIPE_T,MATCH(BH28,PIPE,0),MATCH(BH29,SCH,0))*1000/25.4)</f>
        <v/>
      </c>
      <c r="BI30" s="410"/>
      <c r="BJ30" s="410"/>
      <c r="BK30" s="410"/>
      <c r="BL30" s="410" t="str">
        <f>IF(BL28="","",INDEX(PIPE_T,MATCH(BL28,PIPE,0),MATCH(BL29,SCH,0))*1000/25.4)</f>
        <v/>
      </c>
      <c r="BM30" s="410"/>
      <c r="BN30" s="410"/>
      <c r="BO30" s="411"/>
      <c r="BP30" s="412" t="str">
        <f>IF(BP28="","",INDEX(PIPE_T,MATCH(BP28,PIPE,0),MATCH(BP29,SCH,0))*1000/25.4)</f>
        <v/>
      </c>
      <c r="BQ30" s="410"/>
      <c r="BR30" s="410"/>
      <c r="BS30" s="410"/>
      <c r="BT30" s="409" t="str">
        <f>IF(BT28="","",INDEX(PIPE_T,MATCH(BT28,PIPE,0),MATCH(BT29,SCH,0))*1000/25.4)</f>
        <v/>
      </c>
      <c r="BU30" s="409"/>
      <c r="BV30" s="409"/>
      <c r="BW30" s="409"/>
      <c r="BX30" s="196"/>
    </row>
    <row r="31" spans="1:76" ht="20.25" customHeight="1">
      <c r="A31" s="459"/>
      <c r="B31" s="194" t="s">
        <v>156</v>
      </c>
      <c r="C31" s="198"/>
      <c r="D31" s="344" t="s">
        <v>191</v>
      </c>
      <c r="E31" s="345"/>
      <c r="F31" s="345"/>
      <c r="G31" s="345"/>
      <c r="H31" s="345"/>
      <c r="I31" s="345"/>
      <c r="J31" s="264"/>
      <c r="K31" s="346" t="s">
        <v>213</v>
      </c>
      <c r="L31" s="346"/>
      <c r="M31" s="347"/>
      <c r="N31" s="408">
        <f>IF(N28="","",LOOKUP(N28,PIPE,PIPE_O))</f>
        <v>8.625</v>
      </c>
      <c r="O31" s="409"/>
      <c r="P31" s="409"/>
      <c r="Q31" s="409"/>
      <c r="R31" s="410">
        <f>IF(R28="","",LOOKUP(R28,PIPE,PIPE_O))</f>
        <v>10.75</v>
      </c>
      <c r="S31" s="410"/>
      <c r="T31" s="410"/>
      <c r="U31" s="411"/>
      <c r="V31" s="412">
        <f>IF(V28="","",LOOKUP(V28,PIPE,PIPE_O))</f>
        <v>8.625</v>
      </c>
      <c r="W31" s="410"/>
      <c r="X31" s="410"/>
      <c r="Y31" s="410"/>
      <c r="Z31" s="410">
        <f>IF(Z28="","",LOOKUP(Z28,PIPE,PIPE_O))</f>
        <v>10.75</v>
      </c>
      <c r="AA31" s="410"/>
      <c r="AB31" s="410"/>
      <c r="AC31" s="411"/>
      <c r="AD31" s="412">
        <f>IF(AD28="","",LOOKUP(AD28,PIPE,PIPE_O))</f>
        <v>8.625</v>
      </c>
      <c r="AE31" s="410"/>
      <c r="AF31" s="410"/>
      <c r="AG31" s="410"/>
      <c r="AH31" s="409">
        <f>IF(AH28="","",LOOKUP(AH28,PIPE,PIPE_O))</f>
        <v>10.75</v>
      </c>
      <c r="AI31" s="409"/>
      <c r="AJ31" s="409"/>
      <c r="AK31" s="409"/>
      <c r="AL31" s="196"/>
      <c r="AM31" s="459"/>
      <c r="AN31" s="194" t="s">
        <v>156</v>
      </c>
      <c r="AO31" s="198"/>
      <c r="AP31" s="344" t="s">
        <v>191</v>
      </c>
      <c r="AQ31" s="345"/>
      <c r="AR31" s="345"/>
      <c r="AS31" s="345"/>
      <c r="AT31" s="345"/>
      <c r="AU31" s="345"/>
      <c r="AV31" s="264"/>
      <c r="AW31" s="346" t="s">
        <v>213</v>
      </c>
      <c r="AX31" s="346"/>
      <c r="AY31" s="347"/>
      <c r="AZ31" s="408">
        <f>IF(AZ28="","",LOOKUP(AZ28,PIPE,PIPE_O))</f>
        <v>8.625</v>
      </c>
      <c r="BA31" s="409"/>
      <c r="BB31" s="409"/>
      <c r="BC31" s="409"/>
      <c r="BD31" s="410">
        <f>IF(BD28="","",LOOKUP(BD28,PIPE,PIPE_O))</f>
        <v>10.75</v>
      </c>
      <c r="BE31" s="410"/>
      <c r="BF31" s="410"/>
      <c r="BG31" s="411"/>
      <c r="BH31" s="412" t="str">
        <f>IF(BH28="","",LOOKUP(BH28,PIPE,PIPE_O))</f>
        <v/>
      </c>
      <c r="BI31" s="410"/>
      <c r="BJ31" s="410"/>
      <c r="BK31" s="410"/>
      <c r="BL31" s="410" t="str">
        <f>IF(BL28="","",LOOKUP(BL28,PIPE,PIPE_O))</f>
        <v/>
      </c>
      <c r="BM31" s="410"/>
      <c r="BN31" s="410"/>
      <c r="BO31" s="411"/>
      <c r="BP31" s="412" t="str">
        <f>IF(BP28="","",LOOKUP(BP28,PIPE,PIPE_O))</f>
        <v/>
      </c>
      <c r="BQ31" s="410"/>
      <c r="BR31" s="410"/>
      <c r="BS31" s="410"/>
      <c r="BT31" s="409" t="str">
        <f>IF(BT28="","",LOOKUP(BT28,PIPE,PIPE_O))</f>
        <v/>
      </c>
      <c r="BU31" s="409"/>
      <c r="BV31" s="409"/>
      <c r="BW31" s="409"/>
      <c r="BX31" s="196"/>
    </row>
    <row r="32" spans="1:76" ht="20.25" customHeight="1">
      <c r="A32" s="459"/>
      <c r="B32" s="194" t="s">
        <v>157</v>
      </c>
      <c r="C32" s="198"/>
      <c r="D32" s="344" t="s">
        <v>194</v>
      </c>
      <c r="E32" s="345"/>
      <c r="F32" s="345"/>
      <c r="G32" s="345"/>
      <c r="H32" s="345"/>
      <c r="I32" s="345"/>
      <c r="J32" s="264"/>
      <c r="K32" s="346" t="s">
        <v>214</v>
      </c>
      <c r="L32" s="346"/>
      <c r="M32" s="347"/>
      <c r="N32" s="373">
        <v>42</v>
      </c>
      <c r="O32" s="374"/>
      <c r="P32" s="374"/>
      <c r="Q32" s="374"/>
      <c r="R32" s="376">
        <v>80</v>
      </c>
      <c r="S32" s="374"/>
      <c r="T32" s="374"/>
      <c r="U32" s="374"/>
      <c r="V32" s="373">
        <v>42</v>
      </c>
      <c r="W32" s="374"/>
      <c r="X32" s="374"/>
      <c r="Y32" s="374"/>
      <c r="Z32" s="376">
        <v>80</v>
      </c>
      <c r="AA32" s="374"/>
      <c r="AB32" s="374"/>
      <c r="AC32" s="374"/>
      <c r="AD32" s="373">
        <v>42</v>
      </c>
      <c r="AE32" s="374"/>
      <c r="AF32" s="374"/>
      <c r="AG32" s="374"/>
      <c r="AH32" s="376">
        <v>80</v>
      </c>
      <c r="AI32" s="374"/>
      <c r="AJ32" s="374"/>
      <c r="AK32" s="374"/>
      <c r="AL32" s="196"/>
      <c r="AM32" s="459"/>
      <c r="AN32" s="194" t="s">
        <v>157</v>
      </c>
      <c r="AO32" s="198"/>
      <c r="AP32" s="344" t="s">
        <v>194</v>
      </c>
      <c r="AQ32" s="345"/>
      <c r="AR32" s="345"/>
      <c r="AS32" s="345"/>
      <c r="AT32" s="345"/>
      <c r="AU32" s="345"/>
      <c r="AV32" s="264"/>
      <c r="AW32" s="346" t="s">
        <v>214</v>
      </c>
      <c r="AX32" s="346"/>
      <c r="AY32" s="347"/>
      <c r="AZ32" s="373">
        <v>42</v>
      </c>
      <c r="BA32" s="374"/>
      <c r="BB32" s="374"/>
      <c r="BC32" s="374"/>
      <c r="BD32" s="376">
        <v>80</v>
      </c>
      <c r="BE32" s="374"/>
      <c r="BF32" s="374"/>
      <c r="BG32" s="374"/>
      <c r="BH32" s="373"/>
      <c r="BI32" s="374"/>
      <c r="BJ32" s="374"/>
      <c r="BK32" s="374"/>
      <c r="BL32" s="376"/>
      <c r="BM32" s="374"/>
      <c r="BN32" s="374"/>
      <c r="BO32" s="374"/>
      <c r="BP32" s="373"/>
      <c r="BQ32" s="374"/>
      <c r="BR32" s="374"/>
      <c r="BS32" s="374"/>
      <c r="BT32" s="376"/>
      <c r="BU32" s="374"/>
      <c r="BV32" s="374"/>
      <c r="BW32" s="374"/>
      <c r="BX32" s="196"/>
    </row>
    <row r="33" spans="1:76" ht="20.25" customHeight="1">
      <c r="A33" s="459"/>
      <c r="B33" s="194" t="s">
        <v>158</v>
      </c>
      <c r="C33" s="198"/>
      <c r="D33" s="344" t="s">
        <v>199</v>
      </c>
      <c r="E33" s="345"/>
      <c r="F33" s="345"/>
      <c r="G33" s="345"/>
      <c r="H33" s="345"/>
      <c r="I33" s="345"/>
      <c r="J33" s="264"/>
      <c r="K33" s="346"/>
      <c r="L33" s="346"/>
      <c r="M33" s="347"/>
      <c r="N33" s="373" t="s">
        <v>201</v>
      </c>
      <c r="O33" s="374"/>
      <c r="P33" s="374"/>
      <c r="Q33" s="374"/>
      <c r="R33" s="376" t="s">
        <v>201</v>
      </c>
      <c r="S33" s="374"/>
      <c r="T33" s="374"/>
      <c r="U33" s="374"/>
      <c r="V33" s="373" t="s">
        <v>201</v>
      </c>
      <c r="W33" s="374"/>
      <c r="X33" s="374"/>
      <c r="Y33" s="374"/>
      <c r="Z33" s="376" t="s">
        <v>201</v>
      </c>
      <c r="AA33" s="374"/>
      <c r="AB33" s="374"/>
      <c r="AC33" s="374"/>
      <c r="AD33" s="373" t="s">
        <v>201</v>
      </c>
      <c r="AE33" s="374"/>
      <c r="AF33" s="374"/>
      <c r="AG33" s="374"/>
      <c r="AH33" s="376" t="s">
        <v>201</v>
      </c>
      <c r="AI33" s="374"/>
      <c r="AJ33" s="374"/>
      <c r="AK33" s="374"/>
      <c r="AL33" s="196"/>
      <c r="AM33" s="459"/>
      <c r="AN33" s="194" t="s">
        <v>158</v>
      </c>
      <c r="AO33" s="198"/>
      <c r="AP33" s="344" t="s">
        <v>199</v>
      </c>
      <c r="AQ33" s="345"/>
      <c r="AR33" s="345"/>
      <c r="AS33" s="345"/>
      <c r="AT33" s="345"/>
      <c r="AU33" s="345"/>
      <c r="AV33" s="264"/>
      <c r="AW33" s="346"/>
      <c r="AX33" s="346"/>
      <c r="AY33" s="347"/>
      <c r="AZ33" s="373" t="s">
        <v>201</v>
      </c>
      <c r="BA33" s="374"/>
      <c r="BB33" s="374"/>
      <c r="BC33" s="374"/>
      <c r="BD33" s="376" t="s">
        <v>201</v>
      </c>
      <c r="BE33" s="374"/>
      <c r="BF33" s="374"/>
      <c r="BG33" s="374"/>
      <c r="BH33" s="373"/>
      <c r="BI33" s="374"/>
      <c r="BJ33" s="374"/>
      <c r="BK33" s="374"/>
      <c r="BL33" s="376"/>
      <c r="BM33" s="374"/>
      <c r="BN33" s="374"/>
      <c r="BO33" s="374"/>
      <c r="BP33" s="373"/>
      <c r="BQ33" s="374"/>
      <c r="BR33" s="374"/>
      <c r="BS33" s="374"/>
      <c r="BT33" s="376"/>
      <c r="BU33" s="374"/>
      <c r="BV33" s="374"/>
      <c r="BW33" s="374"/>
      <c r="BX33" s="196"/>
    </row>
    <row r="34" spans="1:76" ht="20.25" customHeight="1">
      <c r="A34" s="459"/>
      <c r="B34" s="194" t="s">
        <v>282</v>
      </c>
      <c r="C34" s="198"/>
      <c r="D34" s="344" t="s">
        <v>217</v>
      </c>
      <c r="E34" s="345"/>
      <c r="F34" s="345"/>
      <c r="G34" s="345"/>
      <c r="H34" s="345"/>
      <c r="I34" s="345"/>
      <c r="J34" s="264"/>
      <c r="K34" s="346"/>
      <c r="L34" s="346"/>
      <c r="M34" s="347"/>
      <c r="N34" s="405" t="s">
        <v>206</v>
      </c>
      <c r="O34" s="406"/>
      <c r="P34" s="406"/>
      <c r="Q34" s="406"/>
      <c r="R34" s="407" t="s">
        <v>206</v>
      </c>
      <c r="S34" s="406"/>
      <c r="T34" s="406"/>
      <c r="U34" s="406"/>
      <c r="V34" s="405" t="s">
        <v>206</v>
      </c>
      <c r="W34" s="406"/>
      <c r="X34" s="406"/>
      <c r="Y34" s="406"/>
      <c r="Z34" s="407" t="s">
        <v>206</v>
      </c>
      <c r="AA34" s="406"/>
      <c r="AB34" s="406"/>
      <c r="AC34" s="406"/>
      <c r="AD34" s="405" t="s">
        <v>206</v>
      </c>
      <c r="AE34" s="406"/>
      <c r="AF34" s="406"/>
      <c r="AG34" s="406"/>
      <c r="AH34" s="407" t="s">
        <v>206</v>
      </c>
      <c r="AI34" s="406"/>
      <c r="AJ34" s="406"/>
      <c r="AK34" s="406"/>
      <c r="AL34" s="196"/>
      <c r="AM34" s="459"/>
      <c r="AN34" s="194" t="s">
        <v>282</v>
      </c>
      <c r="AO34" s="198"/>
      <c r="AP34" s="344" t="s">
        <v>217</v>
      </c>
      <c r="AQ34" s="345"/>
      <c r="AR34" s="345"/>
      <c r="AS34" s="345"/>
      <c r="AT34" s="345"/>
      <c r="AU34" s="345"/>
      <c r="AV34" s="264"/>
      <c r="AW34" s="346"/>
      <c r="AX34" s="346"/>
      <c r="AY34" s="347"/>
      <c r="AZ34" s="405" t="s">
        <v>206</v>
      </c>
      <c r="BA34" s="406"/>
      <c r="BB34" s="406"/>
      <c r="BC34" s="406"/>
      <c r="BD34" s="407" t="s">
        <v>206</v>
      </c>
      <c r="BE34" s="406"/>
      <c r="BF34" s="406"/>
      <c r="BG34" s="406"/>
      <c r="BH34" s="405"/>
      <c r="BI34" s="406"/>
      <c r="BJ34" s="406"/>
      <c r="BK34" s="406"/>
      <c r="BL34" s="407"/>
      <c r="BM34" s="406"/>
      <c r="BN34" s="406"/>
      <c r="BO34" s="406"/>
      <c r="BP34" s="405"/>
      <c r="BQ34" s="406"/>
      <c r="BR34" s="406"/>
      <c r="BS34" s="406"/>
      <c r="BT34" s="407"/>
      <c r="BU34" s="406"/>
      <c r="BV34" s="406"/>
      <c r="BW34" s="406"/>
      <c r="BX34" s="196"/>
    </row>
    <row r="35" spans="1:76" ht="20.25" customHeight="1">
      <c r="A35" s="459"/>
      <c r="B35" s="194" t="s">
        <v>159</v>
      </c>
      <c r="C35" s="198"/>
      <c r="D35" s="344" t="s">
        <v>200</v>
      </c>
      <c r="E35" s="345"/>
      <c r="F35" s="345"/>
      <c r="G35" s="345"/>
      <c r="H35" s="345"/>
      <c r="I35" s="345"/>
      <c r="J35" s="264"/>
      <c r="K35" s="199"/>
      <c r="L35" s="264"/>
      <c r="M35" s="264"/>
      <c r="N35" s="405" t="s">
        <v>202</v>
      </c>
      <c r="O35" s="406"/>
      <c r="P35" s="406"/>
      <c r="Q35" s="406"/>
      <c r="R35" s="407" t="s">
        <v>202</v>
      </c>
      <c r="S35" s="406"/>
      <c r="T35" s="406"/>
      <c r="U35" s="406"/>
      <c r="V35" s="405" t="s">
        <v>202</v>
      </c>
      <c r="W35" s="406"/>
      <c r="X35" s="406"/>
      <c r="Y35" s="406"/>
      <c r="Z35" s="407" t="s">
        <v>202</v>
      </c>
      <c r="AA35" s="406"/>
      <c r="AB35" s="406"/>
      <c r="AC35" s="406"/>
      <c r="AD35" s="405" t="s">
        <v>202</v>
      </c>
      <c r="AE35" s="406"/>
      <c r="AF35" s="406"/>
      <c r="AG35" s="406"/>
      <c r="AH35" s="407" t="s">
        <v>202</v>
      </c>
      <c r="AI35" s="406"/>
      <c r="AJ35" s="406"/>
      <c r="AK35" s="406"/>
      <c r="AL35" s="196"/>
      <c r="AM35" s="459"/>
      <c r="AN35" s="194" t="s">
        <v>159</v>
      </c>
      <c r="AO35" s="198"/>
      <c r="AP35" s="344" t="s">
        <v>200</v>
      </c>
      <c r="AQ35" s="345"/>
      <c r="AR35" s="345"/>
      <c r="AS35" s="345"/>
      <c r="AT35" s="345"/>
      <c r="AU35" s="345"/>
      <c r="AV35" s="264"/>
      <c r="AW35" s="199"/>
      <c r="AX35" s="264"/>
      <c r="AY35" s="264"/>
      <c r="AZ35" s="405" t="s">
        <v>202</v>
      </c>
      <c r="BA35" s="406"/>
      <c r="BB35" s="406"/>
      <c r="BC35" s="406"/>
      <c r="BD35" s="407" t="s">
        <v>202</v>
      </c>
      <c r="BE35" s="406"/>
      <c r="BF35" s="406"/>
      <c r="BG35" s="406"/>
      <c r="BH35" s="405"/>
      <c r="BI35" s="406"/>
      <c r="BJ35" s="406"/>
      <c r="BK35" s="406"/>
      <c r="BL35" s="407"/>
      <c r="BM35" s="406"/>
      <c r="BN35" s="406"/>
      <c r="BO35" s="406"/>
      <c r="BP35" s="405"/>
      <c r="BQ35" s="406"/>
      <c r="BR35" s="406"/>
      <c r="BS35" s="406"/>
      <c r="BT35" s="407"/>
      <c r="BU35" s="406"/>
      <c r="BV35" s="406"/>
      <c r="BW35" s="406"/>
      <c r="BX35" s="196"/>
    </row>
    <row r="36" spans="1:76" ht="20.25" customHeight="1">
      <c r="A36" s="459"/>
      <c r="B36" s="194" t="s">
        <v>283</v>
      </c>
      <c r="C36" s="198"/>
      <c r="D36" s="344" t="s">
        <v>226</v>
      </c>
      <c r="E36" s="345"/>
      <c r="F36" s="345"/>
      <c r="G36" s="345"/>
      <c r="H36" s="345"/>
      <c r="I36" s="345"/>
      <c r="J36" s="227"/>
      <c r="K36" s="232"/>
      <c r="L36" s="227"/>
      <c r="M36" s="227"/>
      <c r="N36" s="405" t="s">
        <v>308</v>
      </c>
      <c r="O36" s="406"/>
      <c r="P36" s="406"/>
      <c r="Q36" s="406"/>
      <c r="R36" s="407" t="s">
        <v>311</v>
      </c>
      <c r="S36" s="406"/>
      <c r="T36" s="406"/>
      <c r="U36" s="406"/>
      <c r="V36" s="405" t="s">
        <v>308</v>
      </c>
      <c r="W36" s="406"/>
      <c r="X36" s="406"/>
      <c r="Y36" s="406"/>
      <c r="Z36" s="407" t="s">
        <v>311</v>
      </c>
      <c r="AA36" s="406"/>
      <c r="AB36" s="406"/>
      <c r="AC36" s="406"/>
      <c r="AD36" s="405" t="s">
        <v>308</v>
      </c>
      <c r="AE36" s="406"/>
      <c r="AF36" s="406"/>
      <c r="AG36" s="406"/>
      <c r="AH36" s="407" t="s">
        <v>311</v>
      </c>
      <c r="AI36" s="406"/>
      <c r="AJ36" s="406"/>
      <c r="AK36" s="406"/>
      <c r="AL36" s="196"/>
      <c r="AM36" s="459"/>
      <c r="AN36" s="194" t="s">
        <v>283</v>
      </c>
      <c r="AO36" s="198"/>
      <c r="AP36" s="344" t="s">
        <v>226</v>
      </c>
      <c r="AQ36" s="345"/>
      <c r="AR36" s="345"/>
      <c r="AS36" s="345"/>
      <c r="AT36" s="345"/>
      <c r="AU36" s="345"/>
      <c r="AV36" s="227"/>
      <c r="AW36" s="232"/>
      <c r="AX36" s="227"/>
      <c r="AY36" s="227"/>
      <c r="AZ36" s="405" t="s">
        <v>308</v>
      </c>
      <c r="BA36" s="406"/>
      <c r="BB36" s="406"/>
      <c r="BC36" s="406"/>
      <c r="BD36" s="407" t="s">
        <v>311</v>
      </c>
      <c r="BE36" s="406"/>
      <c r="BF36" s="406"/>
      <c r="BG36" s="406"/>
      <c r="BH36" s="405"/>
      <c r="BI36" s="406"/>
      <c r="BJ36" s="406"/>
      <c r="BK36" s="406"/>
      <c r="BL36" s="407"/>
      <c r="BM36" s="406"/>
      <c r="BN36" s="406"/>
      <c r="BO36" s="406"/>
      <c r="BP36" s="405"/>
      <c r="BQ36" s="406"/>
      <c r="BR36" s="406"/>
      <c r="BS36" s="406"/>
      <c r="BT36" s="407"/>
      <c r="BU36" s="406"/>
      <c r="BV36" s="406"/>
      <c r="BW36" s="406"/>
      <c r="BX36" s="196"/>
    </row>
    <row r="37" spans="1:76" ht="20.25" customHeight="1">
      <c r="A37" s="459"/>
      <c r="B37" s="194" t="s">
        <v>160</v>
      </c>
      <c r="C37" s="198"/>
      <c r="D37" s="395" t="s">
        <v>304</v>
      </c>
      <c r="E37" s="396"/>
      <c r="F37" s="396"/>
      <c r="G37" s="396"/>
      <c r="H37" s="396"/>
      <c r="I37" s="396"/>
      <c r="J37" s="275"/>
      <c r="K37" s="346" t="s">
        <v>213</v>
      </c>
      <c r="L37" s="346"/>
      <c r="M37" s="347"/>
      <c r="N37" s="373"/>
      <c r="O37" s="374"/>
      <c r="P37" s="374"/>
      <c r="Q37" s="374"/>
      <c r="R37" s="376">
        <v>2</v>
      </c>
      <c r="S37" s="374"/>
      <c r="T37" s="374"/>
      <c r="U37" s="374"/>
      <c r="V37" s="373"/>
      <c r="W37" s="374"/>
      <c r="X37" s="374"/>
      <c r="Y37" s="374"/>
      <c r="Z37" s="376">
        <v>2</v>
      </c>
      <c r="AA37" s="374"/>
      <c r="AB37" s="374"/>
      <c r="AC37" s="374"/>
      <c r="AD37" s="373"/>
      <c r="AE37" s="374"/>
      <c r="AF37" s="374"/>
      <c r="AG37" s="374"/>
      <c r="AH37" s="376">
        <v>2</v>
      </c>
      <c r="AI37" s="374"/>
      <c r="AJ37" s="374"/>
      <c r="AK37" s="374"/>
      <c r="AL37" s="196"/>
      <c r="AM37" s="459"/>
      <c r="AN37" s="194" t="s">
        <v>160</v>
      </c>
      <c r="AO37" s="198"/>
      <c r="AP37" s="395" t="s">
        <v>304</v>
      </c>
      <c r="AQ37" s="396"/>
      <c r="AR37" s="396"/>
      <c r="AS37" s="396"/>
      <c r="AT37" s="396"/>
      <c r="AU37" s="396"/>
      <c r="AV37" s="275"/>
      <c r="AW37" s="346" t="s">
        <v>213</v>
      </c>
      <c r="AX37" s="346"/>
      <c r="AY37" s="347"/>
      <c r="AZ37" s="373"/>
      <c r="BA37" s="374"/>
      <c r="BB37" s="374"/>
      <c r="BC37" s="374"/>
      <c r="BD37" s="376">
        <v>2</v>
      </c>
      <c r="BE37" s="374"/>
      <c r="BF37" s="374"/>
      <c r="BG37" s="374"/>
      <c r="BH37" s="373"/>
      <c r="BI37" s="374"/>
      <c r="BJ37" s="374"/>
      <c r="BK37" s="374"/>
      <c r="BL37" s="376"/>
      <c r="BM37" s="374"/>
      <c r="BN37" s="374"/>
      <c r="BO37" s="374"/>
      <c r="BP37" s="373"/>
      <c r="BQ37" s="374"/>
      <c r="BR37" s="374"/>
      <c r="BS37" s="374"/>
      <c r="BT37" s="376"/>
      <c r="BU37" s="374"/>
      <c r="BV37" s="374"/>
      <c r="BW37" s="374"/>
      <c r="BX37" s="196"/>
    </row>
    <row r="38" spans="1:76" ht="20.25" customHeight="1">
      <c r="A38" s="459"/>
      <c r="B38" s="194" t="s">
        <v>284</v>
      </c>
      <c r="C38" s="198"/>
      <c r="D38" s="395" t="s">
        <v>303</v>
      </c>
      <c r="E38" s="396"/>
      <c r="F38" s="396"/>
      <c r="G38" s="396"/>
      <c r="H38" s="396"/>
      <c r="I38" s="396"/>
      <c r="J38" s="275"/>
      <c r="K38" s="346" t="s">
        <v>213</v>
      </c>
      <c r="L38" s="346"/>
      <c r="M38" s="347"/>
      <c r="N38" s="498" t="str">
        <f>IF(N37="","",N31+2*N37)</f>
        <v/>
      </c>
      <c r="O38" s="496"/>
      <c r="P38" s="496"/>
      <c r="Q38" s="496"/>
      <c r="R38" s="495">
        <f t="shared" ref="R38" si="8">IF(R37="","",R31+2*R37)</f>
        <v>14.75</v>
      </c>
      <c r="S38" s="495"/>
      <c r="T38" s="495"/>
      <c r="U38" s="499"/>
      <c r="V38" s="500" t="str">
        <f t="shared" ref="V38" si="9">IF(V37="","",V31+2*V37)</f>
        <v/>
      </c>
      <c r="W38" s="495"/>
      <c r="X38" s="495"/>
      <c r="Y38" s="495"/>
      <c r="Z38" s="495">
        <f t="shared" ref="Z38" si="10">IF(Z37="","",Z31+2*Z37)</f>
        <v>14.75</v>
      </c>
      <c r="AA38" s="495"/>
      <c r="AB38" s="495"/>
      <c r="AC38" s="501"/>
      <c r="AD38" s="494" t="str">
        <f t="shared" ref="AD38" si="11">IF(AD37="","",AD31+2*AD37)</f>
        <v/>
      </c>
      <c r="AE38" s="495"/>
      <c r="AF38" s="495"/>
      <c r="AG38" s="495"/>
      <c r="AH38" s="496">
        <f t="shared" ref="AH38" si="12">IF(AH37="","",AH31+2*AH37)</f>
        <v>14.75</v>
      </c>
      <c r="AI38" s="496"/>
      <c r="AJ38" s="496"/>
      <c r="AK38" s="497"/>
      <c r="AL38" s="196"/>
      <c r="AM38" s="459"/>
      <c r="AN38" s="194" t="s">
        <v>284</v>
      </c>
      <c r="AO38" s="198"/>
      <c r="AP38" s="395" t="s">
        <v>303</v>
      </c>
      <c r="AQ38" s="396"/>
      <c r="AR38" s="396"/>
      <c r="AS38" s="396"/>
      <c r="AT38" s="396"/>
      <c r="AU38" s="396"/>
      <c r="AV38" s="275"/>
      <c r="AW38" s="346" t="s">
        <v>213</v>
      </c>
      <c r="AX38" s="346"/>
      <c r="AY38" s="347"/>
      <c r="AZ38" s="498" t="str">
        <f>IF(AZ37="","",AZ31+2*AZ37)</f>
        <v/>
      </c>
      <c r="BA38" s="496"/>
      <c r="BB38" s="496"/>
      <c r="BC38" s="496"/>
      <c r="BD38" s="495">
        <f t="shared" ref="BD38" si="13">IF(BD37="","",BD31+2*BD37)</f>
        <v>14.75</v>
      </c>
      <c r="BE38" s="495"/>
      <c r="BF38" s="495"/>
      <c r="BG38" s="499"/>
      <c r="BH38" s="500" t="str">
        <f t="shared" ref="BH38" si="14">IF(BH37="","",BH31+2*BH37)</f>
        <v/>
      </c>
      <c r="BI38" s="495"/>
      <c r="BJ38" s="495"/>
      <c r="BK38" s="495"/>
      <c r="BL38" s="495" t="str">
        <f t="shared" ref="BL38" si="15">IF(BL37="","",BL31+2*BL37)</f>
        <v/>
      </c>
      <c r="BM38" s="495"/>
      <c r="BN38" s="495"/>
      <c r="BO38" s="501"/>
      <c r="BP38" s="494" t="str">
        <f t="shared" ref="BP38" si="16">IF(BP37="","",BP31+2*BP37)</f>
        <v/>
      </c>
      <c r="BQ38" s="495"/>
      <c r="BR38" s="495"/>
      <c r="BS38" s="495"/>
      <c r="BT38" s="496" t="str">
        <f t="shared" ref="BT38" si="17">IF(BT37="","",BT31+2*BT37)</f>
        <v/>
      </c>
      <c r="BU38" s="496"/>
      <c r="BV38" s="496"/>
      <c r="BW38" s="497"/>
      <c r="BX38" s="196"/>
    </row>
    <row r="39" spans="1:76" ht="20.25" customHeight="1">
      <c r="A39" s="459"/>
      <c r="B39" s="194" t="s">
        <v>161</v>
      </c>
      <c r="C39" s="198"/>
      <c r="D39" s="362" t="s">
        <v>307</v>
      </c>
      <c r="E39" s="363"/>
      <c r="F39" s="363"/>
      <c r="G39" s="363"/>
      <c r="H39" s="363"/>
      <c r="I39" s="363"/>
      <c r="J39" s="273"/>
      <c r="K39" s="364"/>
      <c r="L39" s="364"/>
      <c r="M39" s="364"/>
      <c r="N39" s="365"/>
      <c r="O39" s="365"/>
      <c r="P39" s="365"/>
      <c r="Q39" s="365"/>
      <c r="R39" s="365"/>
      <c r="S39" s="365"/>
      <c r="T39" s="365"/>
      <c r="U39" s="365"/>
      <c r="V39" s="366"/>
      <c r="W39" s="365"/>
      <c r="X39" s="365"/>
      <c r="Y39" s="365"/>
      <c r="Z39" s="365"/>
      <c r="AA39" s="365"/>
      <c r="AB39" s="365"/>
      <c r="AC39" s="367"/>
      <c r="AD39" s="365"/>
      <c r="AE39" s="365"/>
      <c r="AF39" s="365"/>
      <c r="AG39" s="365"/>
      <c r="AH39" s="365"/>
      <c r="AI39" s="365"/>
      <c r="AJ39" s="365"/>
      <c r="AK39" s="368"/>
      <c r="AL39" s="196"/>
      <c r="AM39" s="459"/>
      <c r="AN39" s="194" t="s">
        <v>161</v>
      </c>
      <c r="AO39" s="198"/>
      <c r="AP39" s="362" t="s">
        <v>307</v>
      </c>
      <c r="AQ39" s="363"/>
      <c r="AR39" s="363"/>
      <c r="AS39" s="363"/>
      <c r="AT39" s="363"/>
      <c r="AU39" s="363"/>
      <c r="AV39" s="273"/>
      <c r="AW39" s="364"/>
      <c r="AX39" s="364"/>
      <c r="AY39" s="364"/>
      <c r="AZ39" s="365"/>
      <c r="BA39" s="365"/>
      <c r="BB39" s="365"/>
      <c r="BC39" s="365"/>
      <c r="BD39" s="365"/>
      <c r="BE39" s="365"/>
      <c r="BF39" s="365"/>
      <c r="BG39" s="365"/>
      <c r="BH39" s="366"/>
      <c r="BI39" s="365"/>
      <c r="BJ39" s="365"/>
      <c r="BK39" s="365"/>
      <c r="BL39" s="365"/>
      <c r="BM39" s="365"/>
      <c r="BN39" s="365"/>
      <c r="BO39" s="367"/>
      <c r="BP39" s="365"/>
      <c r="BQ39" s="365"/>
      <c r="BR39" s="365"/>
      <c r="BS39" s="365"/>
      <c r="BT39" s="365"/>
      <c r="BU39" s="365"/>
      <c r="BV39" s="365"/>
      <c r="BW39" s="368"/>
      <c r="BX39" s="196"/>
    </row>
    <row r="40" spans="1:76" ht="20.25" customHeight="1">
      <c r="A40" s="459"/>
      <c r="B40" s="194" t="s">
        <v>162</v>
      </c>
      <c r="C40" s="198"/>
      <c r="D40" s="243" t="s">
        <v>262</v>
      </c>
      <c r="E40" s="244"/>
      <c r="F40" s="244"/>
      <c r="G40" s="244"/>
      <c r="H40" s="244"/>
      <c r="I40" s="244"/>
      <c r="J40" s="244"/>
      <c r="K40" s="245"/>
      <c r="L40" s="245"/>
      <c r="M40" s="245"/>
      <c r="N40" s="246"/>
      <c r="O40" s="246"/>
      <c r="P40" s="246"/>
      <c r="Q40" s="246"/>
      <c r="R40" s="246"/>
      <c r="S40" s="246"/>
      <c r="T40" s="246"/>
      <c r="U40" s="246"/>
      <c r="V40" s="280"/>
      <c r="W40" s="246"/>
      <c r="X40" s="246"/>
      <c r="Y40" s="246"/>
      <c r="Z40" s="246"/>
      <c r="AA40" s="246"/>
      <c r="AB40" s="246"/>
      <c r="AC40" s="281"/>
      <c r="AD40" s="246"/>
      <c r="AE40" s="246"/>
      <c r="AF40" s="246"/>
      <c r="AG40" s="246"/>
      <c r="AH40" s="246"/>
      <c r="AI40" s="246"/>
      <c r="AJ40" s="246"/>
      <c r="AK40" s="246"/>
      <c r="AL40" s="196"/>
      <c r="AM40" s="459"/>
      <c r="AN40" s="194" t="s">
        <v>162</v>
      </c>
      <c r="AO40" s="198"/>
      <c r="AP40" s="243" t="s">
        <v>262</v>
      </c>
      <c r="AQ40" s="244"/>
      <c r="AR40" s="244"/>
      <c r="AS40" s="244"/>
      <c r="AT40" s="244"/>
      <c r="AU40" s="244"/>
      <c r="AV40" s="244"/>
      <c r="AW40" s="245"/>
      <c r="AX40" s="245"/>
      <c r="AY40" s="245"/>
      <c r="AZ40" s="246"/>
      <c r="BA40" s="246"/>
      <c r="BB40" s="246"/>
      <c r="BC40" s="246"/>
      <c r="BD40" s="246"/>
      <c r="BE40" s="246"/>
      <c r="BF40" s="246"/>
      <c r="BG40" s="246"/>
      <c r="BH40" s="280"/>
      <c r="BI40" s="246"/>
      <c r="BJ40" s="246"/>
      <c r="BK40" s="246"/>
      <c r="BL40" s="246"/>
      <c r="BM40" s="246"/>
      <c r="BN40" s="246"/>
      <c r="BO40" s="281"/>
      <c r="BP40" s="246"/>
      <c r="BQ40" s="246"/>
      <c r="BR40" s="246"/>
      <c r="BS40" s="246"/>
      <c r="BT40" s="246"/>
      <c r="BU40" s="246"/>
      <c r="BV40" s="246"/>
      <c r="BW40" s="246"/>
      <c r="BX40" s="196"/>
    </row>
    <row r="41" spans="1:76" ht="20.25" customHeight="1">
      <c r="A41" s="459"/>
      <c r="B41" s="194" t="s">
        <v>285</v>
      </c>
      <c r="C41" s="198"/>
      <c r="D41" s="344" t="s">
        <v>224</v>
      </c>
      <c r="E41" s="345"/>
      <c r="F41" s="345"/>
      <c r="G41" s="345"/>
      <c r="H41" s="345"/>
      <c r="I41" s="345"/>
      <c r="J41" s="264"/>
      <c r="K41" s="346"/>
      <c r="L41" s="346"/>
      <c r="M41" s="347"/>
      <c r="N41" s="385">
        <f>IF(OR(N27="BARE",N27="BURIED"),IF(N33="","",IF(N33="HORIZONTAL",1.016,1.235)),"")</f>
        <v>1.016</v>
      </c>
      <c r="O41" s="386"/>
      <c r="P41" s="386"/>
      <c r="Q41" s="386"/>
      <c r="R41" s="387">
        <f t="shared" ref="R41" si="18">IF(OR(R27="BARE",R27="BURIED"),IF(R33="","",IF(R33="HORIZONTAL",1.016,1.235)),"")</f>
        <v>1.016</v>
      </c>
      <c r="S41" s="387"/>
      <c r="T41" s="387"/>
      <c r="U41" s="388"/>
      <c r="V41" s="385">
        <f>IF(OR(V27="BARE",V27="BURIED"),IF(V33="","",IF(V33="HORIZONTAL",1.016,1.235)),"")</f>
        <v>1.016</v>
      </c>
      <c r="W41" s="386"/>
      <c r="X41" s="386"/>
      <c r="Y41" s="386"/>
      <c r="Z41" s="387">
        <f t="shared" ref="Z41" si="19">IF(OR(Z27="BARE",Z27="BURIED"),IF(Z33="","",IF(Z33="HORIZONTAL",1.016,1.235)),"")</f>
        <v>1.016</v>
      </c>
      <c r="AA41" s="387"/>
      <c r="AB41" s="387"/>
      <c r="AC41" s="388"/>
      <c r="AD41" s="389">
        <f t="shared" ref="AD41" si="20">IF(OR(AD27="BARE",AD27="BURIED"),IF(AD33="","",IF(AD33="HORIZONTAL",1.016,1.235)),"")</f>
        <v>1.016</v>
      </c>
      <c r="AE41" s="387"/>
      <c r="AF41" s="387"/>
      <c r="AG41" s="387"/>
      <c r="AH41" s="386">
        <f t="shared" ref="AH41" si="21">IF(OR(AH27="BARE",AH27="BURIED"),IF(AH33="","",IF(AH33="HORIZONTAL",1.016,1.235)),"")</f>
        <v>1.016</v>
      </c>
      <c r="AI41" s="386"/>
      <c r="AJ41" s="386"/>
      <c r="AK41" s="386"/>
      <c r="AL41" s="196"/>
      <c r="AM41" s="459"/>
      <c r="AN41" s="194" t="s">
        <v>285</v>
      </c>
      <c r="AO41" s="198"/>
      <c r="AP41" s="344" t="s">
        <v>224</v>
      </c>
      <c r="AQ41" s="345"/>
      <c r="AR41" s="345"/>
      <c r="AS41" s="345"/>
      <c r="AT41" s="345"/>
      <c r="AU41" s="345"/>
      <c r="AV41" s="264"/>
      <c r="AW41" s="346"/>
      <c r="AX41" s="346"/>
      <c r="AY41" s="347"/>
      <c r="AZ41" s="385">
        <f>IF(OR(AZ27="BARE",AZ27="BURIED"),IF(AZ33="","",IF(AZ33="HORIZONTAL",1.016,1.235)),"")</f>
        <v>1.016</v>
      </c>
      <c r="BA41" s="386"/>
      <c r="BB41" s="386"/>
      <c r="BC41" s="386"/>
      <c r="BD41" s="387">
        <f t="shared" ref="BD41" si="22">IF(OR(BD27="BARE",BD27="BURIED"),IF(BD33="","",IF(BD33="HORIZONTAL",1.016,1.235)),"")</f>
        <v>1.016</v>
      </c>
      <c r="BE41" s="387"/>
      <c r="BF41" s="387"/>
      <c r="BG41" s="388"/>
      <c r="BH41" s="385" t="str">
        <f>IF(OR(BH27="BARE",BH27="BURIED"),IF(BH33="","",IF(BH33="HORIZONTAL",1.016,1.235)),"")</f>
        <v/>
      </c>
      <c r="BI41" s="386"/>
      <c r="BJ41" s="386"/>
      <c r="BK41" s="386"/>
      <c r="BL41" s="387" t="str">
        <f t="shared" ref="BL41" si="23">IF(OR(BL27="BARE",BL27="BURIED"),IF(BL33="","",IF(BL33="HORIZONTAL",1.016,1.235)),"")</f>
        <v/>
      </c>
      <c r="BM41" s="387"/>
      <c r="BN41" s="387"/>
      <c r="BO41" s="388"/>
      <c r="BP41" s="389" t="str">
        <f t="shared" ref="BP41" si="24">IF(OR(BP27="BARE",BP27="BURIED"),IF(BP33="","",IF(BP33="HORIZONTAL",1.016,1.235)),"")</f>
        <v/>
      </c>
      <c r="BQ41" s="387"/>
      <c r="BR41" s="387"/>
      <c r="BS41" s="387"/>
      <c r="BT41" s="386" t="str">
        <f t="shared" ref="BT41" si="25">IF(OR(BT27="BARE",BT27="BURIED"),IF(BT33="","",IF(BT33="HORIZONTAL",1.016,1.235)),"")</f>
        <v/>
      </c>
      <c r="BU41" s="386"/>
      <c r="BV41" s="386"/>
      <c r="BW41" s="386"/>
      <c r="BX41" s="196"/>
    </row>
    <row r="42" spans="1:76" ht="20.25" customHeight="1">
      <c r="A42" s="459"/>
      <c r="B42" s="194" t="s">
        <v>286</v>
      </c>
      <c r="C42" s="198"/>
      <c r="D42" s="344" t="s">
        <v>225</v>
      </c>
      <c r="E42" s="345"/>
      <c r="F42" s="345"/>
      <c r="G42" s="345"/>
      <c r="H42" s="345"/>
      <c r="I42" s="345"/>
      <c r="J42" s="264"/>
      <c r="K42" s="265"/>
      <c r="L42" s="265"/>
      <c r="M42" s="266"/>
      <c r="N42" s="348">
        <f>IF(OR(N27="BARE",N27="BURIED"),IF(N41="","",VLOOKUP(N35,EM_1,3,0)),"")</f>
        <v>0.8</v>
      </c>
      <c r="O42" s="349"/>
      <c r="P42" s="349"/>
      <c r="Q42" s="349"/>
      <c r="R42" s="370">
        <f>IF(OR(R27="BARE",R27="BURIED"),IF(R41="","",VLOOKUP(R35,EM_1,3,0)),"")</f>
        <v>0.8</v>
      </c>
      <c r="S42" s="370"/>
      <c r="T42" s="370"/>
      <c r="U42" s="355"/>
      <c r="V42" s="348">
        <f>IF(OR(V27="BARE",V27="BURIED"),IF(V41="","",VLOOKUP(V35,EM_1,3,0)),"")</f>
        <v>0.8</v>
      </c>
      <c r="W42" s="349"/>
      <c r="X42" s="349"/>
      <c r="Y42" s="349"/>
      <c r="Z42" s="370">
        <f>IF(OR(Z27="BARE",Z27="BURIED"),IF(Z41="","",VLOOKUP(Z35,EM_1,3,0)),"")</f>
        <v>0.8</v>
      </c>
      <c r="AA42" s="370"/>
      <c r="AB42" s="370"/>
      <c r="AC42" s="355"/>
      <c r="AD42" s="371">
        <f>IF(OR(AD27="BARE",AD27="BURIED"),IF(AD41="","",VLOOKUP(AD35,EM_1,3,0)),"")</f>
        <v>0.8</v>
      </c>
      <c r="AE42" s="370"/>
      <c r="AF42" s="370"/>
      <c r="AG42" s="370"/>
      <c r="AH42" s="349">
        <f>IF(OR(AH27="BARE",AH27="BURIED"),IF(AH41="","",VLOOKUP(AH35,EM_1,3,0)),"")</f>
        <v>0.8</v>
      </c>
      <c r="AI42" s="349"/>
      <c r="AJ42" s="349"/>
      <c r="AK42" s="349"/>
      <c r="AL42" s="196"/>
      <c r="AM42" s="459"/>
      <c r="AN42" s="194" t="s">
        <v>286</v>
      </c>
      <c r="AO42" s="198"/>
      <c r="AP42" s="344" t="s">
        <v>225</v>
      </c>
      <c r="AQ42" s="345"/>
      <c r="AR42" s="345"/>
      <c r="AS42" s="345"/>
      <c r="AT42" s="345"/>
      <c r="AU42" s="345"/>
      <c r="AV42" s="264"/>
      <c r="AW42" s="265"/>
      <c r="AX42" s="265"/>
      <c r="AY42" s="266"/>
      <c r="AZ42" s="348">
        <f>IF(OR(AZ27="BARE",AZ27="BURIED"),IF(AZ41="","",VLOOKUP(AZ35,EM_1,3,0)),"")</f>
        <v>0.8</v>
      </c>
      <c r="BA42" s="349"/>
      <c r="BB42" s="349"/>
      <c r="BC42" s="349"/>
      <c r="BD42" s="370">
        <f>IF(OR(BD27="BARE",BD27="BURIED"),IF(BD41="","",VLOOKUP(BD35,EM_1,3,0)),"")</f>
        <v>0.8</v>
      </c>
      <c r="BE42" s="370"/>
      <c r="BF42" s="370"/>
      <c r="BG42" s="355"/>
      <c r="BH42" s="348" t="str">
        <f>IF(OR(BH27="BARE",BH27="BURIED"),IF(BH41="","",VLOOKUP(BH35,EM_1,3,0)),"")</f>
        <v/>
      </c>
      <c r="BI42" s="349"/>
      <c r="BJ42" s="349"/>
      <c r="BK42" s="349"/>
      <c r="BL42" s="370" t="str">
        <f>IF(OR(BL27="BARE",BL27="BURIED"),IF(BL41="","",VLOOKUP(BL35,EM_1,3,0)),"")</f>
        <v/>
      </c>
      <c r="BM42" s="370"/>
      <c r="BN42" s="370"/>
      <c r="BO42" s="355"/>
      <c r="BP42" s="371" t="str">
        <f>IF(OR(BP27="BARE",BP27="BURIED"),IF(BP41="","",VLOOKUP(BP35,EM_1,3,0)),"")</f>
        <v/>
      </c>
      <c r="BQ42" s="370"/>
      <c r="BR42" s="370"/>
      <c r="BS42" s="370"/>
      <c r="BT42" s="349" t="str">
        <f>IF(OR(BT27="BARE",BT27="BURIED"),IF(BT41="","",VLOOKUP(BT35,EM_1,3,0)),"")</f>
        <v/>
      </c>
      <c r="BU42" s="349"/>
      <c r="BV42" s="349"/>
      <c r="BW42" s="349"/>
      <c r="BX42" s="196"/>
    </row>
    <row r="43" spans="1:76" ht="20.25" customHeight="1">
      <c r="A43" s="459"/>
      <c r="B43" s="194" t="s">
        <v>287</v>
      </c>
      <c r="C43" s="198"/>
      <c r="D43" s="344" t="s">
        <v>216</v>
      </c>
      <c r="E43" s="345"/>
      <c r="F43" s="345"/>
      <c r="G43" s="345"/>
      <c r="H43" s="345"/>
      <c r="I43" s="345"/>
      <c r="J43" s="264"/>
      <c r="K43" s="346" t="s">
        <v>215</v>
      </c>
      <c r="L43" s="346"/>
      <c r="M43" s="347"/>
      <c r="N43" s="370">
        <f>IF(OR(N27="BARE",N27="BURIED"),PIPE_K(N34,N16*1.8+32)*1.488164,"")</f>
        <v>44.383657185328588</v>
      </c>
      <c r="O43" s="370"/>
      <c r="P43" s="370"/>
      <c r="Q43" s="370"/>
      <c r="R43" s="370">
        <f>IF(OR(R27="BARE",R27="BURIED"),PIPE_K(R34,R16*1.8+32)*1.488164,"")</f>
        <v>44.395904054641441</v>
      </c>
      <c r="S43" s="370"/>
      <c r="T43" s="370"/>
      <c r="U43" s="355"/>
      <c r="V43" s="370">
        <f>IF(OR(V27="BARE",V27="BURIED"),PIPE_K(V34,V16*1.8+32)*1.488164,"")</f>
        <v>44.383657185328588</v>
      </c>
      <c r="W43" s="370"/>
      <c r="X43" s="370"/>
      <c r="Y43" s="370"/>
      <c r="Z43" s="370">
        <f>IF(OR(Z27="BARE",Z27="BURIED"),PIPE_K(Z34,Z16*1.8+32)*1.488164,"")</f>
        <v>44.402647741010007</v>
      </c>
      <c r="AA43" s="370"/>
      <c r="AB43" s="370"/>
      <c r="AC43" s="355"/>
      <c r="AD43" s="371">
        <f>IF(OR(AD27="BARE",AD27="BURIED"),PIPE_K(AD34,AD16*1.8+32)*1.488164,"")</f>
        <v>44.383657185328588</v>
      </c>
      <c r="AE43" s="370"/>
      <c r="AF43" s="370"/>
      <c r="AG43" s="370"/>
      <c r="AH43" s="370">
        <f>IF(OR(AH27="BARE",AH27="BURIED"),PIPE_K(AH34,AH16*1.8+32)*1.488164,"")</f>
        <v>44.391537879810542</v>
      </c>
      <c r="AI43" s="370"/>
      <c r="AJ43" s="370"/>
      <c r="AK43" s="370"/>
      <c r="AL43" s="196"/>
      <c r="AM43" s="459"/>
      <c r="AN43" s="194" t="s">
        <v>287</v>
      </c>
      <c r="AO43" s="198"/>
      <c r="AP43" s="344" t="s">
        <v>216</v>
      </c>
      <c r="AQ43" s="345"/>
      <c r="AR43" s="345"/>
      <c r="AS43" s="345"/>
      <c r="AT43" s="345"/>
      <c r="AU43" s="345"/>
      <c r="AV43" s="264"/>
      <c r="AW43" s="346" t="s">
        <v>215</v>
      </c>
      <c r="AX43" s="346"/>
      <c r="AY43" s="347"/>
      <c r="AZ43" s="370">
        <f>IF(OR(AZ27="BARE",AZ27="BURIED"),PIPE_K(AZ34,AZ16*1.8+32)*1.488164,"")</f>
        <v>44.383657185328588</v>
      </c>
      <c r="BA43" s="370"/>
      <c r="BB43" s="370"/>
      <c r="BC43" s="370"/>
      <c r="BD43" s="370">
        <f>IF(OR(BD27="BARE",BD27="BURIED"),PIPE_K(BD34,BD16*1.8+32)*1.488164,"")</f>
        <v>44.395657650414549</v>
      </c>
      <c r="BE43" s="370"/>
      <c r="BF43" s="370"/>
      <c r="BG43" s="355"/>
      <c r="BH43" s="370" t="str">
        <f>IF(OR(BH27="BARE",BH27="BURIED"),PIPE_K(BH34,BH16*1.8+32)*1.488164,"")</f>
        <v/>
      </c>
      <c r="BI43" s="370"/>
      <c r="BJ43" s="370"/>
      <c r="BK43" s="370"/>
      <c r="BL43" s="370" t="str">
        <f>IF(OR(BL27="BARE",BL27="BURIED"),PIPE_K(BL34,BL16*1.8+32)*1.488164,"")</f>
        <v/>
      </c>
      <c r="BM43" s="370"/>
      <c r="BN43" s="370"/>
      <c r="BO43" s="355"/>
      <c r="BP43" s="371" t="str">
        <f>IF(OR(BP27="BARE",BP27="BURIED"),PIPE_K(BP34,BP16*1.8+32)*1.488164,"")</f>
        <v/>
      </c>
      <c r="BQ43" s="370"/>
      <c r="BR43" s="370"/>
      <c r="BS43" s="370"/>
      <c r="BT43" s="370" t="str">
        <f>IF(OR(BT27="BARE",BT27="BURIED"),PIPE_K(BT34,BT16*1.8+32)*1.488164,"")</f>
        <v/>
      </c>
      <c r="BU43" s="370"/>
      <c r="BV43" s="370"/>
      <c r="BW43" s="370"/>
      <c r="BX43" s="196"/>
    </row>
    <row r="44" spans="1:76" ht="20.25" customHeight="1">
      <c r="A44" s="459"/>
      <c r="B44" s="194" t="s">
        <v>288</v>
      </c>
      <c r="C44" s="198"/>
      <c r="D44" s="344" t="s">
        <v>234</v>
      </c>
      <c r="E44" s="345"/>
      <c r="F44" s="345"/>
      <c r="G44" s="345"/>
      <c r="H44" s="345"/>
      <c r="I44" s="345"/>
      <c r="J44" s="264"/>
      <c r="K44" s="346" t="s">
        <v>215</v>
      </c>
      <c r="L44" s="346"/>
      <c r="M44" s="347"/>
      <c r="N44" s="391" t="str">
        <f>IF(OR(N27="BARE",N27="BURIED"),IF(N36="NO","",INS_K(N36,N16*1.8+32)*1.488164),"")</f>
        <v/>
      </c>
      <c r="O44" s="392"/>
      <c r="P44" s="392"/>
      <c r="Q44" s="392"/>
      <c r="R44" s="392">
        <f>IF(OR(R27="BARE",R27="BURIED"),IF(R36="NO","",INS_K(R36,R16*1.8+32)*1.488164),"")</f>
        <v>4.0392668954050075E-2</v>
      </c>
      <c r="S44" s="392"/>
      <c r="T44" s="392"/>
      <c r="U44" s="393"/>
      <c r="V44" s="391" t="str">
        <f>IF(OR(V27="BARE",V27="BURIED"),IF(V36="NO","",INS_K(V36,V16*1.8+32)*1.488164),"")</f>
        <v/>
      </c>
      <c r="W44" s="392"/>
      <c r="X44" s="392"/>
      <c r="Y44" s="392"/>
      <c r="Z44" s="392">
        <f>IF(OR(Z27="BARE",Z27="BURIED"),IF(Z36="NO","",INS_K(Z36,Z16*1.8+32)*1.488164),"")</f>
        <v>4.0351692089389463E-2</v>
      </c>
      <c r="AA44" s="392"/>
      <c r="AB44" s="392"/>
      <c r="AC44" s="393"/>
      <c r="AD44" s="391" t="str">
        <f>IF(OR(AD27="BARE",AD27="BURIED"),IF(AD36="NO","",INS_K(AD36,AD16*1.8+32)*1.488164),"")</f>
        <v/>
      </c>
      <c r="AE44" s="392"/>
      <c r="AF44" s="392"/>
      <c r="AG44" s="392"/>
      <c r="AH44" s="394">
        <f>IF(OR(AH27="BARE",AH27="BURIED"),IF(AH36="NO","",INS_K(AH36,AH16*1.8+32)*1.488164),"")</f>
        <v>4.041918679192965E-2</v>
      </c>
      <c r="AI44" s="394"/>
      <c r="AJ44" s="394"/>
      <c r="AK44" s="394"/>
      <c r="AL44" s="196"/>
      <c r="AM44" s="459"/>
      <c r="AN44" s="194" t="s">
        <v>288</v>
      </c>
      <c r="AO44" s="198"/>
      <c r="AP44" s="344" t="s">
        <v>234</v>
      </c>
      <c r="AQ44" s="345"/>
      <c r="AR44" s="345"/>
      <c r="AS44" s="345"/>
      <c r="AT44" s="345"/>
      <c r="AU44" s="345"/>
      <c r="AV44" s="264"/>
      <c r="AW44" s="346" t="s">
        <v>215</v>
      </c>
      <c r="AX44" s="346"/>
      <c r="AY44" s="347"/>
      <c r="AZ44" s="391" t="str">
        <f>IF(OR(AZ27="BARE",AZ27="BURIED"),IF(AZ36="NO","",INS_K(AZ36,AZ16*1.8+32)*1.488164),"")</f>
        <v/>
      </c>
      <c r="BA44" s="392"/>
      <c r="BB44" s="392"/>
      <c r="BC44" s="392"/>
      <c r="BD44" s="392">
        <f>IF(OR(BD27="BARE",BD27="BURIED"),IF(BD36="NO","",INS_K(BD36,BD16*1.8+32)*1.488164),"")</f>
        <v>4.0394165744119331E-2</v>
      </c>
      <c r="BE44" s="392"/>
      <c r="BF44" s="392"/>
      <c r="BG44" s="393"/>
      <c r="BH44" s="391" t="str">
        <f>IF(OR(BH27="BARE",BH27="BURIED"),IF(BH36="NO","",INS_K(BH36,BH16*1.8+32)*1.488164),"")</f>
        <v/>
      </c>
      <c r="BI44" s="392"/>
      <c r="BJ44" s="392"/>
      <c r="BK44" s="392"/>
      <c r="BL44" s="392" t="str">
        <f>IF(OR(BL27="BARE",BL27="BURIED"),IF(BL36="NO","",INS_K(BL36,BL16*1.8+32)*1.488164),"")</f>
        <v/>
      </c>
      <c r="BM44" s="392"/>
      <c r="BN44" s="392"/>
      <c r="BO44" s="393"/>
      <c r="BP44" s="391" t="str">
        <f>IF(OR(BP27="BARE",BP27="BURIED"),IF(BP36="NO","",INS_K(BP36,BP16*1.8+32)*1.488164),"")</f>
        <v/>
      </c>
      <c r="BQ44" s="392"/>
      <c r="BR44" s="392"/>
      <c r="BS44" s="392"/>
      <c r="BT44" s="394" t="str">
        <f>IF(OR(BT27="BARE",BT27="BURIED"),IF(BT36="NO","",INS_K(BT36,BT16*1.8+32)*1.488164),"")</f>
        <v/>
      </c>
      <c r="BU44" s="394"/>
      <c r="BV44" s="394"/>
      <c r="BW44" s="394"/>
      <c r="BX44" s="196"/>
    </row>
    <row r="45" spans="1:76" ht="20.25" customHeight="1">
      <c r="A45" s="459"/>
      <c r="B45" s="194" t="s">
        <v>289</v>
      </c>
      <c r="C45" s="198"/>
      <c r="D45" s="344" t="s">
        <v>223</v>
      </c>
      <c r="E45" s="345"/>
      <c r="F45" s="345"/>
      <c r="G45" s="345"/>
      <c r="H45" s="345"/>
      <c r="I45" s="345"/>
      <c r="J45" s="264"/>
      <c r="K45" s="346" t="s">
        <v>295</v>
      </c>
      <c r="L45" s="346"/>
      <c r="M45" s="347"/>
      <c r="N45" s="358">
        <f>IF(OR(N27="BARE",N27="BURIED"),ifc(N30,N31,N14/0.4536,N25,N23,N24/1.488164)*4.882431,"")</f>
        <v>405.62901212891774</v>
      </c>
      <c r="O45" s="356"/>
      <c r="P45" s="356"/>
      <c r="Q45" s="356"/>
      <c r="R45" s="356">
        <f>IF(OR(R27="BARE",R27="BURIED"),ifc(R30,R31,R14/0.4536,R25,R23,R24/1.488164)*4.882431,"")</f>
        <v>271.28953906453489</v>
      </c>
      <c r="S45" s="356"/>
      <c r="T45" s="356"/>
      <c r="U45" s="357"/>
      <c r="V45" s="358">
        <f>IF(OR(V27="BARE",V27="BURIED"),ifc(V30,V31,V14/0.4536,V25,V23,V24/1.488164)*4.882431,"")</f>
        <v>405.62901212891774</v>
      </c>
      <c r="W45" s="356"/>
      <c r="X45" s="356"/>
      <c r="Y45" s="356"/>
      <c r="Z45" s="356">
        <f>IF(OR(Z27="BARE",Z27="BURIED"),ifc(Z30,Z31,Z14/0.4536,Z25,Z23,Z24/1.488164)*4.882431,"")</f>
        <v>271.28953906453489</v>
      </c>
      <c r="AA45" s="356"/>
      <c r="AB45" s="356"/>
      <c r="AC45" s="357"/>
      <c r="AD45" s="358">
        <f>IF(OR(AD27="BARE",AD27="BURIED"),ifc(AD30,AD31,AD14/0.4536,AD25,AD23,AD24/1.488164)*4.882431,"")</f>
        <v>405.62901212891774</v>
      </c>
      <c r="AE45" s="356"/>
      <c r="AF45" s="356"/>
      <c r="AG45" s="356"/>
      <c r="AH45" s="361">
        <f>IF(OR(AH27="BARE",AH27="BURIED"),ifc(AH30,AH31,AH14/0.4536,AH25,AH23,AH24/1.488164)*4.882431,"")</f>
        <v>271.28953906453489</v>
      </c>
      <c r="AI45" s="361"/>
      <c r="AJ45" s="361"/>
      <c r="AK45" s="361"/>
      <c r="AL45" s="196"/>
      <c r="AM45" s="459"/>
      <c r="AN45" s="194" t="s">
        <v>289</v>
      </c>
      <c r="AO45" s="198"/>
      <c r="AP45" s="344" t="s">
        <v>223</v>
      </c>
      <c r="AQ45" s="345"/>
      <c r="AR45" s="345"/>
      <c r="AS45" s="345"/>
      <c r="AT45" s="345"/>
      <c r="AU45" s="345"/>
      <c r="AV45" s="264"/>
      <c r="AW45" s="346" t="s">
        <v>295</v>
      </c>
      <c r="AX45" s="346"/>
      <c r="AY45" s="347"/>
      <c r="AZ45" s="358">
        <f>IF(OR(AZ27="BARE",AZ27="BURIED"),ifc(AZ30,AZ31,AZ14/0.4536,AZ25,AZ23,AZ24/1.488164)*4.882431,"")</f>
        <v>405.62901212891774</v>
      </c>
      <c r="BA45" s="356"/>
      <c r="BB45" s="356"/>
      <c r="BC45" s="356"/>
      <c r="BD45" s="356">
        <f>IF(OR(BD27="BARE",BD27="BURIED"),ifc(BD30,BD31,BD14/0.4536,BD25,BD23,BD24/1.488164)*4.882431,"")</f>
        <v>271.28953906453489</v>
      </c>
      <c r="BE45" s="356"/>
      <c r="BF45" s="356"/>
      <c r="BG45" s="357"/>
      <c r="BH45" s="358" t="str">
        <f>IF(OR(BH27="BARE",BH27="BURIED"),ifc(BH30,BH31,BH14/0.4536,BH25,BH23,BH24/1.488164)*4.882431,"")</f>
        <v/>
      </c>
      <c r="BI45" s="356"/>
      <c r="BJ45" s="356"/>
      <c r="BK45" s="356"/>
      <c r="BL45" s="356" t="str">
        <f>IF(OR(BL27="BARE",BL27="BURIED"),ifc(BL30,BL31,BL14/0.4536,BL25,BL23,BL24/1.488164)*4.882431,"")</f>
        <v/>
      </c>
      <c r="BM45" s="356"/>
      <c r="BN45" s="356"/>
      <c r="BO45" s="357"/>
      <c r="BP45" s="358" t="str">
        <f>IF(OR(BP27="BARE",BP27="BURIED"),ifc(BP30,BP31,BP14/0.4536,BP25,BP23,BP24/1.488164)*4.882431,"")</f>
        <v/>
      </c>
      <c r="BQ45" s="356"/>
      <c r="BR45" s="356"/>
      <c r="BS45" s="356"/>
      <c r="BT45" s="361" t="str">
        <f>IF(OR(BT27="BARE",BT27="BURIED"),ifc(BT30,BT31,BT14/0.4536,BT25,BT23,BT24/1.488164)*4.882431,"")</f>
        <v/>
      </c>
      <c r="BU45" s="361"/>
      <c r="BV45" s="361"/>
      <c r="BW45" s="361"/>
      <c r="BX45" s="196"/>
    </row>
    <row r="46" spans="1:76" ht="20.25" customHeight="1">
      <c r="A46" s="459"/>
      <c r="B46" s="194" t="s">
        <v>163</v>
      </c>
      <c r="C46" s="198"/>
      <c r="D46" s="243" t="s">
        <v>263</v>
      </c>
      <c r="E46" s="244"/>
      <c r="F46" s="244"/>
      <c r="G46" s="244"/>
      <c r="H46" s="244"/>
      <c r="I46" s="244"/>
      <c r="J46" s="244"/>
      <c r="K46" s="245"/>
      <c r="L46" s="245"/>
      <c r="M46" s="245"/>
      <c r="N46" s="246"/>
      <c r="O46" s="246"/>
      <c r="P46" s="246"/>
      <c r="Q46" s="246"/>
      <c r="R46" s="246"/>
      <c r="S46" s="246"/>
      <c r="T46" s="246"/>
      <c r="U46" s="246"/>
      <c r="V46" s="246"/>
      <c r="W46" s="246"/>
      <c r="X46" s="246"/>
      <c r="Y46" s="246"/>
      <c r="Z46" s="246"/>
      <c r="AA46" s="246"/>
      <c r="AB46" s="246"/>
      <c r="AC46" s="246"/>
      <c r="AD46" s="280"/>
      <c r="AE46" s="246"/>
      <c r="AF46" s="246"/>
      <c r="AG46" s="246"/>
      <c r="AH46" s="246"/>
      <c r="AI46" s="246"/>
      <c r="AJ46" s="246"/>
      <c r="AK46" s="246"/>
      <c r="AL46" s="196"/>
      <c r="AM46" s="459"/>
      <c r="AN46" s="194" t="s">
        <v>163</v>
      </c>
      <c r="AO46" s="198"/>
      <c r="AP46" s="243" t="s">
        <v>263</v>
      </c>
      <c r="AQ46" s="244"/>
      <c r="AR46" s="244"/>
      <c r="AS46" s="244"/>
      <c r="AT46" s="244"/>
      <c r="AU46" s="244"/>
      <c r="AV46" s="244"/>
      <c r="AW46" s="245"/>
      <c r="AX46" s="245"/>
      <c r="AY46" s="245"/>
      <c r="AZ46" s="246"/>
      <c r="BA46" s="246"/>
      <c r="BB46" s="246"/>
      <c r="BC46" s="246"/>
      <c r="BD46" s="246"/>
      <c r="BE46" s="246"/>
      <c r="BF46" s="246"/>
      <c r="BG46" s="246"/>
      <c r="BH46" s="246"/>
      <c r="BI46" s="246"/>
      <c r="BJ46" s="246"/>
      <c r="BK46" s="246"/>
      <c r="BL46" s="246"/>
      <c r="BM46" s="246"/>
      <c r="BN46" s="246"/>
      <c r="BO46" s="246"/>
      <c r="BP46" s="280"/>
      <c r="BQ46" s="246"/>
      <c r="BR46" s="246"/>
      <c r="BS46" s="246"/>
      <c r="BT46" s="246"/>
      <c r="BU46" s="246"/>
      <c r="BV46" s="246"/>
      <c r="BW46" s="246"/>
      <c r="BX46" s="196"/>
    </row>
    <row r="47" spans="1:76" ht="20.25" customHeight="1">
      <c r="A47" s="459"/>
      <c r="B47" s="194" t="s">
        <v>290</v>
      </c>
      <c r="C47" s="198"/>
      <c r="D47" s="344" t="s">
        <v>264</v>
      </c>
      <c r="E47" s="345"/>
      <c r="F47" s="345"/>
      <c r="G47" s="345"/>
      <c r="H47" s="345"/>
      <c r="I47" s="345"/>
      <c r="J47" s="264"/>
      <c r="K47" s="346" t="s">
        <v>295</v>
      </c>
      <c r="L47" s="346"/>
      <c r="M47" s="347"/>
      <c r="N47" s="385">
        <f>IF(N27="BARE",N48+N49,"")</f>
        <v>11.867769957095604</v>
      </c>
      <c r="O47" s="386"/>
      <c r="P47" s="386"/>
      <c r="Q47" s="386"/>
      <c r="R47" s="387">
        <f t="shared" ref="R47" si="26">IF(R27="BARE",R48+R49,"")</f>
        <v>11.459930577366899</v>
      </c>
      <c r="S47" s="387"/>
      <c r="T47" s="387"/>
      <c r="U47" s="388"/>
      <c r="V47" s="385">
        <f>IF(V27="BARE",V48+V49,"")</f>
        <v>19.10215891827341</v>
      </c>
      <c r="W47" s="386"/>
      <c r="X47" s="386"/>
      <c r="Y47" s="386"/>
      <c r="Z47" s="387">
        <f t="shared" ref="Z47" si="27">IF(Z27="BARE",Z48+Z49,"")</f>
        <v>18.227938385345194</v>
      </c>
      <c r="AA47" s="387"/>
      <c r="AB47" s="387"/>
      <c r="AC47" s="388"/>
      <c r="AD47" s="389">
        <f t="shared" ref="AD47" si="28">IF(AD27="BARE",AD48+AD49,"")</f>
        <v>11.224434424675504</v>
      </c>
      <c r="AE47" s="387"/>
      <c r="AF47" s="387"/>
      <c r="AG47" s="387"/>
      <c r="AH47" s="386">
        <f t="shared" ref="AH47" si="29">IF(AH27="BARE",AH48+AH49,"")</f>
        <v>10.86534107650966</v>
      </c>
      <c r="AI47" s="386"/>
      <c r="AJ47" s="386"/>
      <c r="AK47" s="390"/>
      <c r="AL47" s="196"/>
      <c r="AM47" s="459"/>
      <c r="AN47" s="194" t="s">
        <v>290</v>
      </c>
      <c r="AO47" s="198"/>
      <c r="AP47" s="344" t="s">
        <v>264</v>
      </c>
      <c r="AQ47" s="345"/>
      <c r="AR47" s="345"/>
      <c r="AS47" s="345"/>
      <c r="AT47" s="345"/>
      <c r="AU47" s="345"/>
      <c r="AV47" s="264"/>
      <c r="AW47" s="346" t="s">
        <v>295</v>
      </c>
      <c r="AX47" s="346"/>
      <c r="AY47" s="347"/>
      <c r="AZ47" s="385">
        <f>IF(AZ27="BARE",AZ48+AZ49,"")</f>
        <v>17.675241861235484</v>
      </c>
      <c r="BA47" s="386"/>
      <c r="BB47" s="386"/>
      <c r="BC47" s="386"/>
      <c r="BD47" s="387">
        <f t="shared" ref="BD47" si="30">IF(BD27="BARE",BD48+BD49,"")</f>
        <v>16.90609671098326</v>
      </c>
      <c r="BE47" s="387"/>
      <c r="BF47" s="387"/>
      <c r="BG47" s="388"/>
      <c r="BH47" s="385" t="str">
        <f>IF(BH27="BARE",BH48+BH49,"")</f>
        <v/>
      </c>
      <c r="BI47" s="386"/>
      <c r="BJ47" s="386"/>
      <c r="BK47" s="386"/>
      <c r="BL47" s="387" t="str">
        <f t="shared" ref="BL47" si="31">IF(BL27="BARE",BL48+BL49,"")</f>
        <v/>
      </c>
      <c r="BM47" s="387"/>
      <c r="BN47" s="387"/>
      <c r="BO47" s="388"/>
      <c r="BP47" s="389" t="str">
        <f t="shared" ref="BP47" si="32">IF(BP27="BARE",BP48+BP49,"")</f>
        <v/>
      </c>
      <c r="BQ47" s="387"/>
      <c r="BR47" s="387"/>
      <c r="BS47" s="387"/>
      <c r="BT47" s="386" t="str">
        <f t="shared" ref="BT47" si="33">IF(BT27="BARE",BT48+BT49,"")</f>
        <v/>
      </c>
      <c r="BU47" s="386"/>
      <c r="BV47" s="386"/>
      <c r="BW47" s="390"/>
      <c r="BX47" s="196"/>
    </row>
    <row r="48" spans="1:76" ht="20.25" customHeight="1">
      <c r="A48" s="459"/>
      <c r="B48" s="194" t="s">
        <v>164</v>
      </c>
      <c r="C48" s="198"/>
      <c r="D48" s="383" t="s">
        <v>265</v>
      </c>
      <c r="E48" s="384"/>
      <c r="F48" s="384"/>
      <c r="G48" s="384"/>
      <c r="H48" s="384"/>
      <c r="I48" s="384"/>
      <c r="J48" s="267"/>
      <c r="K48" s="346" t="s">
        <v>295</v>
      </c>
      <c r="L48" s="346"/>
      <c r="M48" s="347"/>
      <c r="N48" s="385">
        <f>IF(N27="BARE",_xludf.csc(N41,N31,N19*1.8+32,N17*1.8+32,N20*3600/1600)*4.882431,"")</f>
        <v>7.3606045772766189</v>
      </c>
      <c r="O48" s="386"/>
      <c r="P48" s="386"/>
      <c r="Q48" s="386"/>
      <c r="R48" s="387">
        <f>IF(R27="BARE",_xludf.csc(R41,R31,R19*1.8+32,R17*1.8+32,R20*3600/1600)*4.882431,"")</f>
        <v>6.9730975923774876</v>
      </c>
      <c r="S48" s="387"/>
      <c r="T48" s="387"/>
      <c r="U48" s="388"/>
      <c r="V48" s="385">
        <f>IF(V27="BARE",_xludf.csc(V41,V31,V19*1.8+32,V17*1.8+32,V20*3600/1600)*4.882431,"")</f>
        <v>14.603119960457734</v>
      </c>
      <c r="W48" s="386"/>
      <c r="X48" s="386"/>
      <c r="Y48" s="386"/>
      <c r="Z48" s="387">
        <f>IF(Z27="BARE",_xludf.csc(Z41,Z31,Z19*1.8+32,Z17*1.8+32,Z20*3600/1600)*4.882431,"")</f>
        <v>13.759186749419205</v>
      </c>
      <c r="AA48" s="387"/>
      <c r="AB48" s="387"/>
      <c r="AC48" s="388"/>
      <c r="AD48" s="389">
        <f>IF(AD27="BARE",_xludf.csc(AD41,AD31,AD19*1.8+32,AD17*1.8+32,AD20*3600/1600)*4.882431,"")</f>
        <v>6.5592635353349218</v>
      </c>
      <c r="AE48" s="387"/>
      <c r="AF48" s="387"/>
      <c r="AG48" s="387"/>
      <c r="AH48" s="386">
        <f>IF(AH27="BARE",_xludf.csc(AH41,AH31,AH19*1.8+32,AH17*1.8+32,AH20*3600/1600)*4.882431,"")</f>
        <v>6.2135333385358802</v>
      </c>
      <c r="AI48" s="386"/>
      <c r="AJ48" s="386"/>
      <c r="AK48" s="390"/>
      <c r="AL48" s="200"/>
      <c r="AM48" s="459"/>
      <c r="AN48" s="194" t="s">
        <v>164</v>
      </c>
      <c r="AO48" s="198"/>
      <c r="AP48" s="383" t="s">
        <v>265</v>
      </c>
      <c r="AQ48" s="384"/>
      <c r="AR48" s="384"/>
      <c r="AS48" s="384"/>
      <c r="AT48" s="384"/>
      <c r="AU48" s="384"/>
      <c r="AV48" s="267"/>
      <c r="AW48" s="346" t="s">
        <v>295</v>
      </c>
      <c r="AX48" s="346"/>
      <c r="AY48" s="347"/>
      <c r="AZ48" s="385">
        <f>IF(AZ27="BARE",_xludf.csc(AZ41,AZ31,AZ19*1.8+32,AZ17*1.8+32,AZ20*3600/1600)*4.882431,"")</f>
        <v>13.015175971117859</v>
      </c>
      <c r="BA48" s="386"/>
      <c r="BB48" s="386"/>
      <c r="BC48" s="386"/>
      <c r="BD48" s="387">
        <f>IF(BD27="BARE",_xludf.csc(BD41,BD31,BD19*1.8+32,BD17*1.8+32,BD20*3600/1600)*4.882431,"")</f>
        <v>12.265634625550524</v>
      </c>
      <c r="BE48" s="387"/>
      <c r="BF48" s="387"/>
      <c r="BG48" s="388"/>
      <c r="BH48" s="385" t="str">
        <f>IF(BH27="BARE",_xludf.csc(BH41,BH31,BH19*1.8+32,BH17*1.8+32,BH20*3600/1600)*4.882431,"")</f>
        <v/>
      </c>
      <c r="BI48" s="386"/>
      <c r="BJ48" s="386"/>
      <c r="BK48" s="386"/>
      <c r="BL48" s="387" t="str">
        <f>IF(BL27="BARE",_xludf.csc(BL41,BL31,BL19*1.8+32,BL17*1.8+32,BL20*3600/1600)*4.882431,"")</f>
        <v/>
      </c>
      <c r="BM48" s="387"/>
      <c r="BN48" s="387"/>
      <c r="BO48" s="388"/>
      <c r="BP48" s="389" t="str">
        <f>IF(BP27="BARE",_xludf.csc(BP41,BP31,BP19*1.8+32,BP17*1.8+32,BP20*3600/1600)*4.882431,"")</f>
        <v/>
      </c>
      <c r="BQ48" s="387"/>
      <c r="BR48" s="387"/>
      <c r="BS48" s="387"/>
      <c r="BT48" s="386" t="str">
        <f>IF(BT27="BARE",_xludf.csc(BT41,BT31,BT19*1.8+32,BT17*1.8+32,BT20*3600/1600)*4.882431,"")</f>
        <v/>
      </c>
      <c r="BU48" s="386"/>
      <c r="BV48" s="386"/>
      <c r="BW48" s="390"/>
      <c r="BX48" s="200"/>
    </row>
    <row r="49" spans="1:76" ht="20.25" customHeight="1">
      <c r="A49" s="459"/>
      <c r="B49" s="194" t="s">
        <v>165</v>
      </c>
      <c r="C49" s="198"/>
      <c r="D49" s="383" t="s">
        <v>266</v>
      </c>
      <c r="E49" s="384"/>
      <c r="F49" s="384"/>
      <c r="G49" s="384"/>
      <c r="H49" s="384"/>
      <c r="I49" s="384"/>
      <c r="J49" s="267"/>
      <c r="K49" s="346" t="s">
        <v>295</v>
      </c>
      <c r="L49" s="346"/>
      <c r="M49" s="347"/>
      <c r="N49" s="385">
        <f>IF(N27="BARE",CoRad(N42,N19*1.8+32,N17*1.8+32)*4.882431,"")</f>
        <v>4.5071653798189839</v>
      </c>
      <c r="O49" s="386"/>
      <c r="P49" s="386"/>
      <c r="Q49" s="386"/>
      <c r="R49" s="387">
        <f>IF(R27="BARE",CoRad(R42,R19*1.8+32,R17*1.8+32)*4.882431,"")</f>
        <v>4.4868329849894115</v>
      </c>
      <c r="S49" s="387"/>
      <c r="T49" s="387"/>
      <c r="U49" s="388"/>
      <c r="V49" s="385">
        <f>IF(V27="BARE",CoRad(V42,V19*1.8+32,V17*1.8+32)*4.882431,"")</f>
        <v>4.4990389578156762</v>
      </c>
      <c r="W49" s="386"/>
      <c r="X49" s="386"/>
      <c r="Y49" s="386"/>
      <c r="Z49" s="387">
        <f>IF(Z27="BARE",CoRad(Z42,Z19*1.8+32,Z17*1.8+32)*4.882431,"")</f>
        <v>4.4687516359259885</v>
      </c>
      <c r="AA49" s="387"/>
      <c r="AB49" s="387"/>
      <c r="AC49" s="388"/>
      <c r="AD49" s="389">
        <f>IF(AD27="BARE",CoRad(AD42,AD19*1.8+32,AD17*1.8+32)*4.882431,"")</f>
        <v>4.6651708893405832</v>
      </c>
      <c r="AE49" s="387"/>
      <c r="AF49" s="387"/>
      <c r="AG49" s="387"/>
      <c r="AH49" s="386">
        <f>IF(AH27="BARE",CoRad(AH42,AH19*1.8+32,AH17*1.8+32)*4.882431,"")</f>
        <v>4.6518077379737797</v>
      </c>
      <c r="AI49" s="386"/>
      <c r="AJ49" s="386"/>
      <c r="AK49" s="390"/>
      <c r="AL49" s="201"/>
      <c r="AM49" s="459"/>
      <c r="AN49" s="194" t="s">
        <v>165</v>
      </c>
      <c r="AO49" s="198"/>
      <c r="AP49" s="383" t="s">
        <v>266</v>
      </c>
      <c r="AQ49" s="384"/>
      <c r="AR49" s="384"/>
      <c r="AS49" s="384"/>
      <c r="AT49" s="384"/>
      <c r="AU49" s="384"/>
      <c r="AV49" s="267"/>
      <c r="AW49" s="346" t="s">
        <v>295</v>
      </c>
      <c r="AX49" s="346"/>
      <c r="AY49" s="347"/>
      <c r="AZ49" s="385">
        <f>IF(AZ27="BARE",CoRad(AZ42,AZ19*1.8+32,AZ17*1.8+32)*4.882431,"")</f>
        <v>4.6600658901176262</v>
      </c>
      <c r="BA49" s="386"/>
      <c r="BB49" s="386"/>
      <c r="BC49" s="386"/>
      <c r="BD49" s="387">
        <f>IF(BD27="BARE",CoRad(BD42,BD19*1.8+32,BD17*1.8+32)*4.882431,"")</f>
        <v>4.6404620854327367</v>
      </c>
      <c r="BE49" s="387"/>
      <c r="BF49" s="387"/>
      <c r="BG49" s="388"/>
      <c r="BH49" s="385" t="str">
        <f>IF(BH27="BARE",CoRad(BH42,BH19*1.8+32,BH17*1.8+32)*4.882431,"")</f>
        <v/>
      </c>
      <c r="BI49" s="386"/>
      <c r="BJ49" s="386"/>
      <c r="BK49" s="386"/>
      <c r="BL49" s="387" t="str">
        <f>IF(BL27="BARE",CoRad(BL42,BL19*1.8+32,BL17*1.8+32)*4.882431,"")</f>
        <v/>
      </c>
      <c r="BM49" s="387"/>
      <c r="BN49" s="387"/>
      <c r="BO49" s="388"/>
      <c r="BP49" s="389" t="str">
        <f>IF(BP27="BARE",CoRad(BP42,BP19*1.8+32,BP17*1.8+32)*4.882431,"")</f>
        <v/>
      </c>
      <c r="BQ49" s="387"/>
      <c r="BR49" s="387"/>
      <c r="BS49" s="387"/>
      <c r="BT49" s="386" t="str">
        <f>IF(BT27="BARE",CoRad(BT42,BT19*1.8+32,BT17*1.8+32)*4.882431,"")</f>
        <v/>
      </c>
      <c r="BU49" s="386"/>
      <c r="BV49" s="386"/>
      <c r="BW49" s="390"/>
      <c r="BX49" s="201"/>
    </row>
    <row r="50" spans="1:76" ht="20.25" customHeight="1">
      <c r="A50" s="459"/>
      <c r="B50" s="194" t="s">
        <v>166</v>
      </c>
      <c r="C50" s="198"/>
      <c r="D50" s="243" t="s">
        <v>267</v>
      </c>
      <c r="E50" s="244"/>
      <c r="F50" s="244"/>
      <c r="G50" s="244"/>
      <c r="H50" s="244"/>
      <c r="I50" s="244"/>
      <c r="J50" s="244"/>
      <c r="K50" s="245"/>
      <c r="L50" s="245"/>
      <c r="M50" s="245"/>
      <c r="N50" s="246"/>
      <c r="O50" s="246"/>
      <c r="P50" s="246"/>
      <c r="Q50" s="246"/>
      <c r="R50" s="246"/>
      <c r="S50" s="246"/>
      <c r="T50" s="246"/>
      <c r="U50" s="246"/>
      <c r="V50" s="280"/>
      <c r="W50" s="246"/>
      <c r="X50" s="246"/>
      <c r="Y50" s="246"/>
      <c r="Z50" s="246"/>
      <c r="AA50" s="246"/>
      <c r="AB50" s="246"/>
      <c r="AC50" s="281"/>
      <c r="AD50" s="246"/>
      <c r="AE50" s="246"/>
      <c r="AF50" s="246"/>
      <c r="AG50" s="246"/>
      <c r="AH50" s="246"/>
      <c r="AI50" s="246"/>
      <c r="AJ50" s="246"/>
      <c r="AK50" s="246"/>
      <c r="AL50" s="196"/>
      <c r="AM50" s="459"/>
      <c r="AN50" s="194" t="s">
        <v>166</v>
      </c>
      <c r="AO50" s="198"/>
      <c r="AP50" s="243" t="s">
        <v>267</v>
      </c>
      <c r="AQ50" s="244"/>
      <c r="AR50" s="244"/>
      <c r="AS50" s="244"/>
      <c r="AT50" s="244"/>
      <c r="AU50" s="244"/>
      <c r="AV50" s="244"/>
      <c r="AW50" s="245"/>
      <c r="AX50" s="245"/>
      <c r="AY50" s="245"/>
      <c r="AZ50" s="246"/>
      <c r="BA50" s="246"/>
      <c r="BB50" s="246"/>
      <c r="BC50" s="246"/>
      <c r="BD50" s="246"/>
      <c r="BE50" s="246"/>
      <c r="BF50" s="246"/>
      <c r="BG50" s="246"/>
      <c r="BH50" s="280"/>
      <c r="BI50" s="246"/>
      <c r="BJ50" s="246"/>
      <c r="BK50" s="246"/>
      <c r="BL50" s="246"/>
      <c r="BM50" s="246"/>
      <c r="BN50" s="246"/>
      <c r="BO50" s="281"/>
      <c r="BP50" s="246"/>
      <c r="BQ50" s="246"/>
      <c r="BR50" s="246"/>
      <c r="BS50" s="246"/>
      <c r="BT50" s="246"/>
      <c r="BU50" s="246"/>
      <c r="BV50" s="246"/>
      <c r="BW50" s="246"/>
      <c r="BX50" s="196"/>
    </row>
    <row r="51" spans="1:76" ht="20.25" customHeight="1">
      <c r="A51" s="459"/>
      <c r="B51" s="194" t="s">
        <v>167</v>
      </c>
      <c r="C51" s="198"/>
      <c r="D51" s="344" t="s">
        <v>268</v>
      </c>
      <c r="E51" s="345"/>
      <c r="F51" s="345"/>
      <c r="G51" s="345"/>
      <c r="H51" s="345"/>
      <c r="I51" s="345"/>
      <c r="J51" s="264"/>
      <c r="K51" s="346" t="s">
        <v>213</v>
      </c>
      <c r="L51" s="346"/>
      <c r="M51" s="347"/>
      <c r="N51" s="348" t="str">
        <f>IF(N27="BURIED",N31*3,"")</f>
        <v/>
      </c>
      <c r="O51" s="349"/>
      <c r="P51" s="349"/>
      <c r="Q51" s="349"/>
      <c r="R51" s="370" t="str">
        <f t="shared" ref="R51" si="34">IF(R27="BURIED",R31*3,"")</f>
        <v/>
      </c>
      <c r="S51" s="370"/>
      <c r="T51" s="370"/>
      <c r="U51" s="355"/>
      <c r="V51" s="371" t="str">
        <f t="shared" ref="V51" si="35">IF(V27="BURIED",V31*3,"")</f>
        <v/>
      </c>
      <c r="W51" s="370"/>
      <c r="X51" s="370"/>
      <c r="Y51" s="370"/>
      <c r="Z51" s="370" t="str">
        <f t="shared" ref="Z51" si="36">IF(Z27="BURIED",Z31*3,"")</f>
        <v/>
      </c>
      <c r="AA51" s="370"/>
      <c r="AB51" s="370"/>
      <c r="AC51" s="372"/>
      <c r="AD51" s="354" t="str">
        <f t="shared" ref="AD51" si="37">IF(AD27="BURIED",AD31*3,"")</f>
        <v/>
      </c>
      <c r="AE51" s="370"/>
      <c r="AF51" s="370"/>
      <c r="AG51" s="370"/>
      <c r="AH51" s="349" t="str">
        <f t="shared" ref="AH51" si="38">IF(AH27="BURIED",AH31*3,"")</f>
        <v/>
      </c>
      <c r="AI51" s="349"/>
      <c r="AJ51" s="349"/>
      <c r="AK51" s="354"/>
      <c r="AL51" s="196"/>
      <c r="AM51" s="459"/>
      <c r="AN51" s="194" t="s">
        <v>167</v>
      </c>
      <c r="AO51" s="198"/>
      <c r="AP51" s="344" t="s">
        <v>268</v>
      </c>
      <c r="AQ51" s="345"/>
      <c r="AR51" s="345"/>
      <c r="AS51" s="345"/>
      <c r="AT51" s="345"/>
      <c r="AU51" s="345"/>
      <c r="AV51" s="264"/>
      <c r="AW51" s="346" t="s">
        <v>213</v>
      </c>
      <c r="AX51" s="346"/>
      <c r="AY51" s="347"/>
      <c r="AZ51" s="348" t="str">
        <f>IF(AZ27="BURIED",AZ31*3,"")</f>
        <v/>
      </c>
      <c r="BA51" s="349"/>
      <c r="BB51" s="349"/>
      <c r="BC51" s="349"/>
      <c r="BD51" s="370" t="str">
        <f t="shared" ref="BD51" si="39">IF(BD27="BURIED",BD31*3,"")</f>
        <v/>
      </c>
      <c r="BE51" s="370"/>
      <c r="BF51" s="370"/>
      <c r="BG51" s="355"/>
      <c r="BH51" s="371" t="str">
        <f t="shared" ref="BH51" si="40">IF(BH27="BURIED",BH31*3,"")</f>
        <v/>
      </c>
      <c r="BI51" s="370"/>
      <c r="BJ51" s="370"/>
      <c r="BK51" s="370"/>
      <c r="BL51" s="370" t="str">
        <f t="shared" ref="BL51" si="41">IF(BL27="BURIED",BL31*3,"")</f>
        <v/>
      </c>
      <c r="BM51" s="370"/>
      <c r="BN51" s="370"/>
      <c r="BO51" s="372"/>
      <c r="BP51" s="354" t="str">
        <f t="shared" ref="BP51" si="42">IF(BP27="BURIED",BP31*3,"")</f>
        <v/>
      </c>
      <c r="BQ51" s="370"/>
      <c r="BR51" s="370"/>
      <c r="BS51" s="370"/>
      <c r="BT51" s="349" t="str">
        <f t="shared" ref="BT51" si="43">IF(BT27="BURIED",BT31*3,"")</f>
        <v/>
      </c>
      <c r="BU51" s="349"/>
      <c r="BV51" s="349"/>
      <c r="BW51" s="354"/>
      <c r="BX51" s="196"/>
    </row>
    <row r="52" spans="1:76" ht="20.25" customHeight="1">
      <c r="A52" s="459"/>
      <c r="B52" s="194" t="s">
        <v>168</v>
      </c>
      <c r="C52" s="198"/>
      <c r="D52" s="344" t="s">
        <v>269</v>
      </c>
      <c r="E52" s="345"/>
      <c r="F52" s="345"/>
      <c r="G52" s="345"/>
      <c r="H52" s="345"/>
      <c r="I52" s="345"/>
      <c r="J52" s="264"/>
      <c r="K52" s="378" t="s">
        <v>214</v>
      </c>
      <c r="L52" s="378"/>
      <c r="M52" s="379"/>
      <c r="N52" s="373"/>
      <c r="O52" s="374"/>
      <c r="P52" s="374"/>
      <c r="Q52" s="374"/>
      <c r="R52" s="380"/>
      <c r="S52" s="380"/>
      <c r="T52" s="380"/>
      <c r="U52" s="376"/>
      <c r="V52" s="381"/>
      <c r="W52" s="380"/>
      <c r="X52" s="380"/>
      <c r="Y52" s="380"/>
      <c r="Z52" s="380"/>
      <c r="AA52" s="380"/>
      <c r="AB52" s="380"/>
      <c r="AC52" s="382"/>
      <c r="AD52" s="375"/>
      <c r="AE52" s="380"/>
      <c r="AF52" s="380"/>
      <c r="AG52" s="380"/>
      <c r="AH52" s="374"/>
      <c r="AI52" s="374"/>
      <c r="AJ52" s="374"/>
      <c r="AK52" s="375"/>
      <c r="AL52" s="196"/>
      <c r="AM52" s="459"/>
      <c r="AN52" s="194" t="s">
        <v>168</v>
      </c>
      <c r="AO52" s="198"/>
      <c r="AP52" s="344" t="s">
        <v>269</v>
      </c>
      <c r="AQ52" s="345"/>
      <c r="AR52" s="345"/>
      <c r="AS52" s="345"/>
      <c r="AT52" s="345"/>
      <c r="AU52" s="345"/>
      <c r="AV52" s="264"/>
      <c r="AW52" s="378" t="s">
        <v>214</v>
      </c>
      <c r="AX52" s="378"/>
      <c r="AY52" s="379"/>
      <c r="AZ52" s="373"/>
      <c r="BA52" s="374"/>
      <c r="BB52" s="374"/>
      <c r="BC52" s="374"/>
      <c r="BD52" s="380"/>
      <c r="BE52" s="380"/>
      <c r="BF52" s="380"/>
      <c r="BG52" s="376"/>
      <c r="BH52" s="381"/>
      <c r="BI52" s="380"/>
      <c r="BJ52" s="380"/>
      <c r="BK52" s="380"/>
      <c r="BL52" s="380"/>
      <c r="BM52" s="380"/>
      <c r="BN52" s="380"/>
      <c r="BO52" s="382"/>
      <c r="BP52" s="375"/>
      <c r="BQ52" s="380"/>
      <c r="BR52" s="380"/>
      <c r="BS52" s="380"/>
      <c r="BT52" s="374"/>
      <c r="BU52" s="374"/>
      <c r="BV52" s="374"/>
      <c r="BW52" s="375"/>
      <c r="BX52" s="196"/>
    </row>
    <row r="53" spans="1:76" ht="20.25" customHeight="1">
      <c r="A53" s="459"/>
      <c r="B53" s="194" t="s">
        <v>169</v>
      </c>
      <c r="C53" s="198"/>
      <c r="D53" s="248" t="s">
        <v>271</v>
      </c>
      <c r="E53" s="249"/>
      <c r="F53" s="249"/>
      <c r="G53" s="249"/>
      <c r="H53" s="249"/>
      <c r="I53" s="249"/>
      <c r="J53" s="249"/>
      <c r="K53" s="258"/>
      <c r="L53" s="258"/>
      <c r="M53" s="265" t="s">
        <v>220</v>
      </c>
      <c r="N53" s="348" t="str">
        <f>IF(N27="BURIED",DIGA(N21,N52/0.3048)/1.8,"")</f>
        <v/>
      </c>
      <c r="O53" s="349"/>
      <c r="P53" s="349"/>
      <c r="Q53" s="349"/>
      <c r="R53" s="370" t="str">
        <f>IF(R27="BURIED",DIGA(R21,R52/0.3048)/1.8,"")</f>
        <v/>
      </c>
      <c r="S53" s="370"/>
      <c r="T53" s="370"/>
      <c r="U53" s="355"/>
      <c r="V53" s="371" t="str">
        <f>IF(V27="BURIED",DIGA(V21,V52/0.3048)/1.8,"")</f>
        <v/>
      </c>
      <c r="W53" s="370"/>
      <c r="X53" s="370"/>
      <c r="Y53" s="370"/>
      <c r="Z53" s="370" t="str">
        <f>IF(Z27="BURIED",DIGA(Z21,Z52/0.3048)/1.8,"")</f>
        <v/>
      </c>
      <c r="AA53" s="370"/>
      <c r="AB53" s="370"/>
      <c r="AC53" s="372"/>
      <c r="AD53" s="354" t="str">
        <f>IF(AD27="BURIED",DIGA(AD21,AD52/0.3048)/1.8,"")</f>
        <v/>
      </c>
      <c r="AE53" s="370"/>
      <c r="AF53" s="370"/>
      <c r="AG53" s="370"/>
      <c r="AH53" s="349" t="str">
        <f>IF(AH27="BURIED",DIGA(AH21,AH52/0.3048)/1.8,"")</f>
        <v/>
      </c>
      <c r="AI53" s="349"/>
      <c r="AJ53" s="349"/>
      <c r="AK53" s="349"/>
      <c r="AL53" s="196"/>
      <c r="AM53" s="459"/>
      <c r="AN53" s="194" t="s">
        <v>169</v>
      </c>
      <c r="AO53" s="198"/>
      <c r="AP53" s="248" t="s">
        <v>271</v>
      </c>
      <c r="AQ53" s="249"/>
      <c r="AR53" s="249"/>
      <c r="AS53" s="249"/>
      <c r="AT53" s="249"/>
      <c r="AU53" s="249"/>
      <c r="AV53" s="249"/>
      <c r="AW53" s="258"/>
      <c r="AX53" s="258"/>
      <c r="AY53" s="265" t="s">
        <v>220</v>
      </c>
      <c r="AZ53" s="348" t="str">
        <f>IF(AZ27="BURIED",DIGA(AZ21,AZ52/0.3048)/1.8,"")</f>
        <v/>
      </c>
      <c r="BA53" s="349"/>
      <c r="BB53" s="349"/>
      <c r="BC53" s="349"/>
      <c r="BD53" s="370" t="str">
        <f>IF(BD27="BURIED",DIGA(BD21,BD52/0.3048)/1.8,"")</f>
        <v/>
      </c>
      <c r="BE53" s="370"/>
      <c r="BF53" s="370"/>
      <c r="BG53" s="355"/>
      <c r="BH53" s="371" t="str">
        <f>IF(BH27="BURIED",DIGA(BH21,BH52/0.3048)/1.8,"")</f>
        <v/>
      </c>
      <c r="BI53" s="370"/>
      <c r="BJ53" s="370"/>
      <c r="BK53" s="370"/>
      <c r="BL53" s="370" t="str">
        <f>IF(BL27="BURIED",DIGA(BL21,BL52/0.3048)/1.8,"")</f>
        <v/>
      </c>
      <c r="BM53" s="370"/>
      <c r="BN53" s="370"/>
      <c r="BO53" s="372"/>
      <c r="BP53" s="354" t="str">
        <f>IF(BP27="BURIED",DIGA(BP21,BP52/0.3048)/1.8,"")</f>
        <v/>
      </c>
      <c r="BQ53" s="370"/>
      <c r="BR53" s="370"/>
      <c r="BS53" s="370"/>
      <c r="BT53" s="349" t="str">
        <f>IF(BT27="BURIED",DIGA(BT21,BT52/0.3048)/1.8,"")</f>
        <v/>
      </c>
      <c r="BU53" s="349"/>
      <c r="BV53" s="349"/>
      <c r="BW53" s="349"/>
      <c r="BX53" s="196"/>
    </row>
    <row r="54" spans="1:76" ht="20.25" customHeight="1">
      <c r="A54" s="459"/>
      <c r="B54" s="194" t="s">
        <v>170</v>
      </c>
      <c r="C54" s="198"/>
      <c r="D54" s="344" t="s">
        <v>272</v>
      </c>
      <c r="E54" s="345"/>
      <c r="F54" s="345"/>
      <c r="G54" s="345"/>
      <c r="H54" s="345"/>
      <c r="I54" s="345"/>
      <c r="J54" s="264"/>
      <c r="K54" s="346" t="s">
        <v>220</v>
      </c>
      <c r="L54" s="346"/>
      <c r="M54" s="347"/>
      <c r="N54" s="348" t="str">
        <f>IF(N27="BURIED",IF(N16&gt;N19,N19+N53,N19-N53),"")</f>
        <v/>
      </c>
      <c r="O54" s="349"/>
      <c r="P54" s="349"/>
      <c r="Q54" s="349"/>
      <c r="R54" s="370" t="str">
        <f t="shared" ref="R54" si="44">IF(R27="BURIED",IF(R16&gt;R19,R19+R53,R19-R53),"")</f>
        <v/>
      </c>
      <c r="S54" s="370"/>
      <c r="T54" s="370"/>
      <c r="U54" s="355"/>
      <c r="V54" s="371" t="str">
        <f t="shared" ref="V54" si="45">IF(V27="BURIED",IF(V16&gt;V19,V19+V53,V19-V53),"")</f>
        <v/>
      </c>
      <c r="W54" s="370"/>
      <c r="X54" s="370"/>
      <c r="Y54" s="370"/>
      <c r="Z54" s="370" t="str">
        <f t="shared" ref="Z54" si="46">IF(Z27="BURIED",IF(Z16&gt;Z19,Z19+Z53,Z19-Z53),"")</f>
        <v/>
      </c>
      <c r="AA54" s="370"/>
      <c r="AB54" s="370"/>
      <c r="AC54" s="372"/>
      <c r="AD54" s="354" t="str">
        <f t="shared" ref="AD54" si="47">IF(AD27="BURIED",IF(AD16&gt;AD19,AD19+AD53,AD19-AD53),"")</f>
        <v/>
      </c>
      <c r="AE54" s="370"/>
      <c r="AF54" s="370"/>
      <c r="AG54" s="370"/>
      <c r="AH54" s="349" t="str">
        <f t="shared" ref="AH54" si="48">IF(AH27="BURIED",IF(AH16&gt;AH19,AH19+AH53,AH19-AH53),"")</f>
        <v/>
      </c>
      <c r="AI54" s="349"/>
      <c r="AJ54" s="349"/>
      <c r="AK54" s="349"/>
      <c r="AL54" s="196"/>
      <c r="AM54" s="459"/>
      <c r="AN54" s="194" t="s">
        <v>170</v>
      </c>
      <c r="AO54" s="198"/>
      <c r="AP54" s="344" t="s">
        <v>272</v>
      </c>
      <c r="AQ54" s="345"/>
      <c r="AR54" s="345"/>
      <c r="AS54" s="345"/>
      <c r="AT54" s="345"/>
      <c r="AU54" s="345"/>
      <c r="AV54" s="264"/>
      <c r="AW54" s="346" t="s">
        <v>220</v>
      </c>
      <c r="AX54" s="346"/>
      <c r="AY54" s="347"/>
      <c r="AZ54" s="348" t="str">
        <f>IF(AZ27="BURIED",IF(AZ16&gt;AZ19,AZ19+AZ53,AZ19-AZ53),"")</f>
        <v/>
      </c>
      <c r="BA54" s="349"/>
      <c r="BB54" s="349"/>
      <c r="BC54" s="349"/>
      <c r="BD54" s="370" t="str">
        <f t="shared" ref="BD54" si="49">IF(BD27="BURIED",IF(BD16&gt;BD19,BD19+BD53,BD19-BD53),"")</f>
        <v/>
      </c>
      <c r="BE54" s="370"/>
      <c r="BF54" s="370"/>
      <c r="BG54" s="355"/>
      <c r="BH54" s="371" t="str">
        <f t="shared" ref="BH54" si="50">IF(BH27="BURIED",IF(BH16&gt;BH19,BH19+BH53,BH19-BH53),"")</f>
        <v/>
      </c>
      <c r="BI54" s="370"/>
      <c r="BJ54" s="370"/>
      <c r="BK54" s="370"/>
      <c r="BL54" s="370" t="str">
        <f t="shared" ref="BL54" si="51">IF(BL27="BURIED",IF(BL16&gt;BL19,BL19+BL53,BL19-BL53),"")</f>
        <v/>
      </c>
      <c r="BM54" s="370"/>
      <c r="BN54" s="370"/>
      <c r="BO54" s="372"/>
      <c r="BP54" s="354" t="str">
        <f t="shared" ref="BP54" si="52">IF(BP27="BURIED",IF(BP16&gt;BP19,BP19+BP53,BP19-BP53),"")</f>
        <v/>
      </c>
      <c r="BQ54" s="370"/>
      <c r="BR54" s="370"/>
      <c r="BS54" s="370"/>
      <c r="BT54" s="349" t="str">
        <f t="shared" ref="BT54" si="53">IF(BT27="BURIED",IF(BT16&gt;BT19,BT19+BT53,BT19-BT53),"")</f>
        <v/>
      </c>
      <c r="BU54" s="349"/>
      <c r="BV54" s="349"/>
      <c r="BW54" s="349"/>
      <c r="BX54" s="196"/>
    </row>
    <row r="55" spans="1:76" ht="20.25" customHeight="1">
      <c r="A55" s="459"/>
      <c r="B55" s="194" t="s">
        <v>171</v>
      </c>
      <c r="C55" s="198"/>
      <c r="D55" s="344" t="s">
        <v>273</v>
      </c>
      <c r="E55" s="345"/>
      <c r="F55" s="345"/>
      <c r="G55" s="345"/>
      <c r="H55" s="345"/>
      <c r="I55" s="345"/>
      <c r="J55" s="264"/>
      <c r="K55" s="346" t="s">
        <v>215</v>
      </c>
      <c r="L55" s="346"/>
      <c r="M55" s="347"/>
      <c r="N55" s="373"/>
      <c r="O55" s="374"/>
      <c r="P55" s="374"/>
      <c r="Q55" s="375"/>
      <c r="R55" s="376"/>
      <c r="S55" s="374"/>
      <c r="T55" s="374"/>
      <c r="U55" s="374"/>
      <c r="V55" s="373"/>
      <c r="W55" s="374"/>
      <c r="X55" s="374"/>
      <c r="Y55" s="375"/>
      <c r="Z55" s="376"/>
      <c r="AA55" s="374"/>
      <c r="AB55" s="374"/>
      <c r="AC55" s="377"/>
      <c r="AD55" s="374"/>
      <c r="AE55" s="374"/>
      <c r="AF55" s="374"/>
      <c r="AG55" s="375"/>
      <c r="AH55" s="376"/>
      <c r="AI55" s="374"/>
      <c r="AJ55" s="374"/>
      <c r="AK55" s="375"/>
      <c r="AL55" s="196"/>
      <c r="AM55" s="459"/>
      <c r="AN55" s="194" t="s">
        <v>171</v>
      </c>
      <c r="AO55" s="198"/>
      <c r="AP55" s="344" t="s">
        <v>273</v>
      </c>
      <c r="AQ55" s="345"/>
      <c r="AR55" s="345"/>
      <c r="AS55" s="345"/>
      <c r="AT55" s="345"/>
      <c r="AU55" s="345"/>
      <c r="AV55" s="264"/>
      <c r="AW55" s="346" t="s">
        <v>215</v>
      </c>
      <c r="AX55" s="346"/>
      <c r="AY55" s="347"/>
      <c r="AZ55" s="373"/>
      <c r="BA55" s="374"/>
      <c r="BB55" s="374"/>
      <c r="BC55" s="375"/>
      <c r="BD55" s="376"/>
      <c r="BE55" s="374"/>
      <c r="BF55" s="374"/>
      <c r="BG55" s="374"/>
      <c r="BH55" s="373"/>
      <c r="BI55" s="374"/>
      <c r="BJ55" s="374"/>
      <c r="BK55" s="375"/>
      <c r="BL55" s="376"/>
      <c r="BM55" s="374"/>
      <c r="BN55" s="374"/>
      <c r="BO55" s="377"/>
      <c r="BP55" s="374"/>
      <c r="BQ55" s="374"/>
      <c r="BR55" s="374"/>
      <c r="BS55" s="375"/>
      <c r="BT55" s="376"/>
      <c r="BU55" s="374"/>
      <c r="BV55" s="374"/>
      <c r="BW55" s="375"/>
      <c r="BX55" s="196"/>
    </row>
    <row r="56" spans="1:76" ht="20.25" customHeight="1">
      <c r="A56" s="459"/>
      <c r="B56" s="194" t="s">
        <v>291</v>
      </c>
      <c r="C56" s="198"/>
      <c r="D56" s="362" t="s">
        <v>274</v>
      </c>
      <c r="E56" s="363"/>
      <c r="F56" s="363"/>
      <c r="G56" s="363"/>
      <c r="H56" s="363"/>
      <c r="I56" s="363"/>
      <c r="J56" s="273"/>
      <c r="K56" s="364"/>
      <c r="L56" s="364"/>
      <c r="M56" s="364"/>
      <c r="N56" s="365"/>
      <c r="O56" s="365"/>
      <c r="P56" s="365"/>
      <c r="Q56" s="365"/>
      <c r="R56" s="365"/>
      <c r="S56" s="365"/>
      <c r="T56" s="365"/>
      <c r="U56" s="365"/>
      <c r="V56" s="366"/>
      <c r="W56" s="365"/>
      <c r="X56" s="365"/>
      <c r="Y56" s="365"/>
      <c r="Z56" s="365"/>
      <c r="AA56" s="365"/>
      <c r="AB56" s="365"/>
      <c r="AC56" s="367"/>
      <c r="AD56" s="365"/>
      <c r="AE56" s="365"/>
      <c r="AF56" s="365"/>
      <c r="AG56" s="365"/>
      <c r="AH56" s="365"/>
      <c r="AI56" s="365"/>
      <c r="AJ56" s="365"/>
      <c r="AK56" s="368"/>
      <c r="AL56" s="196"/>
      <c r="AM56" s="459"/>
      <c r="AN56" s="194" t="s">
        <v>291</v>
      </c>
      <c r="AO56" s="198"/>
      <c r="AP56" s="362" t="s">
        <v>274</v>
      </c>
      <c r="AQ56" s="363"/>
      <c r="AR56" s="363"/>
      <c r="AS56" s="363"/>
      <c r="AT56" s="363"/>
      <c r="AU56" s="363"/>
      <c r="AV56" s="273"/>
      <c r="AW56" s="364"/>
      <c r="AX56" s="364"/>
      <c r="AY56" s="364"/>
      <c r="AZ56" s="365"/>
      <c r="BA56" s="365"/>
      <c r="BB56" s="365"/>
      <c r="BC56" s="365"/>
      <c r="BD56" s="365"/>
      <c r="BE56" s="365"/>
      <c r="BF56" s="365"/>
      <c r="BG56" s="365"/>
      <c r="BH56" s="366"/>
      <c r="BI56" s="365"/>
      <c r="BJ56" s="365"/>
      <c r="BK56" s="365"/>
      <c r="BL56" s="365"/>
      <c r="BM56" s="365"/>
      <c r="BN56" s="365"/>
      <c r="BO56" s="367"/>
      <c r="BP56" s="365"/>
      <c r="BQ56" s="365"/>
      <c r="BR56" s="365"/>
      <c r="BS56" s="365"/>
      <c r="BT56" s="365"/>
      <c r="BU56" s="365"/>
      <c r="BV56" s="365"/>
      <c r="BW56" s="368"/>
      <c r="BX56" s="196"/>
    </row>
    <row r="57" spans="1:76" ht="20.25" customHeight="1">
      <c r="A57" s="459"/>
      <c r="B57" s="194" t="s">
        <v>292</v>
      </c>
      <c r="C57" s="198"/>
      <c r="D57" s="243" t="s">
        <v>298</v>
      </c>
      <c r="E57" s="244"/>
      <c r="F57" s="244"/>
      <c r="G57" s="244"/>
      <c r="H57" s="244"/>
      <c r="I57" s="244"/>
      <c r="J57" s="244"/>
      <c r="K57" s="245"/>
      <c r="L57" s="245"/>
      <c r="M57" s="245"/>
      <c r="N57" s="246"/>
      <c r="O57" s="246"/>
      <c r="P57" s="246"/>
      <c r="Q57" s="246"/>
      <c r="R57" s="246"/>
      <c r="S57" s="246"/>
      <c r="T57" s="246"/>
      <c r="U57" s="246"/>
      <c r="V57" s="280"/>
      <c r="W57" s="246"/>
      <c r="X57" s="246"/>
      <c r="Y57" s="246"/>
      <c r="Z57" s="246"/>
      <c r="AA57" s="246"/>
      <c r="AB57" s="246"/>
      <c r="AC57" s="281"/>
      <c r="AD57" s="246"/>
      <c r="AE57" s="246"/>
      <c r="AF57" s="246"/>
      <c r="AG57" s="246"/>
      <c r="AH57" s="246"/>
      <c r="AI57" s="246"/>
      <c r="AJ57" s="246"/>
      <c r="AK57" s="246"/>
      <c r="AL57" s="196"/>
      <c r="AM57" s="459"/>
      <c r="AN57" s="194" t="s">
        <v>292</v>
      </c>
      <c r="AO57" s="198"/>
      <c r="AP57" s="243" t="s">
        <v>298</v>
      </c>
      <c r="AQ57" s="244"/>
      <c r="AR57" s="244"/>
      <c r="AS57" s="244"/>
      <c r="AT57" s="244"/>
      <c r="AU57" s="244"/>
      <c r="AV57" s="244"/>
      <c r="AW57" s="245"/>
      <c r="AX57" s="245"/>
      <c r="AY57" s="245"/>
      <c r="AZ57" s="246"/>
      <c r="BA57" s="246"/>
      <c r="BB57" s="246"/>
      <c r="BC57" s="246"/>
      <c r="BD57" s="246"/>
      <c r="BE57" s="246"/>
      <c r="BF57" s="246"/>
      <c r="BG57" s="246"/>
      <c r="BH57" s="280"/>
      <c r="BI57" s="246"/>
      <c r="BJ57" s="246"/>
      <c r="BK57" s="246"/>
      <c r="BL57" s="246"/>
      <c r="BM57" s="246"/>
      <c r="BN57" s="246"/>
      <c r="BO57" s="281"/>
      <c r="BP57" s="246"/>
      <c r="BQ57" s="246"/>
      <c r="BR57" s="246"/>
      <c r="BS57" s="246"/>
      <c r="BT57" s="246"/>
      <c r="BU57" s="246"/>
      <c r="BV57" s="246"/>
      <c r="BW57" s="246"/>
      <c r="BX57" s="196"/>
    </row>
    <row r="58" spans="1:76" ht="20.25" customHeight="1">
      <c r="A58" s="459"/>
      <c r="B58" s="194" t="s">
        <v>293</v>
      </c>
      <c r="C58" s="198"/>
      <c r="D58" s="344" t="s">
        <v>294</v>
      </c>
      <c r="E58" s="345"/>
      <c r="F58" s="345"/>
      <c r="G58" s="345"/>
      <c r="H58" s="345"/>
      <c r="I58" s="345"/>
      <c r="J58" s="264"/>
      <c r="K58" s="346" t="s">
        <v>295</v>
      </c>
      <c r="L58" s="346"/>
      <c r="M58" s="347"/>
      <c r="N58" s="369">
        <f>IFERROR(ovh(N27,IF(N38="",0,N38),N30,N31,IF(N51="",0,N51),N43/1.488164,IF(N44="",0,N44/1.488164),IF(N55="",0,N55/1.488164),N45/4.882431,IF(N47="",0,N47/4.882431))* 4.882431,"")</f>
        <v>11.478748117718698</v>
      </c>
      <c r="O58" s="361"/>
      <c r="P58" s="361"/>
      <c r="Q58" s="361"/>
      <c r="R58" s="356">
        <f>IFERROR(ovh(R27,IF(R38="",0,R38),R30,R31,IF(R51="",0,R51),R43/1.488164,IF(R44="",0,R44/1.488164),IF(R55="",0,R55/1.488164),R45/4.882431,IF(R47="",0,R47/4.882431))* 4.882431,"")</f>
        <v>0.86159836210508656</v>
      </c>
      <c r="S58" s="356"/>
      <c r="T58" s="356"/>
      <c r="U58" s="357"/>
      <c r="V58" s="358">
        <f>IFERROR(ovh(V27,IF(V38="",0,V38),V30,V31,IF(V51="",0,V51),V43/1.488164,IF(V44="",0,V44/1.488164),IF(V55="",0,V55/1.488164),V45/4.882431,IF(V47="",0,V47/4.882431))* 4.882431,"")</f>
        <v>18.114041532141925</v>
      </c>
      <c r="W58" s="356"/>
      <c r="X58" s="356"/>
      <c r="Y58" s="356"/>
      <c r="Z58" s="356">
        <f>IFERROR(ovh(Z27,IF(Z38="",0,Z38),Z30,Z31,IF(Z51="",0,Z51),Z43/1.488164,IF(Z44="",0,Z44/1.488164),IF(Z55="",0,Z55/1.488164),Z45/4.882431,IF(Z47="",0,Z47/4.882431))* 4.882431,"")</f>
        <v>0.88548877566897877</v>
      </c>
      <c r="AA58" s="356"/>
      <c r="AB58" s="356"/>
      <c r="AC58" s="359"/>
      <c r="AD58" s="360">
        <f>IFERROR(ovh(AD27,IF(AD38="",0,AD38),AD30,AD31,IF(AD51="",0,AD51),AD43/1.488164,IF(AD44="",0,AD44/1.488164),IF(AD55="",0,AD55/1.488164),AD45/4.882431,IF(AD47="",0,AD47/4.882431))* 4.882431,"")</f>
        <v>10.875826725581646</v>
      </c>
      <c r="AE58" s="356"/>
      <c r="AF58" s="356"/>
      <c r="AG58" s="356"/>
      <c r="AH58" s="361">
        <f>IFERROR(ovh(AH27,IF(AH38="",0,AH38),AH30,AH31,IF(AH51="",0,AH51),AH43/1.488164,IF(AH44="",0,AH44/1.488164),IF(AH55="",0,AH55/1.488164),AH45/4.882431,IF(AH47="",0,AH47/4.882431))* 4.882431,"")</f>
        <v>0.85858482317152629</v>
      </c>
      <c r="AI58" s="361"/>
      <c r="AJ58" s="361"/>
      <c r="AK58" s="361"/>
      <c r="AL58" s="196"/>
      <c r="AM58" s="459"/>
      <c r="AN58" s="194" t="s">
        <v>293</v>
      </c>
      <c r="AO58" s="198"/>
      <c r="AP58" s="344" t="s">
        <v>294</v>
      </c>
      <c r="AQ58" s="345"/>
      <c r="AR58" s="345"/>
      <c r="AS58" s="345"/>
      <c r="AT58" s="345"/>
      <c r="AU58" s="345"/>
      <c r="AV58" s="264"/>
      <c r="AW58" s="346" t="s">
        <v>295</v>
      </c>
      <c r="AX58" s="346"/>
      <c r="AY58" s="347"/>
      <c r="AZ58" s="369">
        <f>IFERROR(ovh(AZ27,IF(AZ38="",0,AZ38),AZ30,AZ31,IF(AZ51="",0,AZ51),AZ43/1.488164,IF(AZ44="",0,AZ44/1.488164),IF(AZ55="",0,AZ55/1.488164),AZ45/4.882431,IF(AZ47="",0,AZ47/4.882431))* 4.882431,"")</f>
        <v>16.82595425690031</v>
      </c>
      <c r="BA58" s="361"/>
      <c r="BB58" s="361"/>
      <c r="BC58" s="361"/>
      <c r="BD58" s="356">
        <f>IFERROR(ovh(BD27,IF(BD38="",0,BD38),BD30,BD31,IF(BD51="",0,BD51),BD43/1.488164,IF(BD44="",0,BD44/1.488164),IF(BD55="",0,BD55/1.488164),BD45/4.882431,IF(BD47="",0,BD47/4.882431))* 4.882431,"")</f>
        <v>0.8830150706092269</v>
      </c>
      <c r="BE58" s="356"/>
      <c r="BF58" s="356"/>
      <c r="BG58" s="357"/>
      <c r="BH58" s="358" t="str">
        <f>IFERROR(ovh(BH27,IF(BH38="",0,BH38),BH30,BH31,IF(BH51="",0,BH51),BH43/1.488164,IF(BH44="",0,BH44/1.488164),IF(BH55="",0,BH55/1.488164),BH45/4.882431,IF(BH47="",0,BH47/4.882431))* 4.882431,"")</f>
        <v/>
      </c>
      <c r="BI58" s="356"/>
      <c r="BJ58" s="356"/>
      <c r="BK58" s="356"/>
      <c r="BL58" s="356" t="str">
        <f>IFERROR(ovh(BL27,IF(BL38="",0,BL38),BL30,BL31,IF(BL51="",0,BL51),BL43/1.488164,IF(BL44="",0,BL44/1.488164),IF(BL55="",0,BL55/1.488164),BL45/4.882431,IF(BL47="",0,BL47/4.882431))* 4.882431,"")</f>
        <v/>
      </c>
      <c r="BM58" s="356"/>
      <c r="BN58" s="356"/>
      <c r="BO58" s="359"/>
      <c r="BP58" s="360" t="str">
        <f>IFERROR(ovh(BP27,IF(BP38="",0,BP38),BP30,BP31,IF(BP51="",0,BP51),BP43/1.488164,IF(BP44="",0,BP44/1.488164),IF(BP55="",0,BP55/1.488164),BP45/4.882431,IF(BP47="",0,BP47/4.882431))* 4.882431,"")</f>
        <v/>
      </c>
      <c r="BQ58" s="356"/>
      <c r="BR58" s="356"/>
      <c r="BS58" s="356"/>
      <c r="BT58" s="361" t="str">
        <f>IFERROR(ovh(BT27,IF(BT38="",0,BT38),BT30,BT31,IF(BT51="",0,BT51),BT43/1.488164,IF(BT44="",0,BT44/1.488164),IF(BT55="",0,BT55/1.488164),BT45/4.882431,IF(BT47="",0,BT47/4.882431))* 4.882431,"")</f>
        <v/>
      </c>
      <c r="BU58" s="361"/>
      <c r="BV58" s="361"/>
      <c r="BW58" s="361"/>
      <c r="BX58" s="196"/>
    </row>
    <row r="59" spans="1:76" ht="20.25" customHeight="1">
      <c r="A59" s="459"/>
      <c r="B59" s="194" t="s">
        <v>172</v>
      </c>
      <c r="C59" s="198"/>
      <c r="D59" s="344" t="s">
        <v>296</v>
      </c>
      <c r="E59" s="345"/>
      <c r="F59" s="345"/>
      <c r="G59" s="345"/>
      <c r="H59" s="345"/>
      <c r="I59" s="345"/>
      <c r="J59" s="264"/>
      <c r="K59" s="346" t="s">
        <v>297</v>
      </c>
      <c r="L59" s="346"/>
      <c r="M59" s="347"/>
      <c r="N59" s="489">
        <f>IF(N14="","",IFERROR(th(N27,IF(N58="",0,N58/4.882431),N30,N31,N32/0.3048,IF(N17="",0,N17*1.8+32),IF(N54="",0,N54*1.8+32),N19*1.8+32,N16*1.8+32)*0.252,"직접 입력"))</f>
        <v>7009.3083712027455</v>
      </c>
      <c r="O59" s="490"/>
      <c r="P59" s="490"/>
      <c r="Q59" s="490"/>
      <c r="R59" s="356">
        <f>IF(R14="","",IFERROR(th(R27,IF(R58="",0,R58/4.882431),R30,R31,R32/0.3048,IF(R17="",0,R17*1.8+32),IF(R54="",0,R54*1.8+32),R19*1.8+32,R16*1.8+32)*0.252,"직접 입력"))</f>
        <v>1195.5813065026646</v>
      </c>
      <c r="S59" s="356"/>
      <c r="T59" s="356"/>
      <c r="U59" s="357"/>
      <c r="V59" s="358">
        <f>IF(V14="","",IFERROR(th(V27,IF(V58="",0,V58/4.882431),V30,V31,V32/0.3048,IF(V17="",0,V17*1.8+32),IF(V54="",0,V54*1.8+32),V19*1.8+32,V16*1.8+32)*0.252,"직접 입력"))</f>
        <v>10872.058415681709</v>
      </c>
      <c r="W59" s="356"/>
      <c r="X59" s="356"/>
      <c r="Y59" s="356"/>
      <c r="Z59" s="356">
        <f>IF(Z14="","",IFERROR(th(Z27,IF(Z58="",0,Z58/4.882431),Z30,Z31,Z32/0.3048,IF(Z17="",0,Z17*1.8+32),IF(Z54="",0,Z54*1.8+32),Z19*1.8+32,Z16*1.8+32)*0.252,"직접 입력"))</f>
        <v>1179.6947996742927</v>
      </c>
      <c r="AA59" s="356"/>
      <c r="AB59" s="356"/>
      <c r="AC59" s="359"/>
      <c r="AD59" s="360">
        <f>IF(AD14="","",IFERROR(th(AD27,IF(AD58="",0,AD58/4.882431),AD30,AD31,AD32/0.3048,IF(AD17="",0,AD17*1.8+32),IF(AD54="",0,AD54*1.8+32),AD19*1.8+32,AD16*1.8+32)*0.252,"직접 입력"))</f>
        <v>4509.5617386283184</v>
      </c>
      <c r="AE59" s="356"/>
      <c r="AF59" s="356"/>
      <c r="AG59" s="356"/>
      <c r="AH59" s="361">
        <f>IF(AH14="","",IFERROR(th(AH27,IF(AH58="",0,AH58/4.882431),AH30,AH31,AH32/0.3048,IF(AH17="",0,AH17*1.8+32),IF(AH54="",0,AH54*1.8+32),AH19*1.8+32,AH16*1.8+32)*0.252,"직접 입력"))</f>
        <v>810.73441999860233</v>
      </c>
      <c r="AI59" s="361"/>
      <c r="AJ59" s="361"/>
      <c r="AK59" s="361"/>
      <c r="AL59" s="201"/>
      <c r="AM59" s="459"/>
      <c r="AN59" s="194" t="s">
        <v>172</v>
      </c>
      <c r="AO59" s="198"/>
      <c r="AP59" s="344" t="s">
        <v>296</v>
      </c>
      <c r="AQ59" s="345"/>
      <c r="AR59" s="345"/>
      <c r="AS59" s="345"/>
      <c r="AT59" s="345"/>
      <c r="AU59" s="345"/>
      <c r="AV59" s="264"/>
      <c r="AW59" s="346" t="s">
        <v>297</v>
      </c>
      <c r="AX59" s="346"/>
      <c r="AY59" s="347"/>
      <c r="AZ59" s="348">
        <f>IF(AZ14="","",IFERROR(th(AZ27,IF(AZ58="",0,AZ58/4.882431),AZ30,AZ31,AZ32/0.3048,IF(AZ17="",0,AZ17*1.8+32),IF(AZ54="",0,AZ54*1.8+32),AZ19*1.8+32,AZ16*1.8+32)*0.252,"직접 입력"))</f>
        <v>6868.2110482500157</v>
      </c>
      <c r="BA59" s="349"/>
      <c r="BB59" s="349"/>
      <c r="BC59" s="349"/>
      <c r="BD59" s="356">
        <f>IF(BD14="","",IFERROR(th(BD27,IF(BD58="",0,BD58/4.882431),BD30,BD31,BD32/0.3048,IF(BD17="",0,BD17*1.8+32),IF(BD54="",0,BD54*1.8+32),BD19*1.8+32,BD16*1.8+32)*0.252,"직접 입력"))</f>
        <v>803.66262968985029</v>
      </c>
      <c r="BE59" s="356"/>
      <c r="BF59" s="356"/>
      <c r="BG59" s="357"/>
      <c r="BH59" s="358" t="str">
        <f>IF(BH14="","",IFERROR(th(BH27,IF(BH58="",0,BH58/4.882431),BH30,BH31,BH32/0.3048,IF(BH17="",0,BH17*1.8+32),IF(BH54="",0,BH54*1.8+32),BH19*1.8+32,BH16*1.8+32)*0.252,"직접 입력"))</f>
        <v/>
      </c>
      <c r="BI59" s="356"/>
      <c r="BJ59" s="356"/>
      <c r="BK59" s="356"/>
      <c r="BL59" s="356" t="str">
        <f>IF(BL14="","",IFERROR(th(BL27,IF(BL58="",0,BL58/4.882431),BL30,BL31,BL32/0.3048,IF(BL17="",0,BL17*1.8+32),IF(BL54="",0,BL54*1.8+32),BL19*1.8+32,BL16*1.8+32)*0.252,"직접 입력"))</f>
        <v/>
      </c>
      <c r="BM59" s="356"/>
      <c r="BN59" s="356"/>
      <c r="BO59" s="359"/>
      <c r="BP59" s="360" t="str">
        <f>IF(BP14="","",IFERROR(th(BP27,IF(BP58="",0,BP58/4.882431),BP30,BP31,BP32/0.3048,IF(BP17="",0,BP17*1.8+32),IF(BP54="",0,BP54*1.8+32),BP19*1.8+32,BP16*1.8+32)*0.252,"직접 입력"))</f>
        <v/>
      </c>
      <c r="BQ59" s="356"/>
      <c r="BR59" s="356"/>
      <c r="BS59" s="356"/>
      <c r="BT59" s="361" t="str">
        <f>IF(BT14="","",IFERROR(th(BT27,IF(BT58="",0,BT58/4.882431),BT30,BT31,BT32/0.3048,IF(BT17="",0,BT17*1.8+32),IF(BT54="",0,BT54*1.8+32),BT19*1.8+32,BT16*1.8+32)*0.252,"직접 입력"))</f>
        <v/>
      </c>
      <c r="BU59" s="361"/>
      <c r="BV59" s="361"/>
      <c r="BW59" s="361"/>
      <c r="BX59" s="201"/>
    </row>
    <row r="60" spans="1:76" ht="20.25" customHeight="1">
      <c r="A60" s="459"/>
      <c r="B60" s="194" t="s">
        <v>173</v>
      </c>
      <c r="C60" s="198"/>
      <c r="D60" s="243" t="s">
        <v>309</v>
      </c>
      <c r="E60" s="244"/>
      <c r="F60" s="244"/>
      <c r="G60" s="244"/>
      <c r="H60" s="244"/>
      <c r="I60" s="244"/>
      <c r="J60" s="244"/>
      <c r="K60" s="245"/>
      <c r="L60" s="245"/>
      <c r="M60" s="245"/>
      <c r="N60" s="246"/>
      <c r="O60" s="246"/>
      <c r="P60" s="246"/>
      <c r="Q60" s="246"/>
      <c r="R60" s="246"/>
      <c r="S60" s="246"/>
      <c r="T60" s="246"/>
      <c r="U60" s="246"/>
      <c r="V60" s="280"/>
      <c r="W60" s="246"/>
      <c r="X60" s="246"/>
      <c r="Y60" s="246"/>
      <c r="Z60" s="246"/>
      <c r="AA60" s="246"/>
      <c r="AB60" s="246"/>
      <c r="AC60" s="281"/>
      <c r="AD60" s="246"/>
      <c r="AE60" s="246"/>
      <c r="AF60" s="246"/>
      <c r="AG60" s="246"/>
      <c r="AH60" s="246"/>
      <c r="AI60" s="246"/>
      <c r="AJ60" s="246"/>
      <c r="AK60" s="246"/>
      <c r="AL60" s="201"/>
      <c r="AM60" s="459"/>
      <c r="AN60" s="194" t="s">
        <v>173</v>
      </c>
      <c r="AO60" s="198"/>
      <c r="AP60" s="243" t="s">
        <v>309</v>
      </c>
      <c r="AQ60" s="244"/>
      <c r="AR60" s="244"/>
      <c r="AS60" s="244"/>
      <c r="AT60" s="244"/>
      <c r="AU60" s="244"/>
      <c r="AV60" s="244"/>
      <c r="AW60" s="245"/>
      <c r="AX60" s="245"/>
      <c r="AY60" s="245"/>
      <c r="AZ60" s="246"/>
      <c r="BA60" s="246"/>
      <c r="BB60" s="246"/>
      <c r="BC60" s="246"/>
      <c r="BD60" s="246"/>
      <c r="BE60" s="246"/>
      <c r="BF60" s="246"/>
      <c r="BG60" s="246"/>
      <c r="BH60" s="280"/>
      <c r="BI60" s="246"/>
      <c r="BJ60" s="246"/>
      <c r="BK60" s="246"/>
      <c r="BL60" s="246"/>
      <c r="BM60" s="246"/>
      <c r="BN60" s="246"/>
      <c r="BO60" s="281"/>
      <c r="BP60" s="246"/>
      <c r="BQ60" s="246"/>
      <c r="BR60" s="246"/>
      <c r="BS60" s="246"/>
      <c r="BT60" s="246"/>
      <c r="BU60" s="246"/>
      <c r="BV60" s="246"/>
      <c r="BW60" s="246"/>
      <c r="BX60" s="201"/>
    </row>
    <row r="61" spans="1:76" ht="20.25" customHeight="1">
      <c r="A61" s="459"/>
      <c r="B61" s="194" t="s">
        <v>174</v>
      </c>
      <c r="C61" s="198"/>
      <c r="D61" s="344" t="s">
        <v>301</v>
      </c>
      <c r="E61" s="345"/>
      <c r="F61" s="345"/>
      <c r="G61" s="345"/>
      <c r="H61" s="345"/>
      <c r="I61" s="345"/>
      <c r="J61" s="264"/>
      <c r="K61" s="346" t="s">
        <v>214</v>
      </c>
      <c r="L61" s="346"/>
      <c r="M61" s="347"/>
      <c r="N61" s="348">
        <f>N32+R32</f>
        <v>122</v>
      </c>
      <c r="O61" s="349"/>
      <c r="P61" s="349"/>
      <c r="Q61" s="349"/>
      <c r="R61" s="349"/>
      <c r="S61" s="349"/>
      <c r="T61" s="349"/>
      <c r="U61" s="349"/>
      <c r="V61" s="348">
        <f>V32+Z32</f>
        <v>122</v>
      </c>
      <c r="W61" s="349"/>
      <c r="X61" s="349"/>
      <c r="Y61" s="349"/>
      <c r="Z61" s="349"/>
      <c r="AA61" s="349"/>
      <c r="AB61" s="349"/>
      <c r="AC61" s="349"/>
      <c r="AD61" s="348">
        <f>AD32+AH32</f>
        <v>122</v>
      </c>
      <c r="AE61" s="349"/>
      <c r="AF61" s="349"/>
      <c r="AG61" s="349"/>
      <c r="AH61" s="349"/>
      <c r="AI61" s="349"/>
      <c r="AJ61" s="349"/>
      <c r="AK61" s="349"/>
      <c r="AL61" s="201"/>
      <c r="AM61" s="459"/>
      <c r="AN61" s="194" t="s">
        <v>174</v>
      </c>
      <c r="AO61" s="198"/>
      <c r="AP61" s="344" t="s">
        <v>301</v>
      </c>
      <c r="AQ61" s="345"/>
      <c r="AR61" s="345"/>
      <c r="AS61" s="345"/>
      <c r="AT61" s="345"/>
      <c r="AU61" s="345"/>
      <c r="AV61" s="264"/>
      <c r="AW61" s="346" t="s">
        <v>214</v>
      </c>
      <c r="AX61" s="346"/>
      <c r="AY61" s="347"/>
      <c r="AZ61" s="348">
        <f>AZ32+BD32</f>
        <v>122</v>
      </c>
      <c r="BA61" s="349"/>
      <c r="BB61" s="349"/>
      <c r="BC61" s="349"/>
      <c r="BD61" s="349"/>
      <c r="BE61" s="349"/>
      <c r="BF61" s="349"/>
      <c r="BG61" s="349"/>
      <c r="BH61" s="348">
        <f>BH32+BL32</f>
        <v>0</v>
      </c>
      <c r="BI61" s="349"/>
      <c r="BJ61" s="349"/>
      <c r="BK61" s="349"/>
      <c r="BL61" s="349"/>
      <c r="BM61" s="349"/>
      <c r="BN61" s="349"/>
      <c r="BO61" s="349"/>
      <c r="BP61" s="348">
        <f>BP32+BT32</f>
        <v>0</v>
      </c>
      <c r="BQ61" s="349"/>
      <c r="BR61" s="349"/>
      <c r="BS61" s="349"/>
      <c r="BT61" s="349"/>
      <c r="BU61" s="349"/>
      <c r="BV61" s="349"/>
      <c r="BW61" s="349"/>
      <c r="BX61" s="201"/>
    </row>
    <row r="62" spans="1:76" ht="20.25" customHeight="1">
      <c r="A62" s="459"/>
      <c r="B62" s="194" t="s">
        <v>175</v>
      </c>
      <c r="C62" s="198"/>
      <c r="D62" s="344" t="s">
        <v>296</v>
      </c>
      <c r="E62" s="345"/>
      <c r="F62" s="345"/>
      <c r="G62" s="345"/>
      <c r="H62" s="345"/>
      <c r="I62" s="345"/>
      <c r="J62" s="264"/>
      <c r="K62" s="346" t="s">
        <v>297</v>
      </c>
      <c r="L62" s="346"/>
      <c r="M62" s="347"/>
      <c r="N62" s="348">
        <f>N59+R59</f>
        <v>8204.8896777054106</v>
      </c>
      <c r="O62" s="349"/>
      <c r="P62" s="349"/>
      <c r="Q62" s="349"/>
      <c r="R62" s="349"/>
      <c r="S62" s="349"/>
      <c r="T62" s="349"/>
      <c r="U62" s="350"/>
      <c r="V62" s="348">
        <f>V59+Z59</f>
        <v>12051.753215356002</v>
      </c>
      <c r="W62" s="349"/>
      <c r="X62" s="349"/>
      <c r="Y62" s="349"/>
      <c r="Z62" s="349"/>
      <c r="AA62" s="349"/>
      <c r="AB62" s="349"/>
      <c r="AC62" s="350"/>
      <c r="AD62" s="348">
        <f>AD59+AH59</f>
        <v>5320.2961586269212</v>
      </c>
      <c r="AE62" s="349"/>
      <c r="AF62" s="349"/>
      <c r="AG62" s="349"/>
      <c r="AH62" s="349"/>
      <c r="AI62" s="349"/>
      <c r="AJ62" s="349"/>
      <c r="AK62" s="350"/>
      <c r="AL62" s="201"/>
      <c r="AM62" s="459"/>
      <c r="AN62" s="194" t="s">
        <v>175</v>
      </c>
      <c r="AO62" s="198"/>
      <c r="AP62" s="344" t="s">
        <v>296</v>
      </c>
      <c r="AQ62" s="345"/>
      <c r="AR62" s="345"/>
      <c r="AS62" s="345"/>
      <c r="AT62" s="345"/>
      <c r="AU62" s="345"/>
      <c r="AV62" s="264"/>
      <c r="AW62" s="346" t="s">
        <v>297</v>
      </c>
      <c r="AX62" s="346"/>
      <c r="AY62" s="347"/>
      <c r="AZ62" s="348">
        <f>AZ59+BD59</f>
        <v>7671.873677939866</v>
      </c>
      <c r="BA62" s="349"/>
      <c r="BB62" s="349"/>
      <c r="BC62" s="349"/>
      <c r="BD62" s="349"/>
      <c r="BE62" s="349"/>
      <c r="BF62" s="349"/>
      <c r="BG62" s="350"/>
      <c r="BH62" s="348" t="e">
        <f>BH59+BL59</f>
        <v>#VALUE!</v>
      </c>
      <c r="BI62" s="349"/>
      <c r="BJ62" s="349"/>
      <c r="BK62" s="349"/>
      <c r="BL62" s="349"/>
      <c r="BM62" s="349"/>
      <c r="BN62" s="349"/>
      <c r="BO62" s="350"/>
      <c r="BP62" s="348" t="e">
        <f>BP59+BT59</f>
        <v>#VALUE!</v>
      </c>
      <c r="BQ62" s="349"/>
      <c r="BR62" s="349"/>
      <c r="BS62" s="349"/>
      <c r="BT62" s="349"/>
      <c r="BU62" s="349"/>
      <c r="BV62" s="349"/>
      <c r="BW62" s="350"/>
      <c r="BX62" s="201"/>
    </row>
    <row r="63" spans="1:76" ht="20.25" customHeight="1" thickBot="1">
      <c r="A63" s="459"/>
      <c r="B63" s="194" t="s">
        <v>305</v>
      </c>
      <c r="C63" s="202"/>
      <c r="D63" s="277" t="s">
        <v>313</v>
      </c>
      <c r="E63" s="278"/>
      <c r="F63" s="278"/>
      <c r="G63" s="278"/>
      <c r="H63" s="278"/>
      <c r="I63" s="278"/>
      <c r="J63" s="264"/>
      <c r="L63" s="276"/>
      <c r="M63" s="265" t="s">
        <v>220</v>
      </c>
      <c r="N63" s="351">
        <f>R18-N16</f>
        <v>-0.77921178204050534</v>
      </c>
      <c r="O63" s="352"/>
      <c r="P63" s="352"/>
      <c r="Q63" s="352"/>
      <c r="R63" s="352"/>
      <c r="S63" s="352"/>
      <c r="T63" s="352"/>
      <c r="U63" s="353"/>
      <c r="V63" s="351">
        <f>Z18-V16</f>
        <v>-1.1445453221835677</v>
      </c>
      <c r="W63" s="352"/>
      <c r="X63" s="352"/>
      <c r="Y63" s="352"/>
      <c r="Z63" s="352"/>
      <c r="AA63" s="352"/>
      <c r="AB63" s="352"/>
      <c r="AC63" s="353"/>
      <c r="AD63" s="491">
        <f>AH18-AD16</f>
        <v>-0.50526425260922281</v>
      </c>
      <c r="AE63" s="492"/>
      <c r="AF63" s="492"/>
      <c r="AG63" s="492"/>
      <c r="AH63" s="492"/>
      <c r="AI63" s="492"/>
      <c r="AJ63" s="492"/>
      <c r="AK63" s="493"/>
      <c r="AL63" s="203"/>
      <c r="AM63" s="459"/>
      <c r="AN63" s="194" t="s">
        <v>305</v>
      </c>
      <c r="AO63" s="202"/>
      <c r="AP63" s="277" t="s">
        <v>313</v>
      </c>
      <c r="AQ63" s="278"/>
      <c r="AR63" s="278"/>
      <c r="AS63" s="278"/>
      <c r="AT63" s="278"/>
      <c r="AU63" s="278"/>
      <c r="AV63" s="264"/>
      <c r="AX63" s="276"/>
      <c r="AY63" s="265" t="s">
        <v>220</v>
      </c>
      <c r="AZ63" s="351">
        <f>BD18-AZ16</f>
        <v>-0.72859168069265934</v>
      </c>
      <c r="BA63" s="352"/>
      <c r="BB63" s="352"/>
      <c r="BC63" s="352"/>
      <c r="BD63" s="352"/>
      <c r="BE63" s="352"/>
      <c r="BF63" s="352"/>
      <c r="BG63" s="353"/>
      <c r="BH63" s="351"/>
      <c r="BI63" s="352"/>
      <c r="BJ63" s="352"/>
      <c r="BK63" s="352"/>
      <c r="BL63" s="352"/>
      <c r="BM63" s="352"/>
      <c r="BN63" s="352"/>
      <c r="BO63" s="353"/>
      <c r="BP63" s="349"/>
      <c r="BQ63" s="349"/>
      <c r="BR63" s="349"/>
      <c r="BS63" s="354"/>
      <c r="BT63" s="355"/>
      <c r="BU63" s="349"/>
      <c r="BV63" s="349"/>
      <c r="BW63" s="354"/>
      <c r="BX63" s="203"/>
    </row>
    <row r="64" spans="1:76" ht="20.25" customHeight="1" thickBot="1">
      <c r="A64" s="459"/>
      <c r="B64" s="194"/>
      <c r="C64" s="335" t="s">
        <v>176</v>
      </c>
      <c r="D64" s="336"/>
      <c r="E64" s="336"/>
      <c r="F64" s="336"/>
      <c r="G64" s="336"/>
      <c r="H64" s="336"/>
      <c r="I64" s="336"/>
      <c r="J64" s="336"/>
      <c r="K64" s="336"/>
      <c r="L64" s="336"/>
      <c r="M64" s="336"/>
      <c r="N64" s="336"/>
      <c r="O64" s="336"/>
      <c r="P64" s="336"/>
      <c r="Q64" s="336"/>
      <c r="R64" s="336"/>
      <c r="S64" s="336"/>
      <c r="T64" s="336"/>
      <c r="U64" s="336"/>
      <c r="V64" s="336"/>
      <c r="W64" s="336"/>
      <c r="X64" s="336"/>
      <c r="Y64" s="336"/>
      <c r="Z64" s="336"/>
      <c r="AA64" s="336"/>
      <c r="AB64" s="336"/>
      <c r="AC64" s="336"/>
      <c r="AD64" s="336"/>
      <c r="AE64" s="336"/>
      <c r="AF64" s="336"/>
      <c r="AG64" s="336"/>
      <c r="AH64" s="336"/>
      <c r="AI64" s="336"/>
      <c r="AJ64" s="336"/>
      <c r="AK64" s="336"/>
      <c r="AL64" s="337"/>
      <c r="AM64" s="459"/>
      <c r="AN64" s="194"/>
      <c r="AO64" s="335" t="s">
        <v>176</v>
      </c>
      <c r="AP64" s="336"/>
      <c r="AQ64" s="336"/>
      <c r="AR64" s="336"/>
      <c r="AS64" s="336"/>
      <c r="AT64" s="336"/>
      <c r="AU64" s="336"/>
      <c r="AV64" s="336"/>
      <c r="AW64" s="336"/>
      <c r="AX64" s="336"/>
      <c r="AY64" s="336"/>
      <c r="AZ64" s="336"/>
      <c r="BA64" s="336"/>
      <c r="BB64" s="336"/>
      <c r="BC64" s="336"/>
      <c r="BD64" s="336"/>
      <c r="BE64" s="336"/>
      <c r="BF64" s="336"/>
      <c r="BG64" s="336"/>
      <c r="BH64" s="336"/>
      <c r="BI64" s="336"/>
      <c r="BJ64" s="336"/>
      <c r="BK64" s="336"/>
      <c r="BL64" s="336"/>
      <c r="BM64" s="336"/>
      <c r="BN64" s="336"/>
      <c r="BO64" s="336"/>
      <c r="BP64" s="336"/>
      <c r="BQ64" s="336"/>
      <c r="BR64" s="336"/>
      <c r="BS64" s="336"/>
      <c r="BT64" s="336"/>
      <c r="BU64" s="336"/>
      <c r="BV64" s="336"/>
      <c r="BW64" s="336"/>
      <c r="BX64" s="337"/>
    </row>
    <row r="65" spans="1:76" ht="20.25" customHeight="1">
      <c r="A65" s="459"/>
      <c r="B65" s="194"/>
      <c r="C65" s="338"/>
      <c r="D65" s="339"/>
      <c r="E65" s="340"/>
      <c r="F65" s="341"/>
      <c r="G65" s="341"/>
      <c r="H65" s="342"/>
      <c r="I65" s="339"/>
      <c r="J65" s="339"/>
      <c r="K65" s="339"/>
      <c r="L65" s="339"/>
      <c r="M65" s="339"/>
      <c r="N65" s="339"/>
      <c r="O65" s="339"/>
      <c r="P65" s="339"/>
      <c r="Q65" s="339"/>
      <c r="R65" s="339"/>
      <c r="S65" s="339"/>
      <c r="T65" s="339"/>
      <c r="U65" s="339"/>
      <c r="V65" s="339"/>
      <c r="W65" s="339"/>
      <c r="X65" s="339"/>
      <c r="Y65" s="339"/>
      <c r="Z65" s="339"/>
      <c r="AA65" s="339"/>
      <c r="AB65" s="339"/>
      <c r="AC65" s="339"/>
      <c r="AD65" s="339"/>
      <c r="AE65" s="339"/>
      <c r="AF65" s="339"/>
      <c r="AG65" s="339"/>
      <c r="AH65" s="339"/>
      <c r="AI65" s="339"/>
      <c r="AJ65" s="339"/>
      <c r="AK65" s="339"/>
      <c r="AL65" s="343"/>
      <c r="AM65" s="459"/>
      <c r="AN65" s="194"/>
      <c r="AO65" s="338"/>
      <c r="AP65" s="339"/>
      <c r="AQ65" s="340"/>
      <c r="AR65" s="341"/>
      <c r="AS65" s="341"/>
      <c r="AT65" s="342"/>
      <c r="AU65" s="339"/>
      <c r="AV65" s="339"/>
      <c r="AW65" s="339"/>
      <c r="AX65" s="339"/>
      <c r="AY65" s="339"/>
      <c r="AZ65" s="339"/>
      <c r="BA65" s="339"/>
      <c r="BB65" s="339"/>
      <c r="BC65" s="339"/>
      <c r="BD65" s="339"/>
      <c r="BE65" s="339"/>
      <c r="BF65" s="339"/>
      <c r="BG65" s="339"/>
      <c r="BH65" s="339"/>
      <c r="BI65" s="339"/>
      <c r="BJ65" s="339"/>
      <c r="BK65" s="339"/>
      <c r="BL65" s="339"/>
      <c r="BM65" s="339"/>
      <c r="BN65" s="339"/>
      <c r="BO65" s="339"/>
      <c r="BP65" s="339"/>
      <c r="BQ65" s="339"/>
      <c r="BR65" s="339"/>
      <c r="BS65" s="339"/>
      <c r="BT65" s="339"/>
      <c r="BU65" s="339"/>
      <c r="BV65" s="339"/>
      <c r="BW65" s="339"/>
      <c r="BX65" s="343"/>
    </row>
    <row r="66" spans="1:76" ht="20.25" customHeight="1">
      <c r="A66" s="459"/>
      <c r="C66" s="326"/>
      <c r="D66" s="327"/>
      <c r="E66" s="328"/>
      <c r="F66" s="329"/>
      <c r="G66" s="329"/>
      <c r="H66" s="330"/>
      <c r="I66" s="327"/>
      <c r="J66" s="327"/>
      <c r="K66" s="327"/>
      <c r="L66" s="327"/>
      <c r="M66" s="327"/>
      <c r="N66" s="327"/>
      <c r="O66" s="327"/>
      <c r="P66" s="327"/>
      <c r="Q66" s="327"/>
      <c r="R66" s="327"/>
      <c r="S66" s="327"/>
      <c r="T66" s="327"/>
      <c r="U66" s="327"/>
      <c r="V66" s="327"/>
      <c r="W66" s="327"/>
      <c r="X66" s="327"/>
      <c r="Y66" s="327"/>
      <c r="Z66" s="327"/>
      <c r="AA66" s="327"/>
      <c r="AB66" s="327"/>
      <c r="AC66" s="327"/>
      <c r="AD66" s="327"/>
      <c r="AE66" s="327"/>
      <c r="AF66" s="327"/>
      <c r="AG66" s="327"/>
      <c r="AH66" s="327"/>
      <c r="AI66" s="327"/>
      <c r="AJ66" s="327"/>
      <c r="AK66" s="327"/>
      <c r="AL66" s="331"/>
      <c r="AM66" s="459"/>
      <c r="AO66" s="326"/>
      <c r="AP66" s="327"/>
      <c r="AQ66" s="328"/>
      <c r="AR66" s="329"/>
      <c r="AS66" s="329"/>
      <c r="AT66" s="330"/>
      <c r="AU66" s="327"/>
      <c r="AV66" s="327"/>
      <c r="AW66" s="327"/>
      <c r="AX66" s="327"/>
      <c r="AY66" s="327"/>
      <c r="AZ66" s="327"/>
      <c r="BA66" s="327"/>
      <c r="BB66" s="327"/>
      <c r="BC66" s="327"/>
      <c r="BD66" s="327"/>
      <c r="BE66" s="327"/>
      <c r="BF66" s="327"/>
      <c r="BG66" s="327"/>
      <c r="BH66" s="327"/>
      <c r="BI66" s="327"/>
      <c r="BJ66" s="327"/>
      <c r="BK66" s="327"/>
      <c r="BL66" s="327"/>
      <c r="BM66" s="327"/>
      <c r="BN66" s="327"/>
      <c r="BO66" s="327"/>
      <c r="BP66" s="327"/>
      <c r="BQ66" s="327"/>
      <c r="BR66" s="327"/>
      <c r="BS66" s="327"/>
      <c r="BT66" s="327"/>
      <c r="BU66" s="327"/>
      <c r="BV66" s="327"/>
      <c r="BW66" s="327"/>
      <c r="BX66" s="331"/>
    </row>
    <row r="67" spans="1:76" ht="20.25" customHeight="1">
      <c r="A67" s="459"/>
      <c r="C67" s="326"/>
      <c r="D67" s="327"/>
      <c r="E67" s="328"/>
      <c r="F67" s="329"/>
      <c r="G67" s="329"/>
      <c r="H67" s="330"/>
      <c r="I67" s="327"/>
      <c r="J67" s="327"/>
      <c r="K67" s="327"/>
      <c r="L67" s="327"/>
      <c r="M67" s="327"/>
      <c r="N67" s="327"/>
      <c r="O67" s="327"/>
      <c r="P67" s="327"/>
      <c r="Q67" s="327"/>
      <c r="R67" s="327"/>
      <c r="S67" s="327"/>
      <c r="T67" s="327"/>
      <c r="U67" s="327"/>
      <c r="V67" s="327"/>
      <c r="W67" s="327"/>
      <c r="X67" s="327"/>
      <c r="Y67" s="327"/>
      <c r="Z67" s="327"/>
      <c r="AA67" s="327"/>
      <c r="AB67" s="327"/>
      <c r="AC67" s="327"/>
      <c r="AD67" s="327"/>
      <c r="AE67" s="327"/>
      <c r="AF67" s="327"/>
      <c r="AG67" s="327"/>
      <c r="AH67" s="327"/>
      <c r="AI67" s="327"/>
      <c r="AJ67" s="327"/>
      <c r="AK67" s="327"/>
      <c r="AL67" s="331"/>
      <c r="AM67" s="459"/>
      <c r="AO67" s="326"/>
      <c r="AP67" s="327"/>
      <c r="AQ67" s="328"/>
      <c r="AR67" s="329"/>
      <c r="AS67" s="329"/>
      <c r="AT67" s="330"/>
      <c r="AU67" s="327"/>
      <c r="AV67" s="327"/>
      <c r="AW67" s="327"/>
      <c r="AX67" s="327"/>
      <c r="AY67" s="327"/>
      <c r="AZ67" s="327"/>
      <c r="BA67" s="327"/>
      <c r="BB67" s="327"/>
      <c r="BC67" s="327"/>
      <c r="BD67" s="327"/>
      <c r="BE67" s="327"/>
      <c r="BF67" s="327"/>
      <c r="BG67" s="327"/>
      <c r="BH67" s="327"/>
      <c r="BI67" s="327"/>
      <c r="BJ67" s="327"/>
      <c r="BK67" s="327"/>
      <c r="BL67" s="327"/>
      <c r="BM67" s="327"/>
      <c r="BN67" s="327"/>
      <c r="BO67" s="327"/>
      <c r="BP67" s="327"/>
      <c r="BQ67" s="327"/>
      <c r="BR67" s="327"/>
      <c r="BS67" s="327"/>
      <c r="BT67" s="327"/>
      <c r="BU67" s="327"/>
      <c r="BV67" s="327"/>
      <c r="BW67" s="327"/>
      <c r="BX67" s="331"/>
    </row>
    <row r="68" spans="1:76" ht="20.25" customHeight="1">
      <c r="A68" s="459"/>
      <c r="C68" s="332"/>
      <c r="D68" s="333"/>
      <c r="E68" s="328"/>
      <c r="F68" s="329"/>
      <c r="G68" s="329"/>
      <c r="H68" s="330"/>
      <c r="I68" s="333"/>
      <c r="J68" s="333"/>
      <c r="K68" s="333"/>
      <c r="L68" s="333"/>
      <c r="M68" s="333"/>
      <c r="N68" s="333"/>
      <c r="O68" s="333"/>
      <c r="P68" s="333"/>
      <c r="Q68" s="333"/>
      <c r="R68" s="333"/>
      <c r="S68" s="333"/>
      <c r="T68" s="333"/>
      <c r="U68" s="333"/>
      <c r="V68" s="333"/>
      <c r="W68" s="333"/>
      <c r="X68" s="333"/>
      <c r="Y68" s="333"/>
      <c r="Z68" s="333"/>
      <c r="AA68" s="333"/>
      <c r="AB68" s="333"/>
      <c r="AC68" s="333"/>
      <c r="AD68" s="333"/>
      <c r="AE68" s="333"/>
      <c r="AF68" s="333"/>
      <c r="AG68" s="333"/>
      <c r="AH68" s="333"/>
      <c r="AI68" s="333"/>
      <c r="AJ68" s="333"/>
      <c r="AK68" s="333"/>
      <c r="AL68" s="334"/>
      <c r="AM68" s="459"/>
      <c r="AO68" s="332"/>
      <c r="AP68" s="333"/>
      <c r="AQ68" s="328"/>
      <c r="AR68" s="329"/>
      <c r="AS68" s="329"/>
      <c r="AT68" s="330"/>
      <c r="AU68" s="333"/>
      <c r="AV68" s="333"/>
      <c r="AW68" s="333"/>
      <c r="AX68" s="333"/>
      <c r="AY68" s="333"/>
      <c r="AZ68" s="333"/>
      <c r="BA68" s="333"/>
      <c r="BB68" s="333"/>
      <c r="BC68" s="333"/>
      <c r="BD68" s="333"/>
      <c r="BE68" s="333"/>
      <c r="BF68" s="333"/>
      <c r="BG68" s="333"/>
      <c r="BH68" s="333"/>
      <c r="BI68" s="333"/>
      <c r="BJ68" s="333"/>
      <c r="BK68" s="333"/>
      <c r="BL68" s="333"/>
      <c r="BM68" s="333"/>
      <c r="BN68" s="333"/>
      <c r="BO68" s="333"/>
      <c r="BP68" s="333"/>
      <c r="BQ68" s="333"/>
      <c r="BR68" s="333"/>
      <c r="BS68" s="333"/>
      <c r="BT68" s="333"/>
      <c r="BU68" s="333"/>
      <c r="BV68" s="333"/>
      <c r="BW68" s="333"/>
      <c r="BX68" s="334"/>
    </row>
    <row r="69" spans="1:76" ht="20.25" customHeight="1" thickBot="1">
      <c r="A69" s="459"/>
      <c r="C69" s="321" t="s">
        <v>177</v>
      </c>
      <c r="D69" s="322"/>
      <c r="E69" s="323" t="s">
        <v>178</v>
      </c>
      <c r="F69" s="322"/>
      <c r="G69" s="322"/>
      <c r="H69" s="324"/>
      <c r="I69" s="323" t="s">
        <v>179</v>
      </c>
      <c r="J69" s="322"/>
      <c r="K69" s="322"/>
      <c r="L69" s="322"/>
      <c r="M69" s="324"/>
      <c r="N69" s="323" t="s">
        <v>180</v>
      </c>
      <c r="O69" s="322"/>
      <c r="P69" s="322"/>
      <c r="Q69" s="322"/>
      <c r="R69" s="324"/>
      <c r="S69" s="323" t="s">
        <v>181</v>
      </c>
      <c r="T69" s="322"/>
      <c r="U69" s="322"/>
      <c r="V69" s="322"/>
      <c r="W69" s="324"/>
      <c r="X69" s="323" t="s">
        <v>181</v>
      </c>
      <c r="Y69" s="322"/>
      <c r="Z69" s="322"/>
      <c r="AA69" s="322"/>
      <c r="AB69" s="324"/>
      <c r="AC69" s="323" t="s">
        <v>182</v>
      </c>
      <c r="AD69" s="322"/>
      <c r="AE69" s="322"/>
      <c r="AF69" s="322"/>
      <c r="AG69" s="322"/>
      <c r="AH69" s="322"/>
      <c r="AI69" s="322"/>
      <c r="AJ69" s="322"/>
      <c r="AK69" s="322"/>
      <c r="AL69" s="325"/>
      <c r="AM69" s="459"/>
      <c r="AO69" s="321" t="s">
        <v>177</v>
      </c>
      <c r="AP69" s="322"/>
      <c r="AQ69" s="323" t="s">
        <v>178</v>
      </c>
      <c r="AR69" s="322"/>
      <c r="AS69" s="322"/>
      <c r="AT69" s="324"/>
      <c r="AU69" s="323" t="s">
        <v>179</v>
      </c>
      <c r="AV69" s="322"/>
      <c r="AW69" s="322"/>
      <c r="AX69" s="322"/>
      <c r="AY69" s="324"/>
      <c r="AZ69" s="323" t="s">
        <v>180</v>
      </c>
      <c r="BA69" s="322"/>
      <c r="BB69" s="322"/>
      <c r="BC69" s="322"/>
      <c r="BD69" s="324"/>
      <c r="BE69" s="323" t="s">
        <v>181</v>
      </c>
      <c r="BF69" s="322"/>
      <c r="BG69" s="322"/>
      <c r="BH69" s="322"/>
      <c r="BI69" s="324"/>
      <c r="BJ69" s="323" t="s">
        <v>181</v>
      </c>
      <c r="BK69" s="322"/>
      <c r="BL69" s="322"/>
      <c r="BM69" s="322"/>
      <c r="BN69" s="324"/>
      <c r="BO69" s="323" t="s">
        <v>182</v>
      </c>
      <c r="BP69" s="322"/>
      <c r="BQ69" s="322"/>
      <c r="BR69" s="322"/>
      <c r="BS69" s="322"/>
      <c r="BT69" s="322"/>
      <c r="BU69" s="322"/>
      <c r="BV69" s="322"/>
      <c r="BW69" s="322"/>
      <c r="BX69" s="325"/>
    </row>
    <row r="70" spans="1:76" ht="20.25" customHeight="1">
      <c r="D70" s="204"/>
      <c r="E70" s="205"/>
      <c r="F70" s="482"/>
      <c r="G70" s="482"/>
      <c r="H70" s="482"/>
      <c r="I70" s="206"/>
      <c r="J70" s="206"/>
      <c r="K70" s="206"/>
      <c r="L70" s="206"/>
      <c r="M70" s="206"/>
      <c r="N70" s="483"/>
      <c r="O70" s="483"/>
      <c r="P70" s="484"/>
      <c r="Q70" s="484"/>
      <c r="R70" s="484"/>
      <c r="S70" s="484"/>
      <c r="T70" s="204"/>
      <c r="U70" s="204"/>
      <c r="Z70" s="485"/>
      <c r="AA70" s="485"/>
      <c r="AB70" s="485"/>
      <c r="AC70" s="485"/>
      <c r="AD70" s="485"/>
      <c r="AE70" s="485"/>
      <c r="AF70" s="485"/>
      <c r="AG70" s="485"/>
    </row>
    <row r="71" spans="1:76">
      <c r="D71" s="204"/>
      <c r="E71" s="205"/>
      <c r="F71" s="482"/>
      <c r="G71" s="482"/>
      <c r="H71" s="482"/>
      <c r="I71" s="206"/>
      <c r="J71" s="206"/>
      <c r="K71" s="206"/>
      <c r="L71" s="206"/>
      <c r="M71" s="206"/>
      <c r="N71" s="483">
        <f>N58/4.882431</f>
        <v>2.3510313034057617</v>
      </c>
      <c r="O71" s="483"/>
      <c r="P71" s="204"/>
      <c r="Q71" s="204"/>
      <c r="R71" s="484">
        <f>R58/4.882431</f>
        <v>0.17646913230419159</v>
      </c>
      <c r="S71" s="484"/>
      <c r="T71" s="204"/>
      <c r="U71" s="204"/>
      <c r="V71" s="484">
        <f>V58/4.882431</f>
        <v>3.7100455760955811</v>
      </c>
      <c r="W71" s="484"/>
      <c r="Z71" s="485"/>
      <c r="AA71" s="485"/>
      <c r="AB71" s="485"/>
      <c r="AC71" s="485"/>
      <c r="AD71" s="486"/>
      <c r="AE71" s="486"/>
      <c r="AF71" s="486"/>
      <c r="AG71" s="486"/>
    </row>
    <row r="72" spans="1:76">
      <c r="D72" s="204"/>
      <c r="E72" s="205"/>
      <c r="F72" s="482"/>
      <c r="G72" s="482"/>
      <c r="H72" s="482"/>
      <c r="I72" s="206"/>
      <c r="J72" s="206"/>
      <c r="K72" s="206"/>
      <c r="L72" s="206"/>
      <c r="M72" s="206"/>
      <c r="N72" s="483"/>
      <c r="O72" s="483"/>
      <c r="P72" s="204"/>
      <c r="Q72" s="204"/>
      <c r="R72" s="204"/>
      <c r="S72" s="204"/>
      <c r="T72" s="204"/>
      <c r="U72" s="204"/>
    </row>
    <row r="73" spans="1:76">
      <c r="D73" s="204"/>
      <c r="E73" s="205"/>
      <c r="F73" s="482"/>
      <c r="G73" s="482"/>
      <c r="H73" s="482"/>
      <c r="I73" s="206"/>
      <c r="J73" s="206"/>
      <c r="K73" s="206"/>
      <c r="L73" s="206"/>
      <c r="M73" s="206"/>
      <c r="N73" s="483"/>
      <c r="O73" s="483"/>
      <c r="P73" s="204"/>
      <c r="Q73" s="204"/>
      <c r="R73" s="204"/>
      <c r="S73" s="204"/>
      <c r="T73" s="204"/>
      <c r="U73" s="204"/>
    </row>
    <row r="74" spans="1:76">
      <c r="D74" s="204"/>
      <c r="E74" s="205"/>
      <c r="F74" s="482"/>
      <c r="G74" s="482"/>
      <c r="H74" s="482"/>
      <c r="I74" s="206"/>
      <c r="J74" s="206"/>
      <c r="K74" s="206"/>
      <c r="L74" s="206"/>
      <c r="M74" s="206"/>
      <c r="N74" s="483"/>
      <c r="O74" s="483"/>
      <c r="P74" s="484"/>
      <c r="Q74" s="484"/>
      <c r="R74" s="484"/>
      <c r="S74" s="484"/>
      <c r="T74" s="204"/>
      <c r="U74" s="204"/>
    </row>
    <row r="75" spans="1:76">
      <c r="D75" s="204"/>
      <c r="E75" s="205"/>
      <c r="F75" s="482"/>
      <c r="G75" s="482"/>
      <c r="H75" s="482"/>
      <c r="I75" s="206"/>
      <c r="J75" s="206"/>
      <c r="K75" s="206"/>
      <c r="L75" s="206"/>
      <c r="M75" s="206"/>
      <c r="N75" s="483"/>
      <c r="O75" s="483"/>
      <c r="P75" s="204"/>
      <c r="Q75" s="204"/>
      <c r="R75" s="204"/>
      <c r="S75" s="204"/>
      <c r="T75" s="204"/>
      <c r="U75" s="204"/>
    </row>
    <row r="76" spans="1:76">
      <c r="D76" s="204"/>
      <c r="E76" s="205"/>
      <c r="F76" s="482"/>
      <c r="G76" s="482"/>
      <c r="H76" s="482"/>
      <c r="I76" s="206"/>
      <c r="J76" s="206"/>
      <c r="K76" s="206"/>
      <c r="L76" s="206"/>
      <c r="M76" s="206"/>
      <c r="N76" s="483"/>
      <c r="O76" s="483"/>
      <c r="P76" s="204"/>
      <c r="Q76" s="204"/>
      <c r="R76" s="204"/>
      <c r="S76" s="204"/>
      <c r="T76" s="204"/>
      <c r="U76" s="204"/>
    </row>
    <row r="77" spans="1:76">
      <c r="D77" s="204"/>
      <c r="E77" s="205"/>
      <c r="F77" s="482"/>
      <c r="G77" s="482"/>
      <c r="H77" s="482"/>
      <c r="I77" s="206"/>
      <c r="J77" s="206"/>
      <c r="K77" s="206"/>
      <c r="L77" s="206"/>
      <c r="M77" s="206"/>
      <c r="N77" s="483"/>
      <c r="O77" s="483"/>
      <c r="P77" s="204"/>
      <c r="Q77" s="204"/>
      <c r="R77" s="204"/>
      <c r="S77" s="204"/>
      <c r="T77" s="204"/>
      <c r="U77" s="204"/>
    </row>
    <row r="78" spans="1:76">
      <c r="D78" s="204"/>
      <c r="E78" s="205"/>
      <c r="F78" s="482"/>
      <c r="G78" s="482"/>
      <c r="H78" s="482"/>
      <c r="I78" s="207"/>
      <c r="J78" s="207"/>
      <c r="K78" s="207"/>
      <c r="L78" s="207"/>
      <c r="M78" s="207"/>
      <c r="N78" s="483"/>
      <c r="O78" s="483"/>
      <c r="P78" s="484"/>
      <c r="Q78" s="484"/>
      <c r="R78" s="484"/>
      <c r="S78" s="484"/>
      <c r="T78" s="204"/>
      <c r="U78" s="204"/>
    </row>
    <row r="79" spans="1:76">
      <c r="D79" s="204"/>
      <c r="E79" s="205"/>
      <c r="F79" s="482"/>
      <c r="G79" s="482"/>
      <c r="H79" s="482"/>
      <c r="I79" s="207"/>
      <c r="J79" s="207"/>
      <c r="K79" s="207"/>
      <c r="L79" s="207"/>
      <c r="M79" s="207"/>
      <c r="N79" s="483"/>
      <c r="O79" s="483"/>
      <c r="P79" s="204"/>
      <c r="Q79" s="204"/>
      <c r="R79" s="204"/>
      <c r="S79" s="204"/>
      <c r="T79" s="204"/>
      <c r="U79" s="204"/>
    </row>
    <row r="80" spans="1:76">
      <c r="D80" s="204"/>
      <c r="E80" s="205"/>
      <c r="F80" s="482"/>
      <c r="G80" s="482"/>
      <c r="H80" s="482"/>
      <c r="I80" s="207"/>
      <c r="J80" s="207"/>
      <c r="K80" s="207"/>
      <c r="L80" s="207"/>
      <c r="M80" s="207"/>
      <c r="N80" s="483"/>
      <c r="O80" s="483"/>
      <c r="P80" s="204"/>
      <c r="Q80" s="204"/>
      <c r="R80" s="204"/>
      <c r="S80" s="204"/>
      <c r="T80" s="204"/>
      <c r="U80" s="204"/>
    </row>
    <row r="81" spans="4:21">
      <c r="D81" s="204"/>
      <c r="E81" s="205"/>
      <c r="F81" s="482"/>
      <c r="G81" s="482"/>
      <c r="H81" s="482"/>
      <c r="I81" s="207"/>
      <c r="J81" s="207"/>
      <c r="K81" s="207"/>
      <c r="L81" s="207"/>
      <c r="M81" s="207"/>
      <c r="N81" s="483"/>
      <c r="O81" s="483"/>
      <c r="P81" s="204"/>
      <c r="Q81" s="204"/>
      <c r="R81" s="204"/>
      <c r="S81" s="204"/>
      <c r="T81" s="204"/>
      <c r="U81" s="204"/>
    </row>
    <row r="82" spans="4:21">
      <c r="D82" s="204"/>
      <c r="E82" s="205"/>
      <c r="F82" s="488"/>
      <c r="G82" s="488"/>
      <c r="H82" s="488"/>
      <c r="I82" s="207"/>
      <c r="J82" s="207"/>
      <c r="K82" s="207"/>
      <c r="L82" s="207"/>
      <c r="M82" s="207"/>
      <c r="N82" s="483"/>
      <c r="O82" s="483"/>
      <c r="P82" s="484"/>
      <c r="Q82" s="484"/>
      <c r="R82" s="484"/>
      <c r="S82" s="484"/>
      <c r="T82" s="204"/>
      <c r="U82" s="204"/>
    </row>
    <row r="83" spans="4:21">
      <c r="D83" s="204"/>
      <c r="E83" s="205"/>
      <c r="F83" s="488"/>
      <c r="G83" s="488"/>
      <c r="H83" s="488"/>
      <c r="I83" s="207"/>
      <c r="J83" s="207"/>
      <c r="K83" s="207"/>
      <c r="L83" s="207"/>
      <c r="M83" s="207"/>
      <c r="N83" s="483"/>
      <c r="O83" s="483"/>
      <c r="P83" s="204"/>
      <c r="Q83" s="204"/>
      <c r="R83" s="204"/>
      <c r="S83" s="204"/>
      <c r="T83" s="204"/>
      <c r="U83" s="204"/>
    </row>
    <row r="84" spans="4:21">
      <c r="D84" s="204"/>
      <c r="E84" s="205"/>
      <c r="F84" s="488"/>
      <c r="G84" s="488"/>
      <c r="H84" s="488"/>
      <c r="I84" s="207"/>
      <c r="J84" s="207"/>
      <c r="K84" s="207"/>
      <c r="L84" s="207"/>
      <c r="M84" s="207"/>
      <c r="N84" s="483"/>
      <c r="O84" s="483"/>
      <c r="P84" s="204"/>
      <c r="Q84" s="204"/>
      <c r="R84" s="204"/>
      <c r="S84" s="204"/>
      <c r="T84" s="204"/>
      <c r="U84" s="204"/>
    </row>
    <row r="85" spans="4:21">
      <c r="D85" s="204"/>
      <c r="E85" s="205"/>
      <c r="F85" s="484"/>
      <c r="G85" s="484"/>
      <c r="H85" s="484"/>
      <c r="I85" s="208"/>
      <c r="J85" s="208"/>
      <c r="K85" s="208"/>
      <c r="L85" s="208"/>
      <c r="M85" s="208"/>
      <c r="N85" s="483"/>
      <c r="O85" s="483"/>
      <c r="P85" s="204"/>
      <c r="Q85" s="204"/>
      <c r="R85" s="204"/>
      <c r="S85" s="204"/>
      <c r="T85" s="204"/>
      <c r="U85" s="204"/>
    </row>
    <row r="86" spans="4:21">
      <c r="D86" s="204"/>
      <c r="E86" s="205"/>
      <c r="F86" s="484"/>
      <c r="G86" s="484"/>
      <c r="H86" s="484"/>
      <c r="I86" s="208"/>
      <c r="J86" s="208"/>
      <c r="K86" s="208"/>
      <c r="L86" s="208"/>
      <c r="M86" s="208"/>
      <c r="N86" s="483"/>
      <c r="O86" s="483"/>
      <c r="P86" s="204"/>
      <c r="Q86" s="204"/>
      <c r="R86" s="204"/>
      <c r="S86" s="204"/>
      <c r="T86" s="204"/>
      <c r="U86" s="204"/>
    </row>
    <row r="87" spans="4:21">
      <c r="D87" s="204"/>
      <c r="E87" s="205"/>
      <c r="F87" s="484"/>
      <c r="G87" s="484"/>
      <c r="H87" s="484"/>
      <c r="I87" s="208"/>
      <c r="J87" s="208"/>
      <c r="K87" s="208"/>
      <c r="L87" s="208"/>
      <c r="M87" s="208"/>
      <c r="N87" s="483"/>
      <c r="O87" s="483"/>
      <c r="P87" s="204"/>
      <c r="Q87" s="204"/>
      <c r="R87" s="204"/>
      <c r="S87" s="204"/>
      <c r="T87" s="204"/>
      <c r="U87" s="204"/>
    </row>
    <row r="88" spans="4:21">
      <c r="D88" s="204"/>
      <c r="E88" s="205"/>
      <c r="F88" s="484"/>
      <c r="G88" s="484"/>
      <c r="H88" s="484"/>
      <c r="I88" s="209"/>
      <c r="J88" s="209"/>
      <c r="K88" s="209"/>
      <c r="L88" s="209"/>
      <c r="M88" s="209"/>
      <c r="N88" s="487"/>
      <c r="O88" s="487"/>
      <c r="P88" s="484"/>
      <c r="Q88" s="484"/>
      <c r="R88" s="484"/>
      <c r="S88" s="484"/>
      <c r="T88" s="204"/>
      <c r="U88" s="204"/>
    </row>
    <row r="89" spans="4:21">
      <c r="D89" s="204"/>
      <c r="E89" s="204"/>
      <c r="F89" s="484"/>
      <c r="G89" s="484"/>
      <c r="H89" s="484"/>
      <c r="I89" s="209"/>
      <c r="J89" s="209"/>
      <c r="K89" s="209"/>
      <c r="L89" s="209"/>
      <c r="M89" s="209"/>
      <c r="N89" s="483"/>
      <c r="O89" s="483"/>
      <c r="P89" s="204"/>
      <c r="Q89" s="210"/>
      <c r="R89" s="204"/>
      <c r="S89" s="204"/>
      <c r="T89" s="204"/>
      <c r="U89" s="204"/>
    </row>
    <row r="90" spans="4:21">
      <c r="D90" s="204"/>
      <c r="E90" s="204"/>
      <c r="F90" s="484"/>
      <c r="G90" s="484"/>
      <c r="H90" s="484"/>
      <c r="I90" s="209"/>
      <c r="J90" s="209"/>
      <c r="K90" s="209"/>
      <c r="L90" s="209"/>
      <c r="M90" s="209"/>
      <c r="N90" s="483"/>
      <c r="O90" s="483"/>
      <c r="P90" s="204"/>
      <c r="Q90" s="210"/>
      <c r="R90" s="204"/>
      <c r="S90" s="204"/>
      <c r="T90" s="204"/>
      <c r="U90" s="204"/>
    </row>
    <row r="91" spans="4:21">
      <c r="D91" s="204"/>
      <c r="E91" s="204"/>
      <c r="F91" s="204"/>
      <c r="G91" s="204"/>
      <c r="H91" s="204"/>
      <c r="I91" s="204"/>
      <c r="J91" s="204"/>
      <c r="K91" s="204"/>
      <c r="L91" s="204"/>
      <c r="M91" s="204"/>
      <c r="N91" s="204"/>
      <c r="O91" s="204"/>
      <c r="P91" s="204"/>
      <c r="Q91" s="204"/>
      <c r="R91" s="204"/>
      <c r="S91" s="204"/>
      <c r="T91" s="204"/>
      <c r="U91" s="204"/>
    </row>
    <row r="92" spans="4:21">
      <c r="D92" s="204"/>
      <c r="E92" s="204"/>
      <c r="F92" s="204"/>
      <c r="G92" s="204"/>
      <c r="H92" s="204"/>
      <c r="I92" s="204"/>
      <c r="J92" s="204"/>
      <c r="K92" s="204"/>
      <c r="L92" s="204"/>
      <c r="M92" s="204"/>
      <c r="N92" s="204"/>
      <c r="O92" s="204"/>
      <c r="P92" s="204"/>
      <c r="Q92" s="204"/>
      <c r="R92" s="204"/>
      <c r="S92" s="204"/>
      <c r="T92" s="204"/>
      <c r="U92" s="204"/>
    </row>
  </sheetData>
  <mergeCells count="865">
    <mergeCell ref="BP2:BS2"/>
    <mergeCell ref="BT2:BW2"/>
    <mergeCell ref="A3:A69"/>
    <mergeCell ref="AG3:AH3"/>
    <mergeCell ref="AJ3:AK3"/>
    <mergeCell ref="AM3:AM69"/>
    <mergeCell ref="BS3:BT3"/>
    <mergeCell ref="BV3:BW3"/>
    <mergeCell ref="Z4:AL4"/>
    <mergeCell ref="BL4:BX4"/>
    <mergeCell ref="V2:Y2"/>
    <mergeCell ref="Z2:AC2"/>
    <mergeCell ref="AD2:AG2"/>
    <mergeCell ref="AH2:AK2"/>
    <mergeCell ref="BH2:BK2"/>
    <mergeCell ref="BL2:BO2"/>
    <mergeCell ref="Z5:AL5"/>
    <mergeCell ref="BL5:BX5"/>
    <mergeCell ref="Z6:AL6"/>
    <mergeCell ref="BL6:BX6"/>
    <mergeCell ref="C7:T8"/>
    <mergeCell ref="Z7:AK7"/>
    <mergeCell ref="AO7:BF8"/>
    <mergeCell ref="BL7:BW7"/>
    <mergeCell ref="AG8:AH8"/>
    <mergeCell ref="AI8:AL8"/>
    <mergeCell ref="BS8:BT8"/>
    <mergeCell ref="BU8:BX8"/>
    <mergeCell ref="D10:AK10"/>
    <mergeCell ref="AP10:BW10"/>
    <mergeCell ref="D11:I11"/>
    <mergeCell ref="N11:U11"/>
    <mergeCell ref="V11:AC11"/>
    <mergeCell ref="AD11:AK11"/>
    <mergeCell ref="AP11:AU11"/>
    <mergeCell ref="AZ11:BG11"/>
    <mergeCell ref="AZ12:BC12"/>
    <mergeCell ref="BD12:BG12"/>
    <mergeCell ref="BH12:BK12"/>
    <mergeCell ref="BL12:BO12"/>
    <mergeCell ref="BP12:BS12"/>
    <mergeCell ref="BT12:BW12"/>
    <mergeCell ref="BH11:BO11"/>
    <mergeCell ref="BP11:BW11"/>
    <mergeCell ref="D12:I12"/>
    <mergeCell ref="N12:Q12"/>
    <mergeCell ref="R12:U12"/>
    <mergeCell ref="V12:Y12"/>
    <mergeCell ref="Z12:AC12"/>
    <mergeCell ref="AD12:AG12"/>
    <mergeCell ref="AH12:AK12"/>
    <mergeCell ref="AP12:AU12"/>
    <mergeCell ref="BH13:BK13"/>
    <mergeCell ref="BL13:BO13"/>
    <mergeCell ref="BP13:BS13"/>
    <mergeCell ref="BT13:BW13"/>
    <mergeCell ref="D14:I14"/>
    <mergeCell ref="K14:M14"/>
    <mergeCell ref="N14:Q14"/>
    <mergeCell ref="R14:U14"/>
    <mergeCell ref="V14:Y14"/>
    <mergeCell ref="Z14:AC14"/>
    <mergeCell ref="AD13:AG13"/>
    <mergeCell ref="AH13:AK13"/>
    <mergeCell ref="AP13:AU13"/>
    <mergeCell ref="AW13:AY13"/>
    <mergeCell ref="AZ13:BC13"/>
    <mergeCell ref="BD13:BG13"/>
    <mergeCell ref="D13:I13"/>
    <mergeCell ref="K13:M13"/>
    <mergeCell ref="N13:Q13"/>
    <mergeCell ref="R13:U13"/>
    <mergeCell ref="V13:Y13"/>
    <mergeCell ref="Z13:AC13"/>
    <mergeCell ref="BH14:BK14"/>
    <mergeCell ref="BL14:BO14"/>
    <mergeCell ref="BP14:BS14"/>
    <mergeCell ref="BT14:BW14"/>
    <mergeCell ref="D15:I15"/>
    <mergeCell ref="N15:Q15"/>
    <mergeCell ref="R15:U15"/>
    <mergeCell ref="V15:Y15"/>
    <mergeCell ref="Z15:AC15"/>
    <mergeCell ref="AD15:AG15"/>
    <mergeCell ref="AD14:AG14"/>
    <mergeCell ref="AH14:AK14"/>
    <mergeCell ref="AP14:AU14"/>
    <mergeCell ref="AW14:AY14"/>
    <mergeCell ref="AZ14:BC14"/>
    <mergeCell ref="BD14:BG14"/>
    <mergeCell ref="BP15:BS15"/>
    <mergeCell ref="BT15:BW15"/>
    <mergeCell ref="AP15:AU15"/>
    <mergeCell ref="AZ15:BC15"/>
    <mergeCell ref="BD15:BG15"/>
    <mergeCell ref="BH15:BK15"/>
    <mergeCell ref="BL15:BO15"/>
    <mergeCell ref="D16:I16"/>
    <mergeCell ref="K16:M16"/>
    <mergeCell ref="N16:Q16"/>
    <mergeCell ref="R16:U16"/>
    <mergeCell ref="V16:Y16"/>
    <mergeCell ref="Z16:AC16"/>
    <mergeCell ref="AD16:AG16"/>
    <mergeCell ref="AH16:AK16"/>
    <mergeCell ref="AH15:AK15"/>
    <mergeCell ref="BT16:BW16"/>
    <mergeCell ref="N17:Q17"/>
    <mergeCell ref="R17:U17"/>
    <mergeCell ref="V17:Y17"/>
    <mergeCell ref="Z17:AC17"/>
    <mergeCell ref="AD17:AG17"/>
    <mergeCell ref="AH17:AK17"/>
    <mergeCell ref="AZ17:BC17"/>
    <mergeCell ref="BD17:BG17"/>
    <mergeCell ref="AP16:AU16"/>
    <mergeCell ref="AW16:AY16"/>
    <mergeCell ref="AZ16:BC16"/>
    <mergeCell ref="BD16:BG16"/>
    <mergeCell ref="BH16:BK16"/>
    <mergeCell ref="BL16:BO16"/>
    <mergeCell ref="BH17:BK17"/>
    <mergeCell ref="BL17:BO17"/>
    <mergeCell ref="BP17:BS17"/>
    <mergeCell ref="BT17:BW17"/>
    <mergeCell ref="K18:M18"/>
    <mergeCell ref="N18:Q18"/>
    <mergeCell ref="R18:U18"/>
    <mergeCell ref="V18:Y18"/>
    <mergeCell ref="Z18:AC18"/>
    <mergeCell ref="BH18:BK18"/>
    <mergeCell ref="BL18:BO18"/>
    <mergeCell ref="BP18:BS18"/>
    <mergeCell ref="BP16:BS16"/>
    <mergeCell ref="AD19:AG19"/>
    <mergeCell ref="AH19:AK19"/>
    <mergeCell ref="AP19:AU19"/>
    <mergeCell ref="BT18:BW18"/>
    <mergeCell ref="D19:I19"/>
    <mergeCell ref="K19:M19"/>
    <mergeCell ref="N19:Q19"/>
    <mergeCell ref="R19:U19"/>
    <mergeCell ref="V19:Y19"/>
    <mergeCell ref="Z19:AC19"/>
    <mergeCell ref="AD18:AG18"/>
    <mergeCell ref="AH18:AK18"/>
    <mergeCell ref="AP18:AU18"/>
    <mergeCell ref="AW18:AY18"/>
    <mergeCell ref="AZ18:BC18"/>
    <mergeCell ref="BD18:BG18"/>
    <mergeCell ref="BH19:BK19"/>
    <mergeCell ref="BL19:BO19"/>
    <mergeCell ref="BP19:BS19"/>
    <mergeCell ref="BT19:BW19"/>
    <mergeCell ref="AW19:AY19"/>
    <mergeCell ref="AZ19:BC19"/>
    <mergeCell ref="BD19:BG19"/>
    <mergeCell ref="D18:I18"/>
    <mergeCell ref="BL20:BO20"/>
    <mergeCell ref="BP20:BS20"/>
    <mergeCell ref="BT20:BW20"/>
    <mergeCell ref="D21:I21"/>
    <mergeCell ref="K21:M21"/>
    <mergeCell ref="N21:Q21"/>
    <mergeCell ref="R21:U21"/>
    <mergeCell ref="V21:Y21"/>
    <mergeCell ref="Z21:AC21"/>
    <mergeCell ref="AD20:AG20"/>
    <mergeCell ref="AH20:AK20"/>
    <mergeCell ref="AP20:AU20"/>
    <mergeCell ref="AW20:AY20"/>
    <mergeCell ref="AZ20:BC20"/>
    <mergeCell ref="BD20:BG20"/>
    <mergeCell ref="BH21:BK21"/>
    <mergeCell ref="BL21:BO21"/>
    <mergeCell ref="BP21:BS21"/>
    <mergeCell ref="BT21:BW21"/>
    <mergeCell ref="AW21:AY21"/>
    <mergeCell ref="AZ21:BC21"/>
    <mergeCell ref="BD21:BG21"/>
    <mergeCell ref="D20:I20"/>
    <mergeCell ref="K20:M20"/>
    <mergeCell ref="N23:Q23"/>
    <mergeCell ref="R23:U23"/>
    <mergeCell ref="V23:Y23"/>
    <mergeCell ref="Z23:AC23"/>
    <mergeCell ref="AD21:AG21"/>
    <mergeCell ref="AH21:AK21"/>
    <mergeCell ref="AP21:AU21"/>
    <mergeCell ref="BH20:BK20"/>
    <mergeCell ref="N20:Q20"/>
    <mergeCell ref="R20:U20"/>
    <mergeCell ref="V20:Y20"/>
    <mergeCell ref="Z20:AC20"/>
    <mergeCell ref="BH23:BK23"/>
    <mergeCell ref="BL23:BO23"/>
    <mergeCell ref="BP23:BS23"/>
    <mergeCell ref="BT23:BW23"/>
    <mergeCell ref="D24:I24"/>
    <mergeCell ref="K24:M24"/>
    <mergeCell ref="N24:Q24"/>
    <mergeCell ref="R24:U24"/>
    <mergeCell ref="V24:Y24"/>
    <mergeCell ref="Z24:AC24"/>
    <mergeCell ref="AD23:AG23"/>
    <mergeCell ref="AH23:AK23"/>
    <mergeCell ref="AP23:AU23"/>
    <mergeCell ref="AW23:AY23"/>
    <mergeCell ref="AZ23:BC23"/>
    <mergeCell ref="BD23:BG23"/>
    <mergeCell ref="BH24:BK24"/>
    <mergeCell ref="BL24:BO24"/>
    <mergeCell ref="BP24:BS24"/>
    <mergeCell ref="BT24:BW24"/>
    <mergeCell ref="AW24:AY24"/>
    <mergeCell ref="AZ24:BC24"/>
    <mergeCell ref="BD24:BG24"/>
    <mergeCell ref="D23:I23"/>
    <mergeCell ref="K23:M23"/>
    <mergeCell ref="K25:M25"/>
    <mergeCell ref="N25:Q25"/>
    <mergeCell ref="R25:U25"/>
    <mergeCell ref="V25:Y25"/>
    <mergeCell ref="Z25:AC25"/>
    <mergeCell ref="AD24:AG24"/>
    <mergeCell ref="AH24:AK24"/>
    <mergeCell ref="AP24:AU24"/>
    <mergeCell ref="AD26:AG26"/>
    <mergeCell ref="AH26:AK26"/>
    <mergeCell ref="AP26:AU26"/>
    <mergeCell ref="BH25:BK25"/>
    <mergeCell ref="BL25:BO25"/>
    <mergeCell ref="BP25:BS25"/>
    <mergeCell ref="BT25:BW25"/>
    <mergeCell ref="D26:I26"/>
    <mergeCell ref="K26:M26"/>
    <mergeCell ref="N26:Q26"/>
    <mergeCell ref="R26:U26"/>
    <mergeCell ref="V26:Y26"/>
    <mergeCell ref="Z26:AC26"/>
    <mergeCell ref="AD25:AG25"/>
    <mergeCell ref="AH25:AK25"/>
    <mergeCell ref="AP25:AU25"/>
    <mergeCell ref="AW25:AY25"/>
    <mergeCell ref="AZ25:BC25"/>
    <mergeCell ref="BD25:BG25"/>
    <mergeCell ref="BH26:BK26"/>
    <mergeCell ref="BL26:BO26"/>
    <mergeCell ref="BP26:BS26"/>
    <mergeCell ref="BT26:BW26"/>
    <mergeCell ref="AW26:AY26"/>
    <mergeCell ref="AZ26:BC26"/>
    <mergeCell ref="BD26:BG26"/>
    <mergeCell ref="D25:I25"/>
    <mergeCell ref="BL27:BO27"/>
    <mergeCell ref="BP27:BS27"/>
    <mergeCell ref="BT27:BW27"/>
    <mergeCell ref="D28:I28"/>
    <mergeCell ref="K28:M28"/>
    <mergeCell ref="N28:Q28"/>
    <mergeCell ref="R28:U28"/>
    <mergeCell ref="V28:Y28"/>
    <mergeCell ref="Z28:AC28"/>
    <mergeCell ref="AD27:AG27"/>
    <mergeCell ref="AH27:AK27"/>
    <mergeCell ref="AP27:AU27"/>
    <mergeCell ref="AW27:AY27"/>
    <mergeCell ref="AZ27:BC27"/>
    <mergeCell ref="BD27:BG27"/>
    <mergeCell ref="BH28:BK28"/>
    <mergeCell ref="BL28:BO28"/>
    <mergeCell ref="BP28:BS28"/>
    <mergeCell ref="BT28:BW28"/>
    <mergeCell ref="AW28:AY28"/>
    <mergeCell ref="AZ28:BC28"/>
    <mergeCell ref="BD28:BG28"/>
    <mergeCell ref="D27:I27"/>
    <mergeCell ref="K27:M27"/>
    <mergeCell ref="N29:Q29"/>
    <mergeCell ref="R29:U29"/>
    <mergeCell ref="V29:Y29"/>
    <mergeCell ref="Z29:AC29"/>
    <mergeCell ref="AD28:AG28"/>
    <mergeCell ref="AH28:AK28"/>
    <mergeCell ref="AP28:AU28"/>
    <mergeCell ref="BH27:BK27"/>
    <mergeCell ref="N27:Q27"/>
    <mergeCell ref="R27:U27"/>
    <mergeCell ref="V27:Y27"/>
    <mergeCell ref="Z27:AC27"/>
    <mergeCell ref="BH29:BK29"/>
    <mergeCell ref="BL29:BO29"/>
    <mergeCell ref="BP29:BS29"/>
    <mergeCell ref="BT29:BW29"/>
    <mergeCell ref="D30:I30"/>
    <mergeCell ref="K30:M30"/>
    <mergeCell ref="N30:Q30"/>
    <mergeCell ref="R30:U30"/>
    <mergeCell ref="V30:Y30"/>
    <mergeCell ref="Z30:AC30"/>
    <mergeCell ref="AD29:AG29"/>
    <mergeCell ref="AH29:AK29"/>
    <mergeCell ref="AP29:AU29"/>
    <mergeCell ref="AW29:AY29"/>
    <mergeCell ref="AZ29:BC29"/>
    <mergeCell ref="BD29:BG29"/>
    <mergeCell ref="BH30:BK30"/>
    <mergeCell ref="BL30:BO30"/>
    <mergeCell ref="BP30:BS30"/>
    <mergeCell ref="BT30:BW30"/>
    <mergeCell ref="AW30:AY30"/>
    <mergeCell ref="AZ30:BC30"/>
    <mergeCell ref="BD30:BG30"/>
    <mergeCell ref="D29:I29"/>
    <mergeCell ref="K29:M29"/>
    <mergeCell ref="K31:M31"/>
    <mergeCell ref="N31:Q31"/>
    <mergeCell ref="R31:U31"/>
    <mergeCell ref="V31:Y31"/>
    <mergeCell ref="Z31:AC31"/>
    <mergeCell ref="AD30:AG30"/>
    <mergeCell ref="AH30:AK30"/>
    <mergeCell ref="AP30:AU30"/>
    <mergeCell ref="AD32:AG32"/>
    <mergeCell ref="AH32:AK32"/>
    <mergeCell ref="AP32:AU32"/>
    <mergeCell ref="BH31:BK31"/>
    <mergeCell ref="BL31:BO31"/>
    <mergeCell ref="BP31:BS31"/>
    <mergeCell ref="BT31:BW31"/>
    <mergeCell ref="D32:I32"/>
    <mergeCell ref="K32:M32"/>
    <mergeCell ref="N32:Q32"/>
    <mergeCell ref="R32:U32"/>
    <mergeCell ref="V32:Y32"/>
    <mergeCell ref="Z32:AC32"/>
    <mergeCell ref="AD31:AG31"/>
    <mergeCell ref="AH31:AK31"/>
    <mergeCell ref="AP31:AU31"/>
    <mergeCell ref="AW31:AY31"/>
    <mergeCell ref="AZ31:BC31"/>
    <mergeCell ref="BD31:BG31"/>
    <mergeCell ref="BH32:BK32"/>
    <mergeCell ref="BL32:BO32"/>
    <mergeCell ref="BP32:BS32"/>
    <mergeCell ref="BT32:BW32"/>
    <mergeCell ref="AW32:AY32"/>
    <mergeCell ref="AZ32:BC32"/>
    <mergeCell ref="BD32:BG32"/>
    <mergeCell ref="D31:I31"/>
    <mergeCell ref="BP33:BS33"/>
    <mergeCell ref="BT33:BW33"/>
    <mergeCell ref="D34:I34"/>
    <mergeCell ref="K34:M34"/>
    <mergeCell ref="N34:Q34"/>
    <mergeCell ref="R34:U34"/>
    <mergeCell ref="V34:Y34"/>
    <mergeCell ref="Z34:AC34"/>
    <mergeCell ref="AD33:AG33"/>
    <mergeCell ref="AH33:AK33"/>
    <mergeCell ref="AP33:AU33"/>
    <mergeCell ref="AW33:AY33"/>
    <mergeCell ref="AZ33:BC33"/>
    <mergeCell ref="BD33:BG33"/>
    <mergeCell ref="BH34:BK34"/>
    <mergeCell ref="BL34:BO34"/>
    <mergeCell ref="BP34:BS34"/>
    <mergeCell ref="BT34:BW34"/>
    <mergeCell ref="AW34:AY34"/>
    <mergeCell ref="AZ34:BC34"/>
    <mergeCell ref="BD34:BG34"/>
    <mergeCell ref="D33:I33"/>
    <mergeCell ref="K33:M33"/>
    <mergeCell ref="N33:Q33"/>
    <mergeCell ref="R35:U35"/>
    <mergeCell ref="V35:Y35"/>
    <mergeCell ref="Z35:AC35"/>
    <mergeCell ref="AD35:AG35"/>
    <mergeCell ref="AD34:AG34"/>
    <mergeCell ref="AH34:AK34"/>
    <mergeCell ref="AP34:AU34"/>
    <mergeCell ref="BH33:BK33"/>
    <mergeCell ref="BL33:BO33"/>
    <mergeCell ref="R33:U33"/>
    <mergeCell ref="V33:Y33"/>
    <mergeCell ref="Z33:AC33"/>
    <mergeCell ref="AZ36:BC36"/>
    <mergeCell ref="BD36:BG36"/>
    <mergeCell ref="BH36:BK36"/>
    <mergeCell ref="BL36:BO36"/>
    <mergeCell ref="BP36:BS36"/>
    <mergeCell ref="BT36:BW36"/>
    <mergeCell ref="BP35:BS35"/>
    <mergeCell ref="BT35:BW35"/>
    <mergeCell ref="D36:I36"/>
    <mergeCell ref="N36:Q36"/>
    <mergeCell ref="R36:U36"/>
    <mergeCell ref="V36:Y36"/>
    <mergeCell ref="Z36:AC36"/>
    <mergeCell ref="AD36:AG36"/>
    <mergeCell ref="AH36:AK36"/>
    <mergeCell ref="AP36:AU36"/>
    <mergeCell ref="AH35:AK35"/>
    <mergeCell ref="AP35:AU35"/>
    <mergeCell ref="AZ35:BC35"/>
    <mergeCell ref="BD35:BG35"/>
    <mergeCell ref="BH35:BK35"/>
    <mergeCell ref="BL35:BO35"/>
    <mergeCell ref="D35:I35"/>
    <mergeCell ref="N35:Q35"/>
    <mergeCell ref="BH37:BK37"/>
    <mergeCell ref="BL37:BO37"/>
    <mergeCell ref="BP37:BS37"/>
    <mergeCell ref="BT37:BW37"/>
    <mergeCell ref="D38:I38"/>
    <mergeCell ref="K38:M38"/>
    <mergeCell ref="N38:Q38"/>
    <mergeCell ref="R38:U38"/>
    <mergeCell ref="V38:Y38"/>
    <mergeCell ref="Z38:AC38"/>
    <mergeCell ref="AD37:AG37"/>
    <mergeCell ref="AH37:AK37"/>
    <mergeCell ref="AP37:AU37"/>
    <mergeCell ref="AW37:AY37"/>
    <mergeCell ref="AZ37:BC37"/>
    <mergeCell ref="BD37:BG37"/>
    <mergeCell ref="D37:I37"/>
    <mergeCell ref="K37:M37"/>
    <mergeCell ref="N37:Q37"/>
    <mergeCell ref="R37:U37"/>
    <mergeCell ref="V37:Y37"/>
    <mergeCell ref="Z37:AC37"/>
    <mergeCell ref="BH38:BK38"/>
    <mergeCell ref="BL38:BO38"/>
    <mergeCell ref="AD39:AG39"/>
    <mergeCell ref="AH39:AK39"/>
    <mergeCell ref="AP39:AU39"/>
    <mergeCell ref="BP38:BS38"/>
    <mergeCell ref="BT38:BW38"/>
    <mergeCell ref="D39:I39"/>
    <mergeCell ref="K39:M39"/>
    <mergeCell ref="N39:Q39"/>
    <mergeCell ref="R39:U39"/>
    <mergeCell ref="V39:Y39"/>
    <mergeCell ref="Z39:AC39"/>
    <mergeCell ref="AD38:AG38"/>
    <mergeCell ref="AH38:AK38"/>
    <mergeCell ref="AP38:AU38"/>
    <mergeCell ref="AW38:AY38"/>
    <mergeCell ref="AZ38:BC38"/>
    <mergeCell ref="BD38:BG38"/>
    <mergeCell ref="BH39:BK39"/>
    <mergeCell ref="BL39:BO39"/>
    <mergeCell ref="BP39:BS39"/>
    <mergeCell ref="BT39:BW39"/>
    <mergeCell ref="AW39:AY39"/>
    <mergeCell ref="AZ39:BC39"/>
    <mergeCell ref="BD39:BG39"/>
    <mergeCell ref="BL41:BO41"/>
    <mergeCell ref="BP41:BS41"/>
    <mergeCell ref="BT41:BW41"/>
    <mergeCell ref="D42:I42"/>
    <mergeCell ref="N42:Q42"/>
    <mergeCell ref="R42:U42"/>
    <mergeCell ref="V42:Y42"/>
    <mergeCell ref="Z42:AC42"/>
    <mergeCell ref="AD42:AG42"/>
    <mergeCell ref="AD41:AG41"/>
    <mergeCell ref="AH41:AK41"/>
    <mergeCell ref="AP41:AU41"/>
    <mergeCell ref="AW41:AY41"/>
    <mergeCell ref="AZ41:BC41"/>
    <mergeCell ref="BD41:BG41"/>
    <mergeCell ref="BP42:BS42"/>
    <mergeCell ref="BT42:BW42"/>
    <mergeCell ref="AP42:AU42"/>
    <mergeCell ref="AZ42:BC42"/>
    <mergeCell ref="BD42:BG42"/>
    <mergeCell ref="BH42:BK42"/>
    <mergeCell ref="BL42:BO42"/>
    <mergeCell ref="D41:I41"/>
    <mergeCell ref="K41:M41"/>
    <mergeCell ref="K43:M43"/>
    <mergeCell ref="N43:Q43"/>
    <mergeCell ref="R43:U43"/>
    <mergeCell ref="V43:Y43"/>
    <mergeCell ref="Z43:AC43"/>
    <mergeCell ref="AD43:AG43"/>
    <mergeCell ref="AH43:AK43"/>
    <mergeCell ref="AH42:AK42"/>
    <mergeCell ref="BH41:BK41"/>
    <mergeCell ref="N41:Q41"/>
    <mergeCell ref="R41:U41"/>
    <mergeCell ref="V41:Y41"/>
    <mergeCell ref="Z41:AC41"/>
    <mergeCell ref="BP43:BS43"/>
    <mergeCell ref="BT43:BW43"/>
    <mergeCell ref="D44:I44"/>
    <mergeCell ref="K44:M44"/>
    <mergeCell ref="N44:Q44"/>
    <mergeCell ref="R44:U44"/>
    <mergeCell ref="V44:Y44"/>
    <mergeCell ref="Z44:AC44"/>
    <mergeCell ref="AD44:AG44"/>
    <mergeCell ref="AH44:AK44"/>
    <mergeCell ref="AP43:AU43"/>
    <mergeCell ref="AW43:AY43"/>
    <mergeCell ref="AZ43:BC43"/>
    <mergeCell ref="BD43:BG43"/>
    <mergeCell ref="BH43:BK43"/>
    <mergeCell ref="BL43:BO43"/>
    <mergeCell ref="BP44:BS44"/>
    <mergeCell ref="BT44:BW44"/>
    <mergeCell ref="AW44:AY44"/>
    <mergeCell ref="AZ44:BC44"/>
    <mergeCell ref="BD44:BG44"/>
    <mergeCell ref="BH44:BK44"/>
    <mergeCell ref="BL44:BO44"/>
    <mergeCell ref="D43:I43"/>
    <mergeCell ref="D45:I45"/>
    <mergeCell ref="K45:M45"/>
    <mergeCell ref="N45:Q45"/>
    <mergeCell ref="R45:U45"/>
    <mergeCell ref="V45:Y45"/>
    <mergeCell ref="Z45:AC45"/>
    <mergeCell ref="AD45:AG45"/>
    <mergeCell ref="AH45:AK45"/>
    <mergeCell ref="AP44:AU44"/>
    <mergeCell ref="AP47:AU47"/>
    <mergeCell ref="BP45:BS45"/>
    <mergeCell ref="BT45:BW45"/>
    <mergeCell ref="D47:I47"/>
    <mergeCell ref="K47:M47"/>
    <mergeCell ref="N47:Q47"/>
    <mergeCell ref="R47:U47"/>
    <mergeCell ref="V47:Y47"/>
    <mergeCell ref="Z47:AC47"/>
    <mergeCell ref="AD47:AG47"/>
    <mergeCell ref="AH47:AK47"/>
    <mergeCell ref="AP45:AU45"/>
    <mergeCell ref="AW45:AY45"/>
    <mergeCell ref="AZ45:BC45"/>
    <mergeCell ref="BD45:BG45"/>
    <mergeCell ref="BH45:BK45"/>
    <mergeCell ref="BL45:BO45"/>
    <mergeCell ref="BP47:BS47"/>
    <mergeCell ref="BT47:BW47"/>
    <mergeCell ref="AW47:AY47"/>
    <mergeCell ref="AZ47:BC47"/>
    <mergeCell ref="BD47:BG47"/>
    <mergeCell ref="BH47:BK47"/>
    <mergeCell ref="BL47:BO47"/>
    <mergeCell ref="BD49:BG49"/>
    <mergeCell ref="BH49:BK49"/>
    <mergeCell ref="BL49:BO49"/>
    <mergeCell ref="D48:I48"/>
    <mergeCell ref="K48:M48"/>
    <mergeCell ref="N48:Q48"/>
    <mergeCell ref="R48:U48"/>
    <mergeCell ref="V48:Y48"/>
    <mergeCell ref="Z48:AC48"/>
    <mergeCell ref="AD48:AG48"/>
    <mergeCell ref="AH48:AK48"/>
    <mergeCell ref="Z51:AC51"/>
    <mergeCell ref="AD51:AG51"/>
    <mergeCell ref="AH51:AK51"/>
    <mergeCell ref="AP49:AU49"/>
    <mergeCell ref="BP48:BS48"/>
    <mergeCell ref="BT48:BW48"/>
    <mergeCell ref="D49:I49"/>
    <mergeCell ref="K49:M49"/>
    <mergeCell ref="N49:Q49"/>
    <mergeCell ref="R49:U49"/>
    <mergeCell ref="V49:Y49"/>
    <mergeCell ref="Z49:AC49"/>
    <mergeCell ref="AD49:AG49"/>
    <mergeCell ref="AH49:AK49"/>
    <mergeCell ref="AP48:AU48"/>
    <mergeCell ref="AW48:AY48"/>
    <mergeCell ref="AZ48:BC48"/>
    <mergeCell ref="BD48:BG48"/>
    <mergeCell ref="BH48:BK48"/>
    <mergeCell ref="BL48:BO48"/>
    <mergeCell ref="BP49:BS49"/>
    <mergeCell ref="BT49:BW49"/>
    <mergeCell ref="AW49:AY49"/>
    <mergeCell ref="AZ49:BC49"/>
    <mergeCell ref="BT51:BW51"/>
    <mergeCell ref="D52:I52"/>
    <mergeCell ref="K52:M52"/>
    <mergeCell ref="N52:Q52"/>
    <mergeCell ref="R52:U52"/>
    <mergeCell ref="V52:Y52"/>
    <mergeCell ref="Z52:AC52"/>
    <mergeCell ref="AD52:AG52"/>
    <mergeCell ref="AH52:AK52"/>
    <mergeCell ref="AP51:AU51"/>
    <mergeCell ref="AW51:AY51"/>
    <mergeCell ref="AZ51:BC51"/>
    <mergeCell ref="BD51:BG51"/>
    <mergeCell ref="BH51:BK51"/>
    <mergeCell ref="BL51:BO51"/>
    <mergeCell ref="BP52:BS52"/>
    <mergeCell ref="BT52:BW52"/>
    <mergeCell ref="BH52:BK52"/>
    <mergeCell ref="BL52:BO52"/>
    <mergeCell ref="D51:I51"/>
    <mergeCell ref="K51:M51"/>
    <mergeCell ref="N51:Q51"/>
    <mergeCell ref="R51:U51"/>
    <mergeCell ref="V51:Y51"/>
    <mergeCell ref="AD53:AG53"/>
    <mergeCell ref="AH53:AK53"/>
    <mergeCell ref="AZ53:BC53"/>
    <mergeCell ref="BD53:BG53"/>
    <mergeCell ref="AP52:AU52"/>
    <mergeCell ref="AW52:AY52"/>
    <mergeCell ref="AZ52:BC52"/>
    <mergeCell ref="BD52:BG52"/>
    <mergeCell ref="BP51:BS51"/>
    <mergeCell ref="AD54:AG54"/>
    <mergeCell ref="AH54:AK54"/>
    <mergeCell ref="AP54:AU54"/>
    <mergeCell ref="BH53:BK53"/>
    <mergeCell ref="BL53:BO53"/>
    <mergeCell ref="BP53:BS53"/>
    <mergeCell ref="BT53:BW53"/>
    <mergeCell ref="D54:I54"/>
    <mergeCell ref="K54:M54"/>
    <mergeCell ref="N54:Q54"/>
    <mergeCell ref="R54:U54"/>
    <mergeCell ref="V54:Y54"/>
    <mergeCell ref="Z54:AC54"/>
    <mergeCell ref="BH54:BK54"/>
    <mergeCell ref="BL54:BO54"/>
    <mergeCell ref="BP54:BS54"/>
    <mergeCell ref="BT54:BW54"/>
    <mergeCell ref="AW54:AY54"/>
    <mergeCell ref="AZ54:BC54"/>
    <mergeCell ref="BD54:BG54"/>
    <mergeCell ref="N53:Q53"/>
    <mergeCell ref="R53:U53"/>
    <mergeCell ref="V53:Y53"/>
    <mergeCell ref="Z53:AC53"/>
    <mergeCell ref="BT58:BW58"/>
    <mergeCell ref="AW58:AY58"/>
    <mergeCell ref="D56:I56"/>
    <mergeCell ref="K56:M56"/>
    <mergeCell ref="N56:Q56"/>
    <mergeCell ref="R56:U56"/>
    <mergeCell ref="V56:Y56"/>
    <mergeCell ref="Z56:AC56"/>
    <mergeCell ref="AD55:AG55"/>
    <mergeCell ref="AH55:AK55"/>
    <mergeCell ref="AP55:AU55"/>
    <mergeCell ref="D55:I55"/>
    <mergeCell ref="K55:M55"/>
    <mergeCell ref="N55:Q55"/>
    <mergeCell ref="R55:U55"/>
    <mergeCell ref="V55:Y55"/>
    <mergeCell ref="Z55:AC55"/>
    <mergeCell ref="AD56:AG56"/>
    <mergeCell ref="AH56:AK56"/>
    <mergeCell ref="AP56:AU56"/>
    <mergeCell ref="BH55:BK55"/>
    <mergeCell ref="BL55:BO55"/>
    <mergeCell ref="BP55:BS55"/>
    <mergeCell ref="BT55:BW55"/>
    <mergeCell ref="AW55:AY55"/>
    <mergeCell ref="AZ55:BC55"/>
    <mergeCell ref="BD55:BG55"/>
    <mergeCell ref="BH56:BK56"/>
    <mergeCell ref="BL56:BO56"/>
    <mergeCell ref="BP56:BS56"/>
    <mergeCell ref="BT56:BW56"/>
    <mergeCell ref="AW56:AY56"/>
    <mergeCell ref="AZ56:BC56"/>
    <mergeCell ref="BD56:BG56"/>
    <mergeCell ref="AZ58:BC58"/>
    <mergeCell ref="BD58:BG58"/>
    <mergeCell ref="BT59:BW59"/>
    <mergeCell ref="AW59:AY59"/>
    <mergeCell ref="AZ59:BC59"/>
    <mergeCell ref="BD59:BG59"/>
    <mergeCell ref="D58:I58"/>
    <mergeCell ref="K58:M58"/>
    <mergeCell ref="N58:Q58"/>
    <mergeCell ref="R58:U58"/>
    <mergeCell ref="D59:I59"/>
    <mergeCell ref="K59:M59"/>
    <mergeCell ref="N59:Q59"/>
    <mergeCell ref="R59:U59"/>
    <mergeCell ref="V59:Y59"/>
    <mergeCell ref="Z59:AC59"/>
    <mergeCell ref="AD58:AG58"/>
    <mergeCell ref="AH58:AK58"/>
    <mergeCell ref="AP58:AU58"/>
    <mergeCell ref="V58:Y58"/>
    <mergeCell ref="Z58:AC58"/>
    <mergeCell ref="BH58:BK58"/>
    <mergeCell ref="BL58:BO58"/>
    <mergeCell ref="BP58:BS58"/>
    <mergeCell ref="D62:I62"/>
    <mergeCell ref="K62:M62"/>
    <mergeCell ref="N62:U62"/>
    <mergeCell ref="V62:AC62"/>
    <mergeCell ref="AD62:AK62"/>
    <mergeCell ref="AP62:AU62"/>
    <mergeCell ref="BH59:BK59"/>
    <mergeCell ref="BL59:BO59"/>
    <mergeCell ref="BP59:BS59"/>
    <mergeCell ref="AW62:AY62"/>
    <mergeCell ref="AZ62:BG62"/>
    <mergeCell ref="BH62:BO62"/>
    <mergeCell ref="BP62:BW62"/>
    <mergeCell ref="D61:I61"/>
    <mergeCell ref="K61:M61"/>
    <mergeCell ref="N61:U61"/>
    <mergeCell ref="V61:AC61"/>
    <mergeCell ref="AD61:AK61"/>
    <mergeCell ref="AP61:AU61"/>
    <mergeCell ref="AD59:AG59"/>
    <mergeCell ref="AH59:AK59"/>
    <mergeCell ref="AP59:AU59"/>
    <mergeCell ref="N63:U63"/>
    <mergeCell ref="V63:AC63"/>
    <mergeCell ref="AZ63:BG63"/>
    <mergeCell ref="BH63:BO63"/>
    <mergeCell ref="AW61:AY61"/>
    <mergeCell ref="AZ61:BG61"/>
    <mergeCell ref="BH61:BO61"/>
    <mergeCell ref="BP61:BW61"/>
    <mergeCell ref="BP63:BS63"/>
    <mergeCell ref="BT63:BW63"/>
    <mergeCell ref="C64:AL64"/>
    <mergeCell ref="AO64:BX64"/>
    <mergeCell ref="C65:D65"/>
    <mergeCell ref="E65:H65"/>
    <mergeCell ref="I65:M65"/>
    <mergeCell ref="N65:R65"/>
    <mergeCell ref="S65:W65"/>
    <mergeCell ref="X65:AB65"/>
    <mergeCell ref="C66:D66"/>
    <mergeCell ref="E66:H66"/>
    <mergeCell ref="I66:M66"/>
    <mergeCell ref="N66:R66"/>
    <mergeCell ref="S66:W66"/>
    <mergeCell ref="X66:AB66"/>
    <mergeCell ref="AC66:AL66"/>
    <mergeCell ref="AO66:AP66"/>
    <mergeCell ref="AC65:AL65"/>
    <mergeCell ref="AO65:AP65"/>
    <mergeCell ref="X67:AB67"/>
    <mergeCell ref="AQ66:AT66"/>
    <mergeCell ref="AU66:AY66"/>
    <mergeCell ref="AZ66:BD66"/>
    <mergeCell ref="BE66:BI66"/>
    <mergeCell ref="BJ66:BN66"/>
    <mergeCell ref="BO66:BX66"/>
    <mergeCell ref="BJ65:BN65"/>
    <mergeCell ref="BO65:BX65"/>
    <mergeCell ref="AQ65:AT65"/>
    <mergeCell ref="AU65:AY65"/>
    <mergeCell ref="AZ65:BD65"/>
    <mergeCell ref="BE65:BI65"/>
    <mergeCell ref="BE68:BI68"/>
    <mergeCell ref="BJ68:BN68"/>
    <mergeCell ref="BO68:BX68"/>
    <mergeCell ref="BJ67:BN67"/>
    <mergeCell ref="BO67:BX67"/>
    <mergeCell ref="C68:D68"/>
    <mergeCell ref="E68:H68"/>
    <mergeCell ref="I68:M68"/>
    <mergeCell ref="N68:R68"/>
    <mergeCell ref="S68:W68"/>
    <mergeCell ref="X68:AB68"/>
    <mergeCell ref="AC68:AL68"/>
    <mergeCell ref="AO68:AP68"/>
    <mergeCell ref="AC67:AL67"/>
    <mergeCell ref="AO67:AP67"/>
    <mergeCell ref="AQ67:AT67"/>
    <mergeCell ref="AU67:AY67"/>
    <mergeCell ref="AZ67:BD67"/>
    <mergeCell ref="BE67:BI67"/>
    <mergeCell ref="C67:D67"/>
    <mergeCell ref="E67:H67"/>
    <mergeCell ref="I67:M67"/>
    <mergeCell ref="N67:R67"/>
    <mergeCell ref="S67:W67"/>
    <mergeCell ref="C69:D69"/>
    <mergeCell ref="E69:H69"/>
    <mergeCell ref="I69:M69"/>
    <mergeCell ref="N69:R69"/>
    <mergeCell ref="S69:W69"/>
    <mergeCell ref="X69:AB69"/>
    <mergeCell ref="AQ68:AT68"/>
    <mergeCell ref="AU68:AY68"/>
    <mergeCell ref="AZ68:BD68"/>
    <mergeCell ref="F71:H71"/>
    <mergeCell ref="N71:O71"/>
    <mergeCell ref="R71:S71"/>
    <mergeCell ref="V71:W71"/>
    <mergeCell ref="Z71:AC71"/>
    <mergeCell ref="AD71:AG71"/>
    <mergeCell ref="BJ69:BN69"/>
    <mergeCell ref="BO69:BX69"/>
    <mergeCell ref="F70:H70"/>
    <mergeCell ref="N70:O70"/>
    <mergeCell ref="P70:Q70"/>
    <mergeCell ref="R70:S70"/>
    <mergeCell ref="Z70:AC70"/>
    <mergeCell ref="AD70:AG70"/>
    <mergeCell ref="AC69:AL69"/>
    <mergeCell ref="AO69:AP69"/>
    <mergeCell ref="AQ69:AT69"/>
    <mergeCell ref="AU69:AY69"/>
    <mergeCell ref="AZ69:BD69"/>
    <mergeCell ref="BE69:BI69"/>
    <mergeCell ref="P78:Q78"/>
    <mergeCell ref="R78:S78"/>
    <mergeCell ref="P74:Q74"/>
    <mergeCell ref="R74:S74"/>
    <mergeCell ref="F75:H75"/>
    <mergeCell ref="N75:O75"/>
    <mergeCell ref="F76:H76"/>
    <mergeCell ref="N76:O76"/>
    <mergeCell ref="F72:H72"/>
    <mergeCell ref="N72:O72"/>
    <mergeCell ref="F73:H73"/>
    <mergeCell ref="N73:O73"/>
    <mergeCell ref="F74:H74"/>
    <mergeCell ref="N74:O74"/>
    <mergeCell ref="N79:O79"/>
    <mergeCell ref="F80:H80"/>
    <mergeCell ref="N80:O80"/>
    <mergeCell ref="F81:H81"/>
    <mergeCell ref="N81:O81"/>
    <mergeCell ref="F77:H77"/>
    <mergeCell ref="N77:O77"/>
    <mergeCell ref="F78:H78"/>
    <mergeCell ref="N78:O78"/>
    <mergeCell ref="F89:H89"/>
    <mergeCell ref="N89:O89"/>
    <mergeCell ref="F90:H90"/>
    <mergeCell ref="N90:O90"/>
    <mergeCell ref="AD63:AK63"/>
    <mergeCell ref="F87:H87"/>
    <mergeCell ref="N87:O87"/>
    <mergeCell ref="F88:H88"/>
    <mergeCell ref="N88:O88"/>
    <mergeCell ref="P88:Q88"/>
    <mergeCell ref="R88:S88"/>
    <mergeCell ref="F84:H84"/>
    <mergeCell ref="N84:O84"/>
    <mergeCell ref="F85:H85"/>
    <mergeCell ref="N85:O85"/>
    <mergeCell ref="F86:H86"/>
    <mergeCell ref="N86:O86"/>
    <mergeCell ref="F82:H82"/>
    <mergeCell ref="N82:O82"/>
    <mergeCell ref="P82:Q82"/>
    <mergeCell ref="R82:S82"/>
    <mergeCell ref="F83:H83"/>
    <mergeCell ref="N83:O83"/>
    <mergeCell ref="F79:H79"/>
  </mergeCells>
  <phoneticPr fontId="2" type="noConversion"/>
  <dataValidations count="8">
    <dataValidation type="list" allowBlank="1" showInputMessage="1" showErrorMessage="1" sqref="N27:AK27 AZ27:BW27">
      <formula1>"BARE,BURIED,NO PIPE"</formula1>
    </dataValidation>
    <dataValidation type="list" allowBlank="1" showInputMessage="1" showErrorMessage="1" sqref="N36:AK36 AZ36:BW36">
      <formula1>INS</formula1>
    </dataValidation>
    <dataValidation type="list" allowBlank="1" showInputMessage="1" showErrorMessage="1" sqref="N21:AK21 AZ21:BW21">
      <formula1>"Spring,Summer,Autumn,Winter"</formula1>
    </dataValidation>
    <dataValidation type="list" allowBlank="1" showInputMessage="1" showErrorMessage="1" sqref="N33:AK33 AZ33:BW33">
      <formula1>"HORIZONTAL,VERTICAL"</formula1>
    </dataValidation>
    <dataValidation type="list" allowBlank="1" showInputMessage="1" showErrorMessage="1" sqref="N29:AK29 AZ29:BW29">
      <formula1>SCH</formula1>
    </dataValidation>
    <dataValidation type="list" allowBlank="1" showInputMessage="1" showErrorMessage="1" sqref="N28:AK28 AZ28:BW28">
      <formula1>PIPE</formula1>
    </dataValidation>
    <dataValidation type="list" allowBlank="1" showInputMessage="1" showErrorMessage="1" sqref="N34:AK34 AZ34:BW34">
      <formula1>PIPE_M</formula1>
    </dataValidation>
    <dataValidation type="list" allowBlank="1" showInputMessage="1" showErrorMessage="1" sqref="N35:AK35 AZ35:BW35">
      <formula1>EM</formula1>
    </dataValidation>
  </dataValidations>
  <printOptions horizontalCentered="1"/>
  <pageMargins left="0.11811023622047245" right="0.11811023622047245" top="0.74803149606299213" bottom="0.74803149606299213" header="0.31496062992125984" footer="0.31496062992125984"/>
  <pageSetup paperSize="9" scale="48" fitToWidth="0" fitToHeight="0" orientation="portrait" r:id="rId1"/>
  <colBreaks count="1" manualBreakCount="1">
    <brk id="38" max="6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153"/>
  <sheetViews>
    <sheetView zoomScale="75" workbookViewId="0">
      <selection activeCell="K94" sqref="K94"/>
    </sheetView>
  </sheetViews>
  <sheetFormatPr defaultColWidth="12.5703125" defaultRowHeight="12.75"/>
  <cols>
    <col min="1" max="1" width="7.7109375" customWidth="1"/>
    <col min="2" max="5" width="10.28515625" customWidth="1"/>
    <col min="6" max="6" width="11.5703125" customWidth="1"/>
    <col min="7" max="7" width="12.85546875" customWidth="1"/>
    <col min="8" max="8" width="11.5703125" customWidth="1"/>
    <col min="9" max="11" width="10.28515625" customWidth="1"/>
    <col min="12" max="12" width="12.85546875" customWidth="1"/>
    <col min="13" max="13" width="10.28515625" customWidth="1"/>
    <col min="14" max="14" width="11.5703125" customWidth="1"/>
    <col min="15" max="18" width="10.28515625" customWidth="1"/>
    <col min="19" max="19" width="12.85546875" customWidth="1"/>
    <col min="20" max="20" width="11.5703125" customWidth="1"/>
    <col min="21" max="21" width="10.28515625" customWidth="1"/>
    <col min="22" max="22" width="9" customWidth="1"/>
  </cols>
  <sheetData>
    <row r="1" spans="1:39">
      <c r="A1" s="23"/>
      <c r="B1" s="1"/>
      <c r="C1" s="1"/>
      <c r="D1" s="1"/>
      <c r="E1" s="1"/>
      <c r="F1" s="1"/>
      <c r="G1" s="1"/>
      <c r="H1" s="1"/>
      <c r="I1" s="1"/>
      <c r="J1" s="1"/>
      <c r="K1" s="1"/>
      <c r="L1" s="1"/>
      <c r="M1" s="1"/>
      <c r="N1" s="1"/>
      <c r="O1" s="1"/>
      <c r="P1" s="1"/>
      <c r="Q1" s="1"/>
      <c r="R1" s="1"/>
      <c r="S1" s="1"/>
      <c r="T1" s="1"/>
      <c r="U1" s="1"/>
      <c r="V1" s="1"/>
      <c r="W1" s="1"/>
      <c r="X1" s="1"/>
      <c r="Y1" s="1"/>
      <c r="Z1" s="1"/>
      <c r="AG1" s="1"/>
      <c r="AH1" s="1"/>
      <c r="AI1" s="1"/>
      <c r="AJ1" s="1"/>
      <c r="AK1" s="1"/>
      <c r="AL1" s="1"/>
      <c r="AM1" s="1"/>
    </row>
    <row r="2" spans="1:39" ht="24.75">
      <c r="A2" s="24" t="s">
        <v>20</v>
      </c>
      <c r="C2" s="2"/>
      <c r="D2" s="1"/>
      <c r="E2" s="1"/>
      <c r="F2" s="1"/>
      <c r="G2" s="1"/>
      <c r="H2" s="1"/>
      <c r="I2" s="1"/>
      <c r="J2" s="1"/>
      <c r="K2" s="1"/>
      <c r="L2" s="1"/>
      <c r="M2" s="1"/>
      <c r="N2" s="1"/>
      <c r="O2" s="1"/>
      <c r="P2" s="1"/>
      <c r="Q2" s="1"/>
      <c r="R2" s="1"/>
      <c r="S2" s="1"/>
      <c r="T2" s="1"/>
      <c r="U2" s="1"/>
      <c r="V2" s="1"/>
      <c r="W2" s="1"/>
      <c r="X2" s="1"/>
      <c r="Y2" s="24" t="s">
        <v>56</v>
      </c>
      <c r="Z2" s="1"/>
      <c r="AG2" s="1"/>
      <c r="AH2" s="1"/>
      <c r="AI2" s="1"/>
      <c r="AJ2" s="1"/>
      <c r="AK2" s="1"/>
      <c r="AL2" s="1"/>
      <c r="AM2" s="1"/>
    </row>
    <row r="3" spans="1:39" ht="13.5" thickBot="1">
      <c r="A3" s="1"/>
      <c r="B3" s="1"/>
      <c r="C3" s="1"/>
      <c r="D3" s="1"/>
      <c r="E3" s="1"/>
      <c r="F3" s="1"/>
      <c r="G3" s="1"/>
      <c r="H3" s="1"/>
      <c r="I3" s="1"/>
      <c r="J3" s="1"/>
      <c r="K3" s="1"/>
      <c r="L3" s="1"/>
      <c r="M3" s="1"/>
      <c r="N3" s="1"/>
      <c r="O3" s="1"/>
      <c r="P3" s="1"/>
      <c r="Q3" s="1"/>
      <c r="R3" s="1"/>
      <c r="S3" s="1"/>
      <c r="T3" s="1"/>
      <c r="U3" s="1"/>
      <c r="V3" s="1"/>
      <c r="W3" s="1"/>
      <c r="X3" s="1"/>
      <c r="Y3" s="1"/>
      <c r="Z3" s="1"/>
      <c r="AG3" s="1"/>
      <c r="AH3" s="1"/>
      <c r="AI3" s="1"/>
      <c r="AJ3" s="1"/>
      <c r="AK3" s="1"/>
      <c r="AL3" s="1"/>
      <c r="AM3" s="1"/>
    </row>
    <row r="4" spans="1:39" ht="16.5" thickTop="1">
      <c r="A4" s="3"/>
      <c r="B4" s="4">
        <v>150</v>
      </c>
      <c r="C4" s="4">
        <v>300</v>
      </c>
      <c r="D4" s="4">
        <v>600</v>
      </c>
      <c r="E4" s="4" t="s">
        <v>0</v>
      </c>
      <c r="F4" s="4" t="s">
        <v>1</v>
      </c>
      <c r="G4" s="4" t="s">
        <v>2</v>
      </c>
      <c r="H4" s="4" t="s">
        <v>3</v>
      </c>
      <c r="I4" s="4">
        <v>10</v>
      </c>
      <c r="J4" s="4">
        <v>20</v>
      </c>
      <c r="K4" s="4">
        <v>30</v>
      </c>
      <c r="L4" s="4">
        <v>40</v>
      </c>
      <c r="M4" s="4">
        <v>60</v>
      </c>
      <c r="N4" s="4">
        <v>80</v>
      </c>
      <c r="O4" s="4">
        <v>100</v>
      </c>
      <c r="P4" s="4">
        <v>120</v>
      </c>
      <c r="Q4" s="4">
        <v>140</v>
      </c>
      <c r="R4" s="4">
        <v>160</v>
      </c>
      <c r="S4" s="4" t="s">
        <v>4</v>
      </c>
      <c r="T4" s="4" t="s">
        <v>5</v>
      </c>
      <c r="U4" s="4" t="s">
        <v>6</v>
      </c>
      <c r="V4" s="90" t="s">
        <v>7</v>
      </c>
      <c r="W4" s="5" t="s">
        <v>131</v>
      </c>
      <c r="X4" s="6"/>
      <c r="Y4" s="17" t="s">
        <v>47</v>
      </c>
      <c r="Z4" s="18"/>
      <c r="AA4" s="40">
        <v>0.8</v>
      </c>
      <c r="AB4" s="1"/>
      <c r="AC4" s="1"/>
      <c r="AD4" s="1"/>
      <c r="AE4" s="1"/>
      <c r="AF4" s="1"/>
      <c r="AG4" s="1"/>
      <c r="AH4" s="1"/>
      <c r="AI4" s="1"/>
      <c r="AJ4" s="1"/>
      <c r="AK4" s="1"/>
      <c r="AL4" s="1"/>
      <c r="AM4" s="1"/>
    </row>
    <row r="5" spans="1:39" ht="15.75">
      <c r="A5" s="7">
        <v>0</v>
      </c>
      <c r="B5" s="8"/>
      <c r="C5" s="8"/>
      <c r="D5" s="8"/>
      <c r="E5" s="8"/>
      <c r="F5" s="8"/>
      <c r="G5" s="8"/>
      <c r="H5" s="8"/>
      <c r="I5" s="8"/>
      <c r="J5" s="8"/>
      <c r="K5" s="8"/>
      <c r="L5" s="8"/>
      <c r="M5" s="8"/>
      <c r="N5" s="8"/>
      <c r="O5" s="8"/>
      <c r="P5" s="8"/>
      <c r="Q5" s="8"/>
      <c r="R5" s="8"/>
      <c r="S5" s="8"/>
      <c r="T5" s="8"/>
      <c r="U5" s="8"/>
      <c r="V5" s="91"/>
      <c r="W5" s="25">
        <v>0</v>
      </c>
      <c r="X5" s="9"/>
      <c r="Y5" s="17" t="s">
        <v>14</v>
      </c>
      <c r="Z5" s="18"/>
      <c r="AA5" s="40">
        <v>0.8</v>
      </c>
      <c r="AB5" s="1"/>
      <c r="AC5" s="1"/>
      <c r="AD5" s="1"/>
      <c r="AE5" s="1"/>
      <c r="AF5" s="1"/>
      <c r="AG5" s="1"/>
      <c r="AH5" s="1"/>
      <c r="AI5" s="1"/>
      <c r="AJ5" s="1"/>
      <c r="AK5" s="1"/>
      <c r="AL5" s="1"/>
      <c r="AM5" s="1"/>
    </row>
    <row r="6" spans="1:39" ht="15.75">
      <c r="A6" s="7">
        <v>0.125</v>
      </c>
      <c r="B6" s="8" t="s">
        <v>8</v>
      </c>
      <c r="C6" s="8" t="s">
        <v>8</v>
      </c>
      <c r="D6" s="8" t="s">
        <v>8</v>
      </c>
      <c r="E6" s="8" t="s">
        <v>8</v>
      </c>
      <c r="F6" s="8">
        <v>7.7980000000000002E-3</v>
      </c>
      <c r="G6" s="8">
        <v>6.731E-3</v>
      </c>
      <c r="H6" s="8">
        <v>5.4609999999999997E-3</v>
      </c>
      <c r="I6" s="8"/>
      <c r="J6" s="8"/>
      <c r="K6" s="8"/>
      <c r="L6" s="8">
        <v>6.731E-3</v>
      </c>
      <c r="M6" s="8"/>
      <c r="N6" s="8">
        <v>5.4609999999999997E-3</v>
      </c>
      <c r="O6" s="8"/>
      <c r="P6" s="8"/>
      <c r="Q6" s="8"/>
      <c r="R6" s="8"/>
      <c r="S6" s="8">
        <v>6.8326000000000003E-3</v>
      </c>
      <c r="T6" s="8">
        <v>5.4609999999999997E-3</v>
      </c>
      <c r="U6" s="8"/>
      <c r="V6" s="91"/>
      <c r="W6" s="25">
        <v>0.40500000000000003</v>
      </c>
      <c r="X6" s="9"/>
      <c r="Y6" s="17" t="s">
        <v>15</v>
      </c>
      <c r="Z6" s="18"/>
      <c r="AA6" s="40">
        <v>0.12</v>
      </c>
      <c r="AB6" s="1"/>
      <c r="AC6" s="1"/>
      <c r="AD6" s="1"/>
      <c r="AE6" s="1"/>
      <c r="AF6" s="1"/>
      <c r="AG6" s="1"/>
      <c r="AH6" s="1"/>
      <c r="AI6" s="1"/>
      <c r="AJ6" s="1"/>
      <c r="AK6" s="1"/>
      <c r="AL6" s="1"/>
      <c r="AM6" s="1"/>
    </row>
    <row r="7" spans="1:39" ht="15.75">
      <c r="A7" s="7">
        <v>0.25</v>
      </c>
      <c r="B7" s="8" t="s">
        <v>8</v>
      </c>
      <c r="C7" s="8" t="s">
        <v>8</v>
      </c>
      <c r="D7" s="8" t="s">
        <v>8</v>
      </c>
      <c r="E7" s="8" t="s">
        <v>8</v>
      </c>
      <c r="F7" s="8">
        <v>1.0414E-2</v>
      </c>
      <c r="G7" s="8">
        <v>9.2455999999999997E-3</v>
      </c>
      <c r="H7" s="8">
        <v>7.6709999999999999E-3</v>
      </c>
      <c r="I7" s="8"/>
      <c r="J7" s="8"/>
      <c r="K7" s="8"/>
      <c r="L7" s="8">
        <v>9.2455999999999997E-3</v>
      </c>
      <c r="M7" s="8"/>
      <c r="N7" s="8">
        <v>7.6709999999999999E-3</v>
      </c>
      <c r="O7" s="8"/>
      <c r="P7" s="8"/>
      <c r="Q7" s="8"/>
      <c r="R7" s="8" t="e">
        <f>NA()</f>
        <v>#N/A</v>
      </c>
      <c r="S7" s="8">
        <v>9.2455999999999997E-3</v>
      </c>
      <c r="T7" s="8">
        <v>7.6709999999999999E-3</v>
      </c>
      <c r="U7" s="8" t="e">
        <f>NA()</f>
        <v>#N/A</v>
      </c>
      <c r="V7" s="91" t="e">
        <f>NA()</f>
        <v>#N/A</v>
      </c>
      <c r="W7" s="25">
        <v>0.54</v>
      </c>
      <c r="X7" s="9"/>
      <c r="Y7" s="17" t="s">
        <v>16</v>
      </c>
      <c r="Z7" s="18"/>
      <c r="AA7" s="40">
        <v>0.55000000000000004</v>
      </c>
      <c r="AB7" s="1"/>
      <c r="AC7" s="1"/>
      <c r="AD7" s="1"/>
      <c r="AE7" s="1"/>
      <c r="AF7" s="1"/>
      <c r="AG7" s="1"/>
      <c r="AH7" s="1"/>
      <c r="AI7" s="1"/>
      <c r="AJ7" s="1"/>
      <c r="AK7" s="1"/>
      <c r="AL7" s="1"/>
      <c r="AM7" s="1"/>
    </row>
    <row r="8" spans="1:39" ht="15.75">
      <c r="A8" s="7">
        <v>0.5</v>
      </c>
      <c r="B8" s="8">
        <v>1.387E-2</v>
      </c>
      <c r="C8" s="8">
        <v>1.387E-2</v>
      </c>
      <c r="D8" s="8">
        <v>1.387E-2</v>
      </c>
      <c r="E8" s="8">
        <v>1.8030000000000001E-2</v>
      </c>
      <c r="F8" s="8">
        <v>1.712E-2</v>
      </c>
      <c r="G8" s="8">
        <v>1.5800000000000002E-2</v>
      </c>
      <c r="H8" s="8">
        <v>1.387E-2</v>
      </c>
      <c r="I8" s="8"/>
      <c r="J8" s="8"/>
      <c r="K8" s="8"/>
      <c r="L8" s="8">
        <v>1.5800000000000002E-2</v>
      </c>
      <c r="M8" s="8"/>
      <c r="N8" s="8">
        <v>1.387E-2</v>
      </c>
      <c r="O8" s="8"/>
      <c r="P8" s="8"/>
      <c r="Q8" s="8"/>
      <c r="R8" s="8">
        <v>1.184E-2</v>
      </c>
      <c r="S8" s="8">
        <v>1.5800000000000002E-2</v>
      </c>
      <c r="T8" s="8">
        <v>1.387E-2</v>
      </c>
      <c r="U8" s="8">
        <v>6.4000000000000003E-3</v>
      </c>
      <c r="V8" s="91">
        <v>1.5800000000000002E-2</v>
      </c>
      <c r="W8" s="25">
        <v>0.84</v>
      </c>
      <c r="X8" s="6"/>
      <c r="Y8" s="17" t="s">
        <v>18</v>
      </c>
      <c r="Z8" s="18"/>
      <c r="AA8" s="40">
        <v>0.2</v>
      </c>
      <c r="AB8" s="1"/>
      <c r="AC8" s="1"/>
      <c r="AD8" s="1"/>
      <c r="AE8" s="1"/>
      <c r="AF8" s="1"/>
      <c r="AG8" s="1"/>
      <c r="AH8" s="1"/>
      <c r="AI8" s="1"/>
      <c r="AJ8" s="1"/>
      <c r="AK8" s="1"/>
      <c r="AL8" s="1"/>
      <c r="AM8" s="1"/>
    </row>
    <row r="9" spans="1:39" ht="15.75">
      <c r="A9" s="7">
        <v>0.75</v>
      </c>
      <c r="B9" s="8">
        <v>1.8850000000000002E-2</v>
      </c>
      <c r="C9" s="8">
        <v>1.8850000000000002E-2</v>
      </c>
      <c r="D9" s="8">
        <v>1.8850000000000002E-2</v>
      </c>
      <c r="E9" s="8">
        <v>2.3369999999999998E-2</v>
      </c>
      <c r="F9" s="8">
        <v>2.2450000000000001E-2</v>
      </c>
      <c r="G9" s="8">
        <v>2.0930000000000001E-2</v>
      </c>
      <c r="H9" s="8">
        <v>1.8850000000000002E-2</v>
      </c>
      <c r="I9" s="8"/>
      <c r="J9" s="8"/>
      <c r="K9" s="8"/>
      <c r="L9" s="8">
        <v>2.0930000000000001E-2</v>
      </c>
      <c r="M9" s="8"/>
      <c r="N9" s="8">
        <v>1.8850000000000002E-2</v>
      </c>
      <c r="O9" s="8"/>
      <c r="P9" s="8"/>
      <c r="Q9" s="8"/>
      <c r="R9" s="8">
        <v>1.5600000000000001E-2</v>
      </c>
      <c r="S9" s="8">
        <v>2.0930000000000001E-2</v>
      </c>
      <c r="T9" s="8">
        <v>1.8850000000000002E-2</v>
      </c>
      <c r="U9" s="8">
        <v>1.102E-2</v>
      </c>
      <c r="V9" s="91">
        <v>2.0900000000000002E-2</v>
      </c>
      <c r="W9" s="25">
        <v>1.05</v>
      </c>
      <c r="X9" s="6"/>
      <c r="Y9" s="19" t="s">
        <v>19</v>
      </c>
      <c r="Z9" s="66"/>
      <c r="AA9" s="40">
        <v>0.6</v>
      </c>
      <c r="AB9" s="1"/>
      <c r="AC9" s="1"/>
      <c r="AD9" s="1"/>
      <c r="AE9" s="1"/>
      <c r="AF9" s="1"/>
      <c r="AG9" s="1"/>
      <c r="AH9" s="1"/>
      <c r="AI9" s="1"/>
      <c r="AJ9" s="1"/>
      <c r="AK9" s="1"/>
      <c r="AL9" s="1"/>
      <c r="AM9" s="1"/>
    </row>
    <row r="10" spans="1:39" ht="15.75">
      <c r="A10" s="7">
        <v>1</v>
      </c>
      <c r="B10" s="8">
        <v>2.4309999999999998E-2</v>
      </c>
      <c r="C10" s="8">
        <v>2.4309999999999998E-2</v>
      </c>
      <c r="D10" s="8">
        <v>2.4309999999999998E-2</v>
      </c>
      <c r="E10" s="8">
        <v>3.0100000000000002E-2</v>
      </c>
      <c r="F10" s="8">
        <v>2.7859999999999999E-2</v>
      </c>
      <c r="G10" s="8">
        <v>2.664E-2</v>
      </c>
      <c r="H10" s="8">
        <v>2.4309999999999998E-2</v>
      </c>
      <c r="I10" s="8"/>
      <c r="J10" s="8"/>
      <c r="K10" s="8"/>
      <c r="L10" s="8">
        <v>2.664E-2</v>
      </c>
      <c r="M10" s="8"/>
      <c r="N10" s="8">
        <v>2.4309999999999998E-2</v>
      </c>
      <c r="O10" s="8"/>
      <c r="P10" s="8"/>
      <c r="Q10" s="8"/>
      <c r="R10" s="8">
        <v>2.07E-2</v>
      </c>
      <c r="S10" s="8">
        <v>2.664E-2</v>
      </c>
      <c r="T10" s="8">
        <v>2.4309999999999998E-2</v>
      </c>
      <c r="U10" s="8">
        <v>1.521E-2</v>
      </c>
      <c r="V10" s="91">
        <v>2.6600000000000002E-2</v>
      </c>
      <c r="W10" s="25">
        <v>1.3149999999999999</v>
      </c>
      <c r="X10" s="6"/>
      <c r="Y10" s="17" t="s">
        <v>17</v>
      </c>
      <c r="Z10" s="18"/>
      <c r="AA10" s="40">
        <v>0.6</v>
      </c>
      <c r="AB10" s="1"/>
      <c r="AC10" s="1"/>
      <c r="AD10" s="1"/>
      <c r="AE10" s="1"/>
      <c r="AF10" s="1"/>
      <c r="AG10" s="1"/>
      <c r="AH10" s="1"/>
      <c r="AI10" s="1"/>
      <c r="AJ10" s="1"/>
      <c r="AK10" s="1"/>
      <c r="AL10" s="1"/>
      <c r="AM10" s="1"/>
    </row>
    <row r="11" spans="1:39" ht="15.75">
      <c r="A11" s="7">
        <v>1.25</v>
      </c>
      <c r="B11" s="8">
        <v>3.2460000000000003E-2</v>
      </c>
      <c r="C11" s="8">
        <v>3.2460000000000003E-2</v>
      </c>
      <c r="D11" s="8">
        <v>3.2460000000000003E-2</v>
      </c>
      <c r="E11" s="8" t="e">
        <f>NA()</f>
        <v>#N/A</v>
      </c>
      <c r="F11" s="8" t="e">
        <f>NA()</f>
        <v>#N/A</v>
      </c>
      <c r="G11" s="8" t="e">
        <f>NA()</f>
        <v>#N/A</v>
      </c>
      <c r="H11" s="8" t="e">
        <f>NA()</f>
        <v>#N/A</v>
      </c>
      <c r="I11" s="8"/>
      <c r="J11" s="8"/>
      <c r="K11" s="8"/>
      <c r="L11" s="8" t="e">
        <f>NA()</f>
        <v>#N/A</v>
      </c>
      <c r="M11" s="8"/>
      <c r="N11" s="8" t="e">
        <f>NA()</f>
        <v>#N/A</v>
      </c>
      <c r="O11" s="8"/>
      <c r="P11" s="8"/>
      <c r="Q11" s="8"/>
      <c r="R11" s="8" t="e">
        <f>NA()</f>
        <v>#N/A</v>
      </c>
      <c r="S11" s="8" t="e">
        <f>NA()</f>
        <v>#N/A</v>
      </c>
      <c r="T11" s="8" t="e">
        <f>NA()</f>
        <v>#N/A</v>
      </c>
      <c r="U11" s="8" t="e">
        <f>NA()</f>
        <v>#N/A</v>
      </c>
      <c r="V11" s="91">
        <v>3.5099999999999999E-2</v>
      </c>
      <c r="W11" s="25">
        <v>1.66</v>
      </c>
      <c r="X11" s="6"/>
      <c r="Y11" s="505"/>
      <c r="Z11" s="505"/>
      <c r="AA11" s="40"/>
      <c r="AB11" s="1"/>
      <c r="AC11" s="1"/>
      <c r="AD11" s="1"/>
      <c r="AE11" s="1"/>
      <c r="AF11" s="1"/>
      <c r="AG11" s="1"/>
      <c r="AH11" s="1"/>
      <c r="AI11" s="1"/>
      <c r="AJ11" s="1"/>
      <c r="AK11" s="1"/>
      <c r="AL11" s="1"/>
      <c r="AM11" s="1"/>
    </row>
    <row r="12" spans="1:39" ht="15.75">
      <c r="A12" s="7">
        <v>1.5</v>
      </c>
      <c r="B12" s="8">
        <v>3.8100000000000002E-2</v>
      </c>
      <c r="C12" s="8">
        <v>3.8100000000000002E-2</v>
      </c>
      <c r="D12" s="8">
        <v>3.8100000000000002E-2</v>
      </c>
      <c r="E12" s="8">
        <v>4.496E-2</v>
      </c>
      <c r="F12" s="8">
        <v>4.2720000000000001E-2</v>
      </c>
      <c r="G12" s="8">
        <v>4.0890000000000003E-2</v>
      </c>
      <c r="H12" s="8">
        <v>3.8100000000000002E-2</v>
      </c>
      <c r="I12" s="8"/>
      <c r="J12" s="8"/>
      <c r="K12" s="8"/>
      <c r="L12" s="8">
        <v>4.0890000000000003E-2</v>
      </c>
      <c r="M12" s="8"/>
      <c r="N12" s="8">
        <v>3.8100000000000002E-2</v>
      </c>
      <c r="O12" s="8"/>
      <c r="P12" s="8"/>
      <c r="Q12" s="8"/>
      <c r="R12" s="8">
        <v>3.3989999999999999E-2</v>
      </c>
      <c r="S12" s="8">
        <v>4.0890000000000003E-2</v>
      </c>
      <c r="T12" s="8">
        <v>3.8100000000000002E-2</v>
      </c>
      <c r="U12" s="8">
        <v>2.794E-2</v>
      </c>
      <c r="V12" s="91">
        <v>4.0899999999999999E-2</v>
      </c>
      <c r="W12" s="25">
        <v>1.9</v>
      </c>
      <c r="X12" s="6"/>
      <c r="Y12" s="6"/>
      <c r="Z12" s="1"/>
      <c r="AA12" s="1"/>
      <c r="AB12" s="1"/>
      <c r="AC12" s="1"/>
      <c r="AD12" s="1"/>
      <c r="AE12" s="1"/>
      <c r="AF12" s="1"/>
      <c r="AG12" s="1"/>
      <c r="AH12" s="1"/>
      <c r="AI12" s="1"/>
      <c r="AJ12" s="1"/>
      <c r="AK12" s="1"/>
      <c r="AL12" s="1"/>
      <c r="AM12" s="1"/>
    </row>
    <row r="13" spans="1:39" ht="15.75">
      <c r="A13" s="7">
        <v>2</v>
      </c>
      <c r="B13" s="8">
        <v>5.2499999999999998E-2</v>
      </c>
      <c r="C13" s="8">
        <v>5.2499999999999998E-2</v>
      </c>
      <c r="D13" s="8">
        <v>4.9250000000000002E-2</v>
      </c>
      <c r="E13" s="8">
        <v>5.7020000000000001E-2</v>
      </c>
      <c r="F13" s="8">
        <v>5.4789999999999998E-2</v>
      </c>
      <c r="G13" s="8">
        <v>5.2499999999999998E-2</v>
      </c>
      <c r="H13" s="8">
        <v>4.9250000000000002E-2</v>
      </c>
      <c r="I13" s="8"/>
      <c r="J13" s="8"/>
      <c r="K13" s="8"/>
      <c r="L13" s="8">
        <v>5.2499999999999998E-2</v>
      </c>
      <c r="M13" s="8"/>
      <c r="N13" s="8">
        <v>4.9250000000000002E-2</v>
      </c>
      <c r="O13" s="8"/>
      <c r="P13" s="8"/>
      <c r="Q13" s="8"/>
      <c r="R13" s="8">
        <v>4.2900000000000001E-2</v>
      </c>
      <c r="S13" s="8">
        <v>5.2499999999999998E-2</v>
      </c>
      <c r="T13" s="8">
        <v>4.9250000000000002E-2</v>
      </c>
      <c r="U13" s="8">
        <v>3.8179999999999999E-2</v>
      </c>
      <c r="V13" s="91">
        <v>5.2499999999999998E-2</v>
      </c>
      <c r="W13" s="25">
        <v>2.375</v>
      </c>
      <c r="X13" s="6"/>
      <c r="Y13" s="6"/>
      <c r="Z13" s="1"/>
      <c r="AA13" s="1"/>
      <c r="AB13" s="1"/>
      <c r="AC13" s="1"/>
      <c r="AD13" s="1"/>
      <c r="AE13" s="1"/>
      <c r="AF13" s="1"/>
      <c r="AG13" s="1"/>
      <c r="AH13" s="1"/>
      <c r="AI13" s="1"/>
      <c r="AJ13" s="1"/>
      <c r="AK13" s="1"/>
      <c r="AL13" s="1"/>
      <c r="AM13" s="1"/>
    </row>
    <row r="14" spans="1:39" ht="15.75">
      <c r="A14" s="7">
        <v>2.5</v>
      </c>
      <c r="B14" s="8">
        <v>6.2710000000000002E-2</v>
      </c>
      <c r="C14" s="8">
        <v>6.2710000000000002E-2</v>
      </c>
      <c r="D14" s="8">
        <v>5.9000000000000004E-2</v>
      </c>
      <c r="E14" s="8">
        <v>6.8809999999999996E-2</v>
      </c>
      <c r="F14" s="8">
        <v>6.6930000000000003E-2</v>
      </c>
      <c r="G14" s="8">
        <v>6.2710000000000002E-2</v>
      </c>
      <c r="H14" s="8">
        <v>5.9000000000000004E-2</v>
      </c>
      <c r="I14" s="8"/>
      <c r="J14" s="8"/>
      <c r="K14" s="8"/>
      <c r="L14" s="8">
        <v>6.2710000000000002E-2</v>
      </c>
      <c r="M14" s="8"/>
      <c r="N14" s="8">
        <v>5.9000000000000004E-2</v>
      </c>
      <c r="O14" s="8"/>
      <c r="P14" s="8"/>
      <c r="Q14" s="8"/>
      <c r="R14" s="8">
        <v>5.3969999999999997E-2</v>
      </c>
      <c r="S14" s="8">
        <v>6.2710000000000002E-2</v>
      </c>
      <c r="T14" s="8">
        <v>5.9000000000000004E-2</v>
      </c>
      <c r="U14" s="8">
        <v>4.4979999999999999E-2</v>
      </c>
      <c r="V14" s="91">
        <v>6.2700000000000006E-2</v>
      </c>
      <c r="W14" s="25">
        <v>2.875</v>
      </c>
      <c r="X14" s="6"/>
      <c r="Y14" s="6"/>
      <c r="Z14" s="1"/>
      <c r="AA14" s="1"/>
      <c r="AB14" s="1"/>
      <c r="AC14" s="1"/>
      <c r="AD14" s="1"/>
      <c r="AE14" s="1"/>
      <c r="AF14" s="1"/>
      <c r="AG14" s="1"/>
      <c r="AH14" s="1"/>
      <c r="AI14" s="1"/>
      <c r="AJ14" s="1"/>
      <c r="AK14" s="1"/>
      <c r="AL14" s="1"/>
      <c r="AM14" s="1"/>
    </row>
    <row r="15" spans="1:39" ht="15.75">
      <c r="A15" s="7">
        <v>3</v>
      </c>
      <c r="B15" s="8">
        <v>7.7929999999999999E-2</v>
      </c>
      <c r="C15" s="8">
        <v>7.7929999999999999E-2</v>
      </c>
      <c r="D15" s="8">
        <v>7.3660000000000003E-2</v>
      </c>
      <c r="E15" s="8">
        <v>8.4680000000000005E-2</v>
      </c>
      <c r="F15" s="8">
        <v>8.2799999999999999E-2</v>
      </c>
      <c r="G15" s="8">
        <v>7.7929999999999999E-2</v>
      </c>
      <c r="H15" s="8">
        <v>7.3660000000000003E-2</v>
      </c>
      <c r="I15" s="8"/>
      <c r="J15" s="8"/>
      <c r="K15" s="8"/>
      <c r="L15" s="8">
        <v>7.7929999999999999E-2</v>
      </c>
      <c r="M15" s="8"/>
      <c r="N15" s="8">
        <v>7.3660000000000003E-2</v>
      </c>
      <c r="O15" s="8"/>
      <c r="P15" s="8"/>
      <c r="Q15" s="8"/>
      <c r="R15" s="8">
        <v>6.6650000000000001E-2</v>
      </c>
      <c r="S15" s="8">
        <v>7.7929999999999999E-2</v>
      </c>
      <c r="T15" s="8">
        <v>7.3660000000000003E-2</v>
      </c>
      <c r="U15" s="8">
        <v>5.842E-2</v>
      </c>
      <c r="V15" s="91">
        <v>7.7899999999999997E-2</v>
      </c>
      <c r="W15" s="25">
        <v>3.5</v>
      </c>
      <c r="X15" s="6"/>
      <c r="Y15" s="6"/>
      <c r="Z15" s="1"/>
      <c r="AA15" s="1"/>
      <c r="AB15" s="1"/>
      <c r="AC15" s="1"/>
      <c r="AD15" s="1"/>
      <c r="AE15" s="1"/>
      <c r="AF15" s="1"/>
      <c r="AG15" s="1"/>
      <c r="AH15" s="1"/>
      <c r="AI15" s="1"/>
      <c r="AJ15" s="1"/>
      <c r="AK15" s="1"/>
      <c r="AL15" s="1"/>
      <c r="AM15" s="1"/>
    </row>
    <row r="16" spans="1:39" ht="15.75">
      <c r="A16" s="7">
        <v>3.5</v>
      </c>
      <c r="B16" s="8">
        <v>9.0120000000000006E-2</v>
      </c>
      <c r="C16" s="8">
        <v>9.0120000000000006E-2</v>
      </c>
      <c r="D16" s="8">
        <v>8.5449999999999998E-2</v>
      </c>
      <c r="E16" s="8" t="e">
        <f>NA()</f>
        <v>#N/A</v>
      </c>
      <c r="F16" s="8" t="e">
        <f>NA()</f>
        <v>#N/A</v>
      </c>
      <c r="G16" s="8" t="e">
        <f>NA()</f>
        <v>#N/A</v>
      </c>
      <c r="H16" s="8" t="e">
        <f>NA()</f>
        <v>#N/A</v>
      </c>
      <c r="I16" s="8"/>
      <c r="J16" s="8"/>
      <c r="K16" s="8"/>
      <c r="L16" s="8" t="e">
        <f>NA()</f>
        <v>#N/A</v>
      </c>
      <c r="M16" s="8"/>
      <c r="N16" s="8" t="e">
        <f>NA()</f>
        <v>#N/A</v>
      </c>
      <c r="O16" s="8"/>
      <c r="P16" s="8" t="e">
        <f>NA()</f>
        <v>#N/A</v>
      </c>
      <c r="Q16" s="8"/>
      <c r="R16" s="8"/>
      <c r="S16" s="8" t="e">
        <f>NA()</f>
        <v>#N/A</v>
      </c>
      <c r="T16" s="8" t="e">
        <f>NA()</f>
        <v>#N/A</v>
      </c>
      <c r="U16" s="8" t="e">
        <f>NA()</f>
        <v>#N/A</v>
      </c>
      <c r="V16" s="91">
        <v>9.01E-2</v>
      </c>
      <c r="W16" s="25">
        <v>4</v>
      </c>
      <c r="X16" s="6"/>
      <c r="Y16" s="6"/>
      <c r="Z16" s="1"/>
      <c r="AA16" s="1"/>
      <c r="AB16" s="1"/>
      <c r="AC16" s="1"/>
      <c r="AD16" s="1"/>
      <c r="AE16" s="1"/>
      <c r="AF16" s="1"/>
      <c r="AG16" s="1"/>
      <c r="AH16" s="1"/>
      <c r="AI16" s="1"/>
      <c r="AJ16" s="1"/>
      <c r="AK16" s="1"/>
      <c r="AL16" s="1"/>
      <c r="AM16" s="1"/>
    </row>
    <row r="17" spans="1:39" ht="15.75">
      <c r="A17" s="7">
        <v>4</v>
      </c>
      <c r="B17" s="8">
        <v>0.10226</v>
      </c>
      <c r="C17" s="8">
        <v>0.10226</v>
      </c>
      <c r="D17" s="8">
        <v>9.7180000000000002E-2</v>
      </c>
      <c r="E17" s="8">
        <v>0.11008</v>
      </c>
      <c r="F17" s="8">
        <v>0.1082</v>
      </c>
      <c r="G17" s="8">
        <v>0.10226</v>
      </c>
      <c r="H17" s="8">
        <v>9.7180000000000002E-2</v>
      </c>
      <c r="I17" s="8"/>
      <c r="J17" s="8"/>
      <c r="K17" s="8"/>
      <c r="L17" s="8">
        <v>0.10226</v>
      </c>
      <c r="M17" s="8"/>
      <c r="N17" s="8">
        <v>9.7180000000000002E-2</v>
      </c>
      <c r="O17" s="8"/>
      <c r="P17" s="8">
        <v>9.2050000000000007E-2</v>
      </c>
      <c r="Q17" s="8"/>
      <c r="R17" s="8">
        <v>8.7330000000000005E-2</v>
      </c>
      <c r="S17" s="8">
        <v>0.10226</v>
      </c>
      <c r="T17" s="8">
        <v>9.7180000000000002E-2</v>
      </c>
      <c r="U17" s="8">
        <v>8.0060000000000006E-2</v>
      </c>
      <c r="V17" s="91">
        <v>0.1023</v>
      </c>
      <c r="W17" s="25">
        <v>4.5</v>
      </c>
      <c r="X17" s="6"/>
      <c r="Y17" s="6"/>
      <c r="Z17" s="1"/>
      <c r="AA17" s="1"/>
      <c r="AB17" s="1"/>
      <c r="AC17" s="1"/>
      <c r="AD17" s="1"/>
      <c r="AE17" s="1"/>
      <c r="AF17" s="1"/>
      <c r="AG17" s="1"/>
      <c r="AH17" s="1"/>
      <c r="AI17" s="1"/>
      <c r="AJ17" s="1"/>
      <c r="AK17" s="1"/>
      <c r="AL17" s="1"/>
      <c r="AM17" s="1"/>
    </row>
    <row r="18" spans="1:39" ht="15.75">
      <c r="A18" s="7">
        <v>5</v>
      </c>
      <c r="B18" s="8">
        <v>0.12819</v>
      </c>
      <c r="C18" s="8">
        <v>0.12819</v>
      </c>
      <c r="D18" s="8">
        <v>0.12225</v>
      </c>
      <c r="E18" s="8">
        <v>0.13575999999999999</v>
      </c>
      <c r="F18" s="8" t="e">
        <f>NA()</f>
        <v>#N/A</v>
      </c>
      <c r="G18" s="8" t="e">
        <f>NA()</f>
        <v>#N/A</v>
      </c>
      <c r="H18" s="8" t="e">
        <f>NA()</f>
        <v>#N/A</v>
      </c>
      <c r="I18" s="8"/>
      <c r="J18" s="8"/>
      <c r="K18" s="8"/>
      <c r="L18" s="8" t="e">
        <f>NA()</f>
        <v>#N/A</v>
      </c>
      <c r="M18" s="8"/>
      <c r="N18" s="8" t="e">
        <f>NA()</f>
        <v>#N/A</v>
      </c>
      <c r="O18" s="8"/>
      <c r="P18" s="8" t="e">
        <f>NA()</f>
        <v>#N/A</v>
      </c>
      <c r="Q18" s="8"/>
      <c r="R18" s="8"/>
      <c r="S18" s="8" t="e">
        <f>NA()</f>
        <v>#N/A</v>
      </c>
      <c r="T18" s="8" t="e">
        <f>NA()</f>
        <v>#N/A</v>
      </c>
      <c r="U18" s="8" t="e">
        <f>NA()</f>
        <v>#N/A</v>
      </c>
      <c r="V18" s="91">
        <v>0.12820000000000001</v>
      </c>
      <c r="W18" s="25">
        <v>5.5629999999999997</v>
      </c>
      <c r="X18" s="6"/>
      <c r="Y18" s="6"/>
      <c r="Z18" s="1"/>
      <c r="AA18" s="1"/>
      <c r="AB18" s="1"/>
      <c r="AC18" s="1"/>
      <c r="AD18" s="1"/>
      <c r="AE18" s="1"/>
      <c r="AF18" s="1"/>
      <c r="AG18" s="1"/>
      <c r="AH18" s="1"/>
      <c r="AI18" s="1"/>
      <c r="AJ18" s="1"/>
      <c r="AK18" s="1"/>
      <c r="AL18" s="1"/>
      <c r="AM18" s="1"/>
    </row>
    <row r="19" spans="1:39" ht="15.75">
      <c r="A19" s="7">
        <v>6</v>
      </c>
      <c r="B19" s="8">
        <v>0.15404999999999999</v>
      </c>
      <c r="C19" s="8">
        <v>0.15404999999999999</v>
      </c>
      <c r="D19" s="8">
        <v>0.14632999999999999</v>
      </c>
      <c r="E19" s="8">
        <v>0.16274</v>
      </c>
      <c r="F19" s="8">
        <v>0.16147</v>
      </c>
      <c r="G19" s="8">
        <v>0.15404999999999999</v>
      </c>
      <c r="H19" s="8">
        <v>0.14632999999999999</v>
      </c>
      <c r="I19" s="8"/>
      <c r="J19" s="8" t="e">
        <f>NA()</f>
        <v>#N/A</v>
      </c>
      <c r="K19" s="8" t="e">
        <f>NA()</f>
        <v>#N/A</v>
      </c>
      <c r="L19" s="8">
        <v>0.15404999999999999</v>
      </c>
      <c r="M19" s="8" t="e">
        <f>NA()</f>
        <v>#N/A</v>
      </c>
      <c r="N19" s="8">
        <v>0.14632999999999999</v>
      </c>
      <c r="O19" s="8" t="e">
        <f>NA()</f>
        <v>#N/A</v>
      </c>
      <c r="P19" s="8">
        <v>0.13972999999999999</v>
      </c>
      <c r="Q19" s="8"/>
      <c r="R19" s="8">
        <v>0.1318</v>
      </c>
      <c r="S19" s="8">
        <v>0.15404999999999999</v>
      </c>
      <c r="T19" s="8">
        <v>0.14632999999999999</v>
      </c>
      <c r="U19" s="8">
        <v>0.12438</v>
      </c>
      <c r="V19" s="91">
        <v>0.15409999999999999</v>
      </c>
      <c r="W19" s="25">
        <v>6.625</v>
      </c>
      <c r="X19" s="6"/>
      <c r="Y19" s="6"/>
      <c r="Z19" s="1"/>
      <c r="AA19" s="1"/>
      <c r="AB19" s="1"/>
      <c r="AC19" s="1"/>
      <c r="AD19" s="1"/>
      <c r="AE19" s="1"/>
      <c r="AF19" s="1"/>
      <c r="AG19" s="1"/>
      <c r="AH19" s="1"/>
      <c r="AI19" s="1"/>
      <c r="AJ19" s="1"/>
      <c r="AK19" s="1"/>
      <c r="AL19" s="1"/>
      <c r="AM19" s="1"/>
    </row>
    <row r="20" spans="1:39" ht="15.75">
      <c r="A20" s="7">
        <v>8</v>
      </c>
      <c r="B20" s="8">
        <v>0.20499999999999999</v>
      </c>
      <c r="C20" s="8">
        <v>0.20499999999999999</v>
      </c>
      <c r="D20" s="8">
        <v>0.19367999999999999</v>
      </c>
      <c r="E20" s="8">
        <v>0.21354000000000001</v>
      </c>
      <c r="F20" s="8">
        <v>0.21156</v>
      </c>
      <c r="G20" s="8">
        <v>0.20272000000000001</v>
      </c>
      <c r="H20" s="8">
        <v>0.19367000000000001</v>
      </c>
      <c r="I20" s="8"/>
      <c r="J20" s="8">
        <v>0.20637</v>
      </c>
      <c r="K20" s="8">
        <v>0.20499999999999999</v>
      </c>
      <c r="L20" s="8">
        <v>0.20272000000000001</v>
      </c>
      <c r="M20" s="8">
        <v>0.19844999999999999</v>
      </c>
      <c r="N20" s="8">
        <v>0.19367000000000001</v>
      </c>
      <c r="O20" s="8">
        <v>0.18895000000000001</v>
      </c>
      <c r="P20" s="8">
        <v>0.18260000000000001</v>
      </c>
      <c r="Q20" s="8"/>
      <c r="R20" s="8">
        <v>0.17305000000000001</v>
      </c>
      <c r="S20" s="8">
        <v>0.20272000000000001</v>
      </c>
      <c r="T20" s="8">
        <v>0.19367000000000001</v>
      </c>
      <c r="U20" s="8">
        <v>0.17462</v>
      </c>
      <c r="V20" s="91">
        <v>0.20269999999999999</v>
      </c>
      <c r="W20" s="25">
        <v>8.625</v>
      </c>
      <c r="X20" s="6"/>
      <c r="Y20" s="6"/>
      <c r="Z20" s="1"/>
      <c r="AA20" s="1"/>
      <c r="AB20" s="1"/>
      <c r="AC20" s="1"/>
      <c r="AD20" s="1"/>
      <c r="AE20" s="1"/>
      <c r="AF20" s="1"/>
      <c r="AG20" s="1"/>
      <c r="AH20" s="1"/>
      <c r="AI20" s="1"/>
      <c r="AJ20" s="1"/>
      <c r="AK20" s="1"/>
      <c r="AL20" s="1"/>
      <c r="AM20" s="1"/>
    </row>
    <row r="21" spans="1:39" ht="15.75">
      <c r="A21" s="7">
        <v>10</v>
      </c>
      <c r="B21" s="8">
        <v>0.25745000000000001</v>
      </c>
      <c r="C21" s="8">
        <v>0.25745000000000001</v>
      </c>
      <c r="D21" s="8">
        <v>0.24765000000000001</v>
      </c>
      <c r="E21" s="8">
        <v>0.26623999999999998</v>
      </c>
      <c r="F21" s="8">
        <v>0.26467000000000002</v>
      </c>
      <c r="G21" s="8">
        <v>0.25451000000000001</v>
      </c>
      <c r="H21" s="8">
        <v>0.24765000000000001</v>
      </c>
      <c r="I21" s="8"/>
      <c r="J21" s="8">
        <v>0.26035000000000003</v>
      </c>
      <c r="K21" s="8">
        <v>0.25745000000000001</v>
      </c>
      <c r="L21" s="8">
        <v>0.25451000000000001</v>
      </c>
      <c r="M21" s="8" t="e">
        <f>NA()</f>
        <v>#N/A</v>
      </c>
      <c r="N21" s="8">
        <v>0.24765000000000001</v>
      </c>
      <c r="O21" s="8">
        <v>0.23658000000000001</v>
      </c>
      <c r="P21" s="8">
        <v>0.23022999999999999</v>
      </c>
      <c r="Q21" s="8">
        <v>0.22225</v>
      </c>
      <c r="R21" s="8">
        <v>0.21590000000000001</v>
      </c>
      <c r="S21" s="8">
        <v>0.25451000000000001</v>
      </c>
      <c r="T21" s="8">
        <v>0.24765000000000001</v>
      </c>
      <c r="U21" s="8">
        <v>0.22225</v>
      </c>
      <c r="V21" s="91">
        <v>0.2545</v>
      </c>
      <c r="W21" s="25">
        <v>10.75</v>
      </c>
      <c r="X21" s="6"/>
      <c r="Y21" s="6"/>
      <c r="Z21" s="1"/>
      <c r="AA21" s="1"/>
      <c r="AB21" s="1"/>
      <c r="AC21" s="1"/>
      <c r="AD21" s="1"/>
      <c r="AE21" s="1"/>
      <c r="AF21" s="1"/>
      <c r="AG21" s="1"/>
      <c r="AH21" s="1"/>
      <c r="AI21" s="1"/>
      <c r="AJ21" s="1"/>
      <c r="AK21" s="1"/>
      <c r="AL21" s="1"/>
      <c r="AM21" s="1"/>
    </row>
    <row r="22" spans="1:39" ht="15.75">
      <c r="A22" s="7">
        <v>12</v>
      </c>
      <c r="B22" s="8">
        <v>0.30708999999999997</v>
      </c>
      <c r="C22" s="8">
        <v>0.30708999999999997</v>
      </c>
      <c r="D22" s="8">
        <v>0.29844999999999999</v>
      </c>
      <c r="E22" s="8">
        <v>0.31546999999999997</v>
      </c>
      <c r="F22" s="8">
        <v>0.31470999999999999</v>
      </c>
      <c r="G22" s="8">
        <v>0.30480000000000002</v>
      </c>
      <c r="H22" s="8">
        <v>0.29844999999999999</v>
      </c>
      <c r="I22" s="8" t="e">
        <f>NA()</f>
        <v>#N/A</v>
      </c>
      <c r="J22" s="8">
        <v>0.31114999999999998</v>
      </c>
      <c r="K22" s="8">
        <v>0.30708999999999997</v>
      </c>
      <c r="L22" s="8">
        <v>0.30321999999999999</v>
      </c>
      <c r="M22" s="8">
        <v>0.29530000000000001</v>
      </c>
      <c r="N22" s="8">
        <v>0.28894999999999998</v>
      </c>
      <c r="O22" s="8">
        <v>0.28103</v>
      </c>
      <c r="P22" s="8">
        <v>0.27305000000000001</v>
      </c>
      <c r="Q22" s="8">
        <v>0.26669999999999999</v>
      </c>
      <c r="R22" s="8">
        <v>0.25719999999999998</v>
      </c>
      <c r="S22" s="8">
        <v>0.30480000000000002</v>
      </c>
      <c r="T22" s="8">
        <v>0.29844999999999999</v>
      </c>
      <c r="U22" s="8">
        <v>0.27305000000000001</v>
      </c>
      <c r="V22" s="91">
        <v>0.30320000000000003</v>
      </c>
      <c r="W22" s="25">
        <v>12.75</v>
      </c>
      <c r="X22" s="6"/>
      <c r="Y22" s="6"/>
      <c r="Z22" s="1"/>
      <c r="AA22" s="1"/>
      <c r="AB22" s="1"/>
      <c r="AC22" s="1"/>
      <c r="AD22" s="1"/>
      <c r="AE22" s="1"/>
      <c r="AF22" s="1"/>
      <c r="AG22" s="1"/>
      <c r="AH22" s="1"/>
      <c r="AI22" s="1"/>
      <c r="AJ22" s="1"/>
      <c r="AK22" s="1"/>
      <c r="AL22" s="1"/>
      <c r="AM22" s="1"/>
    </row>
    <row r="23" spans="1:39" ht="15.75">
      <c r="A23" s="7">
        <v>14</v>
      </c>
      <c r="B23" s="8">
        <v>0.33655000000000002</v>
      </c>
      <c r="C23" s="8">
        <v>0.33655000000000002</v>
      </c>
      <c r="D23" s="8">
        <v>0.33019999999999999</v>
      </c>
      <c r="E23" s="8">
        <v>0.34767999999999999</v>
      </c>
      <c r="F23" s="8">
        <v>0.34605000000000002</v>
      </c>
      <c r="G23" s="8" t="e">
        <f>NA()</f>
        <v>#N/A</v>
      </c>
      <c r="H23" s="8" t="e">
        <f>NA()</f>
        <v>#N/A</v>
      </c>
      <c r="I23" s="8">
        <v>0.34289999999999998</v>
      </c>
      <c r="J23" s="8">
        <v>0.33975</v>
      </c>
      <c r="K23" s="8">
        <v>0.33655000000000002</v>
      </c>
      <c r="L23" s="8">
        <v>0.33334999999999998</v>
      </c>
      <c r="M23" s="8">
        <v>0.32547999999999999</v>
      </c>
      <c r="N23" s="8">
        <v>0.3175</v>
      </c>
      <c r="O23" s="8">
        <v>0.308</v>
      </c>
      <c r="P23" s="8">
        <v>0.30008000000000001</v>
      </c>
      <c r="Q23" s="8">
        <v>0.29210000000000003</v>
      </c>
      <c r="R23" s="8">
        <v>0.28417999999999999</v>
      </c>
      <c r="S23" s="8">
        <v>0.33655000000000002</v>
      </c>
      <c r="T23" s="8">
        <v>0.33019999999999999</v>
      </c>
      <c r="U23" s="8" t="e">
        <f>NA()</f>
        <v>#N/A</v>
      </c>
      <c r="V23" s="91">
        <v>0.33339999999999997</v>
      </c>
      <c r="W23" s="25">
        <v>14</v>
      </c>
      <c r="X23" s="6"/>
      <c r="Y23" s="6"/>
      <c r="Z23" s="1"/>
      <c r="AA23" s="1"/>
      <c r="AB23" s="1"/>
      <c r="AC23" s="1"/>
      <c r="AD23" s="1"/>
      <c r="AE23" s="1"/>
      <c r="AF23" s="1"/>
      <c r="AG23" s="1"/>
      <c r="AH23" s="1"/>
      <c r="AI23" s="1"/>
      <c r="AJ23" s="1"/>
      <c r="AK23" s="1"/>
      <c r="AL23" s="1"/>
      <c r="AM23" s="1"/>
    </row>
    <row r="24" spans="1:39" ht="15.75">
      <c r="A24" s="7">
        <v>16</v>
      </c>
      <c r="B24" s="8">
        <v>0.38735000000000003</v>
      </c>
      <c r="C24" s="8">
        <v>0.38735000000000003</v>
      </c>
      <c r="D24" s="8">
        <v>0.38100000000000001</v>
      </c>
      <c r="E24" s="8">
        <v>0.39801999999999998</v>
      </c>
      <c r="F24" s="8">
        <v>0.39684999999999998</v>
      </c>
      <c r="G24" s="8"/>
      <c r="H24" s="8"/>
      <c r="I24" s="8">
        <v>0.39369999999999999</v>
      </c>
      <c r="J24" s="8">
        <v>0.39055000000000001</v>
      </c>
      <c r="K24" s="8">
        <v>0.38735000000000003</v>
      </c>
      <c r="L24" s="8">
        <v>0.38100000000000001</v>
      </c>
      <c r="M24" s="8">
        <v>0.37307000000000001</v>
      </c>
      <c r="N24" s="8">
        <v>0.36358000000000001</v>
      </c>
      <c r="O24" s="8">
        <v>0.35403000000000001</v>
      </c>
      <c r="P24" s="8">
        <v>0.34453</v>
      </c>
      <c r="Q24" s="8">
        <v>0.33334999999999998</v>
      </c>
      <c r="R24" s="8">
        <v>0.32547999999999999</v>
      </c>
      <c r="S24" s="8">
        <v>0.38735000000000003</v>
      </c>
      <c r="T24" s="8">
        <v>0.38100000000000001</v>
      </c>
      <c r="U24" s="8"/>
      <c r="V24" s="91">
        <v>0.38100000000000001</v>
      </c>
      <c r="W24" s="25">
        <v>16</v>
      </c>
      <c r="X24" s="6"/>
      <c r="Y24" s="6"/>
      <c r="Z24" s="1"/>
      <c r="AA24" s="1"/>
      <c r="AB24" s="1"/>
      <c r="AC24" s="1"/>
      <c r="AD24" s="1"/>
      <c r="AE24" s="1"/>
      <c r="AF24" s="1"/>
      <c r="AG24" s="1"/>
      <c r="AH24" s="1"/>
      <c r="AI24" s="1"/>
      <c r="AJ24" s="1"/>
      <c r="AK24" s="1"/>
      <c r="AL24" s="1"/>
      <c r="AM24" s="1"/>
    </row>
    <row r="25" spans="1:39" ht="15.75">
      <c r="A25" s="7">
        <v>18</v>
      </c>
      <c r="B25" s="8">
        <v>0.43814999999999998</v>
      </c>
      <c r="C25" s="8">
        <v>0.43180000000000002</v>
      </c>
      <c r="D25" s="8">
        <v>0.43180000000000002</v>
      </c>
      <c r="E25" s="8">
        <v>0.44882</v>
      </c>
      <c r="F25" s="8">
        <v>0.44764999999999999</v>
      </c>
      <c r="G25" s="8"/>
      <c r="H25" s="8"/>
      <c r="I25" s="8">
        <v>0.44450000000000001</v>
      </c>
      <c r="J25" s="8">
        <v>0.44135000000000002</v>
      </c>
      <c r="K25" s="8">
        <v>0.43495</v>
      </c>
      <c r="L25" s="8">
        <v>0.42864999999999998</v>
      </c>
      <c r="M25" s="8">
        <v>0.41909999999999997</v>
      </c>
      <c r="N25" s="8">
        <v>0.40960000000000002</v>
      </c>
      <c r="O25" s="8">
        <v>0.39846999999999999</v>
      </c>
      <c r="P25" s="8">
        <v>0.38735000000000003</v>
      </c>
      <c r="Q25" s="8">
        <v>0.37785000000000002</v>
      </c>
      <c r="R25" s="8">
        <v>0.36671999999999999</v>
      </c>
      <c r="S25" s="8">
        <v>0.43814999999999998</v>
      </c>
      <c r="T25" s="8">
        <v>0.43180000000000002</v>
      </c>
      <c r="U25" s="8"/>
      <c r="V25" s="91">
        <v>0.42859999999999998</v>
      </c>
      <c r="W25" s="25">
        <v>18</v>
      </c>
      <c r="X25" s="6"/>
      <c r="Y25" s="6"/>
      <c r="Z25" s="1"/>
      <c r="AA25" s="1"/>
      <c r="AB25" s="1"/>
      <c r="AC25" s="1"/>
      <c r="AD25" s="1"/>
      <c r="AE25" s="1"/>
      <c r="AF25" s="1"/>
      <c r="AG25" s="1"/>
      <c r="AH25" s="1"/>
      <c r="AI25" s="1"/>
      <c r="AJ25" s="1"/>
      <c r="AK25" s="1"/>
      <c r="AL25" s="1"/>
      <c r="AM25" s="1"/>
    </row>
    <row r="26" spans="1:39" ht="15.75">
      <c r="A26" s="7">
        <v>20</v>
      </c>
      <c r="B26" s="8">
        <v>0.48895</v>
      </c>
      <c r="C26" s="8">
        <v>0.47788000000000003</v>
      </c>
      <c r="D26" s="8">
        <v>0.48259999999999997</v>
      </c>
      <c r="E26" s="8">
        <v>0.49845</v>
      </c>
      <c r="F26" s="8">
        <v>0.49692999999999998</v>
      </c>
      <c r="G26" s="8"/>
      <c r="H26" s="8"/>
      <c r="I26" s="8">
        <v>0.49530000000000002</v>
      </c>
      <c r="J26" s="8">
        <v>0.48895</v>
      </c>
      <c r="K26" s="8">
        <v>0.48259999999999997</v>
      </c>
      <c r="L26" s="8">
        <v>0.47788000000000003</v>
      </c>
      <c r="M26" s="8">
        <v>0.46675</v>
      </c>
      <c r="N26" s="8">
        <v>0.45562999999999998</v>
      </c>
      <c r="O26" s="8">
        <v>0.44291999999999998</v>
      </c>
      <c r="P26" s="8">
        <v>0.43180000000000002</v>
      </c>
      <c r="Q26" s="8">
        <v>0.41909999999999997</v>
      </c>
      <c r="R26" s="8">
        <v>0.40803</v>
      </c>
      <c r="S26" s="8">
        <v>0.48895</v>
      </c>
      <c r="T26" s="8">
        <v>0.48259999999999997</v>
      </c>
      <c r="U26" s="8"/>
      <c r="V26" s="91">
        <v>0.47789999999999999</v>
      </c>
      <c r="W26" s="25">
        <v>20</v>
      </c>
      <c r="X26" s="6"/>
      <c r="Y26" s="6"/>
      <c r="Z26" s="1"/>
      <c r="AA26" s="1"/>
      <c r="AB26" s="1"/>
      <c r="AC26" s="1"/>
      <c r="AD26" s="1"/>
      <c r="AE26" s="1"/>
      <c r="AF26" s="1"/>
      <c r="AG26" s="1"/>
      <c r="AH26" s="1"/>
      <c r="AI26" s="1"/>
      <c r="AJ26" s="1"/>
      <c r="AK26" s="1"/>
      <c r="AL26" s="1"/>
      <c r="AM26" s="1"/>
    </row>
    <row r="27" spans="1:39" ht="15.75">
      <c r="A27" s="7">
        <v>22</v>
      </c>
      <c r="B27" s="8">
        <v>0.53969999999999996</v>
      </c>
      <c r="C27" s="8" t="e">
        <f>NA()</f>
        <v>#N/A</v>
      </c>
      <c r="D27" s="8" t="e">
        <f>NA()</f>
        <v>#N/A</v>
      </c>
      <c r="E27" s="8">
        <v>0.54925000000000002</v>
      </c>
      <c r="F27" s="8">
        <v>0.54773000000000005</v>
      </c>
      <c r="G27" s="8" t="s">
        <v>9</v>
      </c>
      <c r="H27" s="8"/>
      <c r="I27" s="8">
        <v>0.54610000000000003</v>
      </c>
      <c r="J27" s="8">
        <v>0.53974999999999995</v>
      </c>
      <c r="K27" s="8">
        <v>0.53339999999999999</v>
      </c>
      <c r="L27" s="8" t="e">
        <f>NA()</f>
        <v>#N/A</v>
      </c>
      <c r="M27" s="8">
        <v>0.51434999999999997</v>
      </c>
      <c r="N27" s="8">
        <v>0.50165000000000004</v>
      </c>
      <c r="O27" s="8">
        <v>0.48895</v>
      </c>
      <c r="P27" s="8">
        <v>0.47625000000000001</v>
      </c>
      <c r="Q27" s="8">
        <v>0.46355000000000002</v>
      </c>
      <c r="R27" s="8">
        <v>0.45084999999999997</v>
      </c>
      <c r="S27" s="8">
        <v>0.53974999999999995</v>
      </c>
      <c r="T27" s="8">
        <v>0.53339999999999999</v>
      </c>
      <c r="U27" s="8"/>
      <c r="V27" s="91">
        <v>0.53969999999999996</v>
      </c>
      <c r="W27" s="25">
        <v>22</v>
      </c>
      <c r="X27" s="6"/>
      <c r="Y27" s="6"/>
      <c r="Z27" s="1"/>
      <c r="AA27" s="1"/>
      <c r="AB27" s="1"/>
      <c r="AC27" s="1"/>
      <c r="AD27" s="1"/>
      <c r="AE27" s="1"/>
      <c r="AF27" s="1"/>
      <c r="AG27" s="1"/>
      <c r="AH27" s="1"/>
      <c r="AI27" s="1"/>
      <c r="AJ27" s="1"/>
      <c r="AK27" s="1"/>
      <c r="AL27" s="1"/>
      <c r="AM27" s="1"/>
    </row>
    <row r="28" spans="1:39" ht="15.75">
      <c r="A28" s="7">
        <v>24</v>
      </c>
      <c r="B28" s="8">
        <v>0.59050000000000002</v>
      </c>
      <c r="C28" s="8"/>
      <c r="D28" s="8"/>
      <c r="E28" s="8">
        <v>0.59853000000000001</v>
      </c>
      <c r="F28" s="8">
        <v>0.59689999999999999</v>
      </c>
      <c r="G28" s="8"/>
      <c r="H28" s="8"/>
      <c r="I28" s="8">
        <v>0.59689999999999999</v>
      </c>
      <c r="J28" s="8">
        <v>0.59055000000000002</v>
      </c>
      <c r="K28" s="8">
        <v>0.58104999999999996</v>
      </c>
      <c r="L28" s="8">
        <v>0.57469999999999999</v>
      </c>
      <c r="M28" s="8">
        <v>0.56042999999999998</v>
      </c>
      <c r="N28" s="8">
        <v>0.54773000000000005</v>
      </c>
      <c r="O28" s="8">
        <v>0.53181999999999996</v>
      </c>
      <c r="P28" s="8">
        <v>0.51754999999999995</v>
      </c>
      <c r="Q28" s="8">
        <v>0.50465000000000004</v>
      </c>
      <c r="R28" s="8">
        <v>0.49058000000000002</v>
      </c>
      <c r="S28" s="8">
        <v>0.59055000000000002</v>
      </c>
      <c r="T28" s="8">
        <v>0.58420000000000005</v>
      </c>
      <c r="U28" s="8"/>
      <c r="V28" s="91">
        <v>0.59050000000000002</v>
      </c>
      <c r="W28" s="25">
        <v>24</v>
      </c>
      <c r="X28" s="6"/>
      <c r="Y28" s="6"/>
      <c r="Z28" s="1"/>
      <c r="AA28" s="1"/>
      <c r="AB28" s="1"/>
      <c r="AC28" s="1"/>
      <c r="AD28" s="1"/>
      <c r="AE28" s="1"/>
      <c r="AF28" s="1"/>
      <c r="AG28" s="1"/>
      <c r="AH28" s="1"/>
      <c r="AI28" s="1"/>
      <c r="AJ28" s="1"/>
      <c r="AK28" s="1"/>
      <c r="AL28" s="1"/>
      <c r="AM28" s="1"/>
    </row>
    <row r="29" spans="1:39" ht="15.75">
      <c r="A29" s="7">
        <v>26</v>
      </c>
      <c r="B29" s="8">
        <v>0.64129999999999998</v>
      </c>
      <c r="C29" s="8"/>
      <c r="D29" s="8"/>
      <c r="E29" s="8" t="e">
        <f>NA()</f>
        <v>#N/A</v>
      </c>
      <c r="F29" s="8" t="e">
        <f>NA()</f>
        <v>#N/A</v>
      </c>
      <c r="G29" s="8"/>
      <c r="H29" s="8"/>
      <c r="I29" s="8">
        <v>0.64415999999999995</v>
      </c>
      <c r="J29" s="8">
        <v>0.63500000000000001</v>
      </c>
      <c r="K29" s="8" t="e">
        <f>NA()</f>
        <v>#N/A</v>
      </c>
      <c r="L29" s="8" t="e">
        <f>NA()</f>
        <v>#N/A</v>
      </c>
      <c r="M29" s="8" t="e">
        <f>NA()</f>
        <v>#N/A</v>
      </c>
      <c r="N29" s="8" t="e">
        <f>NA()</f>
        <v>#N/A</v>
      </c>
      <c r="O29" s="8" t="e">
        <f>NA()</f>
        <v>#N/A</v>
      </c>
      <c r="P29" s="8" t="e">
        <f>NA()</f>
        <v>#N/A</v>
      </c>
      <c r="Q29" s="8" t="e">
        <f>NA()</f>
        <v>#N/A</v>
      </c>
      <c r="R29" s="8" t="e">
        <f>NA()</f>
        <v>#N/A</v>
      </c>
      <c r="S29" s="8">
        <v>0.64134999999999998</v>
      </c>
      <c r="T29" s="8">
        <v>0.63500000000000001</v>
      </c>
      <c r="U29" s="8"/>
      <c r="V29" s="91">
        <v>0.64129999999999998</v>
      </c>
      <c r="W29" s="25">
        <v>26</v>
      </c>
      <c r="X29" s="9"/>
      <c r="Y29" s="9"/>
      <c r="Z29" s="1"/>
      <c r="AA29" s="1"/>
      <c r="AB29" s="1"/>
      <c r="AC29" s="1"/>
      <c r="AD29" s="1"/>
      <c r="AE29" s="1"/>
      <c r="AF29" s="1"/>
      <c r="AG29" s="1"/>
      <c r="AH29" s="1"/>
      <c r="AI29" s="1"/>
      <c r="AJ29" s="1"/>
      <c r="AK29" s="1"/>
      <c r="AL29" s="1"/>
      <c r="AM29" s="1"/>
    </row>
    <row r="30" spans="1:39" ht="15.75">
      <c r="A30" s="7">
        <v>28</v>
      </c>
      <c r="B30" s="8">
        <v>0.69210000000000005</v>
      </c>
      <c r="C30" s="8"/>
      <c r="D30" s="8"/>
      <c r="E30" s="8" t="e">
        <f>NA()</f>
        <v>#N/A</v>
      </c>
      <c r="F30" s="8" t="e">
        <f>NA()</f>
        <v>#N/A</v>
      </c>
      <c r="G30" s="8"/>
      <c r="H30" s="8"/>
      <c r="I30" s="8">
        <v>0.69516</v>
      </c>
      <c r="J30" s="8">
        <v>0.68559999999999999</v>
      </c>
      <c r="K30" s="8">
        <v>0.67923999999999995</v>
      </c>
      <c r="L30" s="8" t="e">
        <f>NA()</f>
        <v>#N/A</v>
      </c>
      <c r="M30" s="8"/>
      <c r="N30" s="8"/>
      <c r="O30" s="8"/>
      <c r="P30" s="8"/>
      <c r="Q30" s="8"/>
      <c r="R30" s="8"/>
      <c r="S30" s="8">
        <v>0.69194</v>
      </c>
      <c r="T30" s="8">
        <v>0.68559999999999999</v>
      </c>
      <c r="U30" s="8"/>
      <c r="V30" s="91">
        <v>0.69210000000000005</v>
      </c>
      <c r="W30" s="25">
        <v>28</v>
      </c>
      <c r="X30" s="9"/>
      <c r="Y30" s="9"/>
      <c r="Z30" s="1"/>
      <c r="AA30" s="1"/>
      <c r="AB30" s="1"/>
      <c r="AC30" s="1"/>
      <c r="AD30" s="1"/>
      <c r="AE30" s="1"/>
      <c r="AF30" s="1"/>
      <c r="AG30" s="1"/>
      <c r="AH30" s="1"/>
      <c r="AI30" s="1"/>
      <c r="AJ30" s="1"/>
      <c r="AK30" s="1"/>
      <c r="AL30" s="1"/>
      <c r="AM30" s="1"/>
    </row>
    <row r="31" spans="1:39" ht="15.75">
      <c r="A31" s="7">
        <v>30</v>
      </c>
      <c r="B31" s="8">
        <v>0.7429</v>
      </c>
      <c r="C31" s="8"/>
      <c r="D31" s="8"/>
      <c r="E31" s="8">
        <v>0.74929999999999997</v>
      </c>
      <c r="F31" s="8">
        <v>0.74616000000000005</v>
      </c>
      <c r="G31" s="8"/>
      <c r="H31" s="8"/>
      <c r="I31" s="8">
        <v>0.74616000000000005</v>
      </c>
      <c r="J31" s="8">
        <v>0.73660000000000003</v>
      </c>
      <c r="K31" s="8">
        <v>0.73024</v>
      </c>
      <c r="L31" s="8" t="e">
        <f>NA()</f>
        <v>#N/A</v>
      </c>
      <c r="M31" s="8"/>
      <c r="N31" s="8"/>
      <c r="O31" s="8"/>
      <c r="P31" s="8"/>
      <c r="Q31" s="8"/>
      <c r="R31" s="8"/>
      <c r="S31" s="8">
        <v>0.74294000000000004</v>
      </c>
      <c r="T31" s="8">
        <v>0.73660000000000003</v>
      </c>
      <c r="U31" s="8"/>
      <c r="V31" s="91">
        <v>0.7429</v>
      </c>
      <c r="W31" s="25">
        <v>30</v>
      </c>
      <c r="X31" s="9"/>
      <c r="Y31" s="9"/>
      <c r="Z31" s="1"/>
      <c r="AA31" s="1"/>
      <c r="AB31" s="1"/>
      <c r="AC31" s="1"/>
      <c r="AD31" s="1"/>
      <c r="AE31" s="1"/>
      <c r="AF31" s="1"/>
      <c r="AG31" s="1"/>
      <c r="AH31" s="1"/>
      <c r="AI31" s="1"/>
      <c r="AJ31" s="1"/>
      <c r="AK31" s="1"/>
      <c r="AL31" s="1"/>
      <c r="AM31" s="1"/>
    </row>
    <row r="32" spans="1:39" ht="15.75">
      <c r="A32" s="7">
        <v>32</v>
      </c>
      <c r="B32" s="8">
        <v>0.79369999999999996</v>
      </c>
      <c r="C32" s="8"/>
      <c r="D32" s="8"/>
      <c r="E32" s="8" t="e">
        <f>NA()</f>
        <v>#N/A</v>
      </c>
      <c r="F32" s="8" t="e">
        <f>NA()</f>
        <v>#N/A</v>
      </c>
      <c r="G32" s="8"/>
      <c r="H32" s="8"/>
      <c r="I32" s="8">
        <v>0.79715999999999998</v>
      </c>
      <c r="J32" s="8">
        <v>0.78759999999999997</v>
      </c>
      <c r="K32" s="8">
        <v>0.78124000000000005</v>
      </c>
      <c r="L32" s="8">
        <v>0.77803999999999995</v>
      </c>
      <c r="M32" s="8"/>
      <c r="N32" s="8"/>
      <c r="O32" s="8"/>
      <c r="P32" s="8"/>
      <c r="Q32" s="8"/>
      <c r="R32" s="8"/>
      <c r="S32" s="8">
        <v>0.79393999999999998</v>
      </c>
      <c r="T32" s="8">
        <v>0.78759999999999997</v>
      </c>
      <c r="U32" s="8"/>
      <c r="V32" s="91">
        <v>0.79369999999999996</v>
      </c>
      <c r="W32" s="25">
        <v>32</v>
      </c>
      <c r="X32" s="9"/>
      <c r="Y32" s="9"/>
      <c r="Z32" s="1"/>
      <c r="AA32" s="1"/>
      <c r="AB32" s="1"/>
      <c r="AC32" s="1"/>
      <c r="AD32" s="1"/>
      <c r="AE32" s="1"/>
      <c r="AF32" s="1"/>
      <c r="AG32" s="1"/>
      <c r="AH32" s="1"/>
      <c r="AI32" s="1"/>
      <c r="AJ32" s="1"/>
      <c r="AK32" s="1"/>
      <c r="AL32" s="1"/>
      <c r="AM32" s="1"/>
    </row>
    <row r="33" spans="1:39" ht="15.75">
      <c r="A33" s="7">
        <v>34</v>
      </c>
      <c r="B33" s="8">
        <v>0.84450000000000003</v>
      </c>
      <c r="C33" s="8"/>
      <c r="D33" s="8"/>
      <c r="E33" s="8"/>
      <c r="F33" s="8"/>
      <c r="G33" s="8"/>
      <c r="H33" s="8"/>
      <c r="I33" s="8">
        <v>0.84816000000000003</v>
      </c>
      <c r="J33" s="8">
        <v>0.83860000000000001</v>
      </c>
      <c r="K33" s="8">
        <v>0.83223999999999998</v>
      </c>
      <c r="L33" s="8">
        <v>0.82904</v>
      </c>
      <c r="M33" s="8"/>
      <c r="N33" s="8"/>
      <c r="O33" s="8"/>
      <c r="P33" s="8"/>
      <c r="Q33" s="8"/>
      <c r="R33" s="8"/>
      <c r="S33" s="8">
        <v>0.84494000000000002</v>
      </c>
      <c r="T33" s="8">
        <v>0.83860000000000001</v>
      </c>
      <c r="U33" s="8"/>
      <c r="V33" s="91">
        <v>0.84450000000000003</v>
      </c>
      <c r="W33" s="25">
        <v>34</v>
      </c>
      <c r="X33" s="9"/>
      <c r="Y33" s="9"/>
      <c r="Z33" s="1"/>
      <c r="AA33" s="1"/>
      <c r="AB33" s="1"/>
      <c r="AC33" s="1"/>
      <c r="AD33" s="1"/>
      <c r="AE33" s="1"/>
      <c r="AF33" s="1"/>
      <c r="AG33" s="1"/>
      <c r="AH33" s="1"/>
      <c r="AI33" s="1"/>
      <c r="AJ33" s="1"/>
      <c r="AK33" s="1"/>
      <c r="AL33" s="1"/>
      <c r="AM33" s="1"/>
    </row>
    <row r="34" spans="1:39" ht="15.75">
      <c r="A34" s="7">
        <v>36</v>
      </c>
      <c r="B34" s="8">
        <v>0.89529999999999998</v>
      </c>
      <c r="C34" s="8"/>
      <c r="D34" s="8"/>
      <c r="E34" s="8"/>
      <c r="F34" s="8"/>
      <c r="G34" s="8"/>
      <c r="H34" s="8"/>
      <c r="I34" s="8">
        <v>0.89815999999999996</v>
      </c>
      <c r="J34" s="8">
        <v>0.88859999999999995</v>
      </c>
      <c r="K34" s="8">
        <v>0.88224000000000002</v>
      </c>
      <c r="L34" s="8">
        <v>0.87590000000000001</v>
      </c>
      <c r="M34" s="8"/>
      <c r="N34" s="8"/>
      <c r="O34" s="8"/>
      <c r="P34" s="8"/>
      <c r="Q34" s="8"/>
      <c r="R34" s="8"/>
      <c r="S34" s="8">
        <v>0.89493999999999996</v>
      </c>
      <c r="T34" s="8">
        <v>0.88859999999999995</v>
      </c>
      <c r="U34" s="8"/>
      <c r="V34" s="91">
        <v>0.89529999999999998</v>
      </c>
      <c r="W34" s="93">
        <v>36</v>
      </c>
      <c r="X34" s="9"/>
      <c r="Y34" s="9"/>
      <c r="Z34" s="1"/>
      <c r="AA34" s="1"/>
      <c r="AB34" s="1"/>
      <c r="AC34" s="1"/>
      <c r="AD34" s="1"/>
      <c r="AE34" s="1"/>
      <c r="AF34" s="1"/>
      <c r="AG34" s="1"/>
      <c r="AH34" s="1"/>
      <c r="AI34" s="1"/>
      <c r="AJ34" s="1"/>
      <c r="AK34" s="1"/>
      <c r="AL34" s="1"/>
      <c r="AM34" s="1"/>
    </row>
    <row r="35" spans="1:39" ht="15.75">
      <c r="A35" s="7">
        <v>38</v>
      </c>
      <c r="B35" s="8">
        <v>0.94610000000000005</v>
      </c>
      <c r="C35" s="8"/>
      <c r="D35" s="8"/>
      <c r="E35" s="8"/>
      <c r="F35" s="8"/>
      <c r="G35" s="8"/>
      <c r="H35" s="8"/>
      <c r="I35" s="8" t="e">
        <f>NA()</f>
        <v>#N/A</v>
      </c>
      <c r="J35" s="8" t="e">
        <f>NA()</f>
        <v>#N/A</v>
      </c>
      <c r="K35" s="8" t="e">
        <f>NA()</f>
        <v>#N/A</v>
      </c>
      <c r="L35" s="8" t="e">
        <f>NA()</f>
        <v>#N/A</v>
      </c>
      <c r="M35" s="8"/>
      <c r="N35" s="8"/>
      <c r="O35" s="8"/>
      <c r="P35" s="8"/>
      <c r="Q35" s="8"/>
      <c r="R35" s="8"/>
      <c r="S35" s="8">
        <v>0.94594</v>
      </c>
      <c r="T35" s="8">
        <v>0.93959999999999999</v>
      </c>
      <c r="U35" s="8"/>
      <c r="V35" s="91">
        <v>0.94610000000000005</v>
      </c>
      <c r="W35" s="94"/>
      <c r="X35" s="9"/>
      <c r="Y35" s="9"/>
      <c r="Z35" s="1"/>
      <c r="AA35" s="1"/>
      <c r="AB35" s="1"/>
      <c r="AC35" s="1"/>
      <c r="AD35" s="1"/>
      <c r="AE35" s="1"/>
      <c r="AF35" s="1"/>
      <c r="AG35" s="1"/>
      <c r="AH35" s="1"/>
      <c r="AI35" s="1"/>
      <c r="AJ35" s="1"/>
      <c r="AK35" s="1"/>
      <c r="AL35" s="1"/>
      <c r="AM35" s="1"/>
    </row>
    <row r="36" spans="1:39" ht="15.75">
      <c r="A36" s="7">
        <v>40</v>
      </c>
      <c r="B36" s="8">
        <v>0.99690000000000001</v>
      </c>
      <c r="C36" s="8"/>
      <c r="D36" s="8"/>
      <c r="E36" s="8"/>
      <c r="F36" s="8"/>
      <c r="G36" s="8"/>
      <c r="H36" s="8"/>
      <c r="I36" s="8"/>
      <c r="J36" s="8"/>
      <c r="K36" s="8"/>
      <c r="L36" s="8"/>
      <c r="M36" s="8"/>
      <c r="N36" s="8"/>
      <c r="O36" s="8"/>
      <c r="P36" s="8"/>
      <c r="Q36" s="8"/>
      <c r="R36" s="8"/>
      <c r="S36" s="8">
        <v>0.99694000000000005</v>
      </c>
      <c r="T36" s="8">
        <v>0.99060000000000004</v>
      </c>
      <c r="U36" s="8"/>
      <c r="V36" s="91">
        <v>0.99690000000000001</v>
      </c>
      <c r="W36" s="94"/>
      <c r="X36" s="9"/>
      <c r="Y36" s="9"/>
      <c r="Z36" s="1"/>
      <c r="AA36" s="1"/>
      <c r="AB36" s="1"/>
      <c r="AC36" s="1"/>
      <c r="AD36" s="1"/>
      <c r="AE36" s="1"/>
      <c r="AF36" s="1"/>
      <c r="AG36" s="1"/>
      <c r="AH36" s="1"/>
      <c r="AI36" s="1"/>
      <c r="AJ36" s="1"/>
      <c r="AK36" s="1"/>
      <c r="AL36" s="1"/>
      <c r="AM36" s="1"/>
    </row>
    <row r="37" spans="1:39" ht="15.75">
      <c r="A37" s="7">
        <v>42</v>
      </c>
      <c r="B37" s="8">
        <v>1.0477000000000001</v>
      </c>
      <c r="C37" s="8"/>
      <c r="D37" s="8"/>
      <c r="E37" s="8"/>
      <c r="F37" s="8"/>
      <c r="G37" s="8"/>
      <c r="H37" s="8"/>
      <c r="I37" s="8"/>
      <c r="J37" s="8"/>
      <c r="K37" s="8"/>
      <c r="L37" s="8"/>
      <c r="M37" s="8"/>
      <c r="N37" s="8"/>
      <c r="O37" s="8"/>
      <c r="P37" s="8"/>
      <c r="Q37" s="8"/>
      <c r="R37" s="8"/>
      <c r="S37" s="8">
        <v>1.0479400000000001</v>
      </c>
      <c r="T37" s="8">
        <v>1.0416000000000001</v>
      </c>
      <c r="U37" s="8"/>
      <c r="V37" s="91">
        <v>1.0477000000000001</v>
      </c>
      <c r="W37" s="94"/>
      <c r="X37" s="9"/>
      <c r="Y37" s="9"/>
      <c r="Z37" s="1"/>
      <c r="AA37" s="1"/>
      <c r="AB37" s="1"/>
      <c r="AC37" s="1"/>
      <c r="AD37" s="1"/>
      <c r="AE37" s="1"/>
      <c r="AF37" s="1"/>
      <c r="AG37" s="1"/>
      <c r="AH37" s="1"/>
      <c r="AI37" s="1"/>
      <c r="AJ37" s="1"/>
      <c r="AK37" s="1"/>
      <c r="AL37" s="1"/>
      <c r="AM37" s="1"/>
    </row>
    <row r="38" spans="1:39" ht="15.75">
      <c r="A38" s="7">
        <v>44</v>
      </c>
      <c r="B38" s="8">
        <v>1.0985</v>
      </c>
      <c r="C38" s="8"/>
      <c r="D38" s="8"/>
      <c r="E38" s="8"/>
      <c r="F38" s="8"/>
      <c r="G38" s="8"/>
      <c r="H38" s="8"/>
      <c r="I38" s="8"/>
      <c r="J38" s="8"/>
      <c r="K38" s="8"/>
      <c r="L38" s="8"/>
      <c r="M38" s="8"/>
      <c r="N38" s="8"/>
      <c r="O38" s="8"/>
      <c r="P38" s="8"/>
      <c r="Q38" s="8"/>
      <c r="R38" s="8"/>
      <c r="S38" s="8">
        <v>1.09894</v>
      </c>
      <c r="T38" s="8">
        <v>1.0926</v>
      </c>
      <c r="U38" s="8"/>
      <c r="V38" s="91">
        <v>1.0985</v>
      </c>
      <c r="W38" s="94"/>
      <c r="X38" s="9"/>
      <c r="Y38" s="9"/>
      <c r="Z38" s="1"/>
      <c r="AA38" s="1"/>
      <c r="AB38" s="1"/>
      <c r="AC38" s="1"/>
      <c r="AD38" s="1"/>
      <c r="AE38" s="1"/>
      <c r="AF38" s="1"/>
      <c r="AG38" s="1"/>
      <c r="AH38" s="1"/>
      <c r="AI38" s="1"/>
      <c r="AJ38" s="1"/>
      <c r="AK38" s="1"/>
      <c r="AL38" s="1"/>
      <c r="AM38" s="1"/>
    </row>
    <row r="39" spans="1:39" ht="15.75">
      <c r="A39" s="7">
        <v>46</v>
      </c>
      <c r="B39" s="8">
        <v>1.1493</v>
      </c>
      <c r="C39" s="8"/>
      <c r="D39" s="8"/>
      <c r="E39" s="8"/>
      <c r="F39" s="8"/>
      <c r="G39" s="8"/>
      <c r="H39" s="8"/>
      <c r="I39" s="8"/>
      <c r="J39" s="8"/>
      <c r="K39" s="8"/>
      <c r="L39" s="8"/>
      <c r="M39" s="8"/>
      <c r="N39" s="8"/>
      <c r="O39" s="8"/>
      <c r="P39" s="8"/>
      <c r="Q39" s="8"/>
      <c r="R39" s="8"/>
      <c r="S39" s="8">
        <v>1.1489400000000001</v>
      </c>
      <c r="T39" s="8">
        <v>1.1426000000000001</v>
      </c>
      <c r="U39" s="8"/>
      <c r="V39" s="91">
        <v>1.1493</v>
      </c>
      <c r="W39" s="94"/>
      <c r="X39" s="9"/>
      <c r="Y39" s="9"/>
      <c r="Z39" s="1"/>
      <c r="AA39" s="1"/>
      <c r="AB39" s="1"/>
      <c r="AC39" s="1"/>
      <c r="AD39" s="1"/>
      <c r="AE39" s="1"/>
      <c r="AF39" s="1"/>
      <c r="AG39" s="1"/>
      <c r="AH39" s="1"/>
      <c r="AI39" s="1"/>
      <c r="AJ39" s="1"/>
      <c r="AK39" s="1"/>
      <c r="AL39" s="1"/>
      <c r="AM39" s="1"/>
    </row>
    <row r="40" spans="1:39" ht="15.75">
      <c r="A40" s="7">
        <v>48</v>
      </c>
      <c r="B40" s="8">
        <v>1.2000999999999999</v>
      </c>
      <c r="C40" s="8"/>
      <c r="D40" s="8"/>
      <c r="E40" s="8"/>
      <c r="F40" s="8"/>
      <c r="G40" s="8"/>
      <c r="H40" s="8"/>
      <c r="I40" s="8"/>
      <c r="J40" s="8"/>
      <c r="K40" s="8"/>
      <c r="L40" s="8"/>
      <c r="M40" s="8"/>
      <c r="N40" s="8"/>
      <c r="O40" s="8"/>
      <c r="P40" s="8"/>
      <c r="Q40" s="8"/>
      <c r="R40" s="8"/>
      <c r="S40" s="8">
        <v>1.19994</v>
      </c>
      <c r="T40" s="8">
        <v>1.1936</v>
      </c>
      <c r="U40" s="8"/>
      <c r="V40" s="91">
        <v>1.2000999999999999</v>
      </c>
      <c r="W40" s="94"/>
      <c r="X40" s="9"/>
      <c r="Y40" s="9"/>
      <c r="Z40" s="1"/>
      <c r="AA40" s="1"/>
      <c r="AB40" s="1"/>
      <c r="AC40" s="1"/>
      <c r="AD40" s="1"/>
      <c r="AE40" s="1"/>
      <c r="AF40" s="1"/>
      <c r="AG40" s="1"/>
      <c r="AH40" s="1"/>
      <c r="AI40" s="1"/>
      <c r="AJ40" s="1"/>
      <c r="AK40" s="1"/>
      <c r="AL40" s="1"/>
      <c r="AM40" s="1"/>
    </row>
    <row r="41" spans="1:39" ht="15.75">
      <c r="A41" s="7">
        <v>50</v>
      </c>
      <c r="B41" s="8">
        <v>1.2509999999999999</v>
      </c>
      <c r="C41" s="8"/>
      <c r="D41" s="8"/>
      <c r="E41" s="8"/>
      <c r="F41" s="8"/>
      <c r="G41" s="8"/>
      <c r="H41" s="8"/>
      <c r="I41" s="8"/>
      <c r="J41" s="8"/>
      <c r="K41" s="8"/>
      <c r="L41" s="8"/>
      <c r="M41" s="8"/>
      <c r="N41" s="8"/>
      <c r="O41" s="8"/>
      <c r="P41" s="8"/>
      <c r="Q41" s="8"/>
      <c r="R41" s="8"/>
      <c r="S41" s="8" t="e">
        <f>NA()</f>
        <v>#N/A</v>
      </c>
      <c r="T41" s="8" t="e">
        <f>NA()</f>
        <v>#N/A</v>
      </c>
      <c r="U41" s="8"/>
      <c r="V41" s="91">
        <v>1.3017000000000001</v>
      </c>
      <c r="W41" s="94"/>
      <c r="X41" s="9"/>
      <c r="Y41" s="9"/>
      <c r="Z41" s="1"/>
      <c r="AA41" s="1"/>
      <c r="AB41" s="1"/>
      <c r="AC41" s="1"/>
      <c r="AD41" s="1"/>
      <c r="AE41" s="1"/>
      <c r="AF41" s="1"/>
      <c r="AG41" s="1"/>
      <c r="AH41" s="1"/>
      <c r="AI41" s="1"/>
      <c r="AJ41" s="1"/>
      <c r="AK41" s="1"/>
      <c r="AL41" s="1"/>
      <c r="AM41" s="1"/>
    </row>
    <row r="42" spans="1:39" ht="15.75">
      <c r="A42" s="7">
        <v>52</v>
      </c>
      <c r="B42" s="8">
        <v>1.3017000000000001</v>
      </c>
      <c r="C42" s="8"/>
      <c r="D42" s="8"/>
      <c r="E42" s="8"/>
      <c r="F42" s="8"/>
      <c r="G42" s="8"/>
      <c r="H42" s="8"/>
      <c r="I42" s="8"/>
      <c r="J42" s="8"/>
      <c r="K42" s="8"/>
      <c r="L42" s="8"/>
      <c r="M42" s="8"/>
      <c r="N42" s="8"/>
      <c r="O42" s="8"/>
      <c r="P42" s="8"/>
      <c r="Q42" s="8"/>
      <c r="R42" s="8"/>
      <c r="S42" s="8"/>
      <c r="T42" s="8"/>
      <c r="U42" s="8"/>
      <c r="V42" s="91">
        <v>1.4033</v>
      </c>
      <c r="W42" s="94"/>
      <c r="X42" s="9"/>
      <c r="Y42" s="9"/>
      <c r="Z42" s="1"/>
      <c r="AA42" s="1"/>
      <c r="AB42" s="1"/>
      <c r="AC42" s="1"/>
      <c r="AD42" s="1"/>
      <c r="AE42" s="1"/>
      <c r="AF42" s="1"/>
      <c r="AG42" s="1"/>
      <c r="AH42" s="1"/>
      <c r="AI42" s="1"/>
      <c r="AJ42" s="1"/>
      <c r="AK42" s="1"/>
      <c r="AL42" s="1"/>
      <c r="AM42" s="1"/>
    </row>
    <row r="43" spans="1:39" ht="15.75">
      <c r="A43" s="7">
        <v>54</v>
      </c>
      <c r="B43" s="8">
        <v>1.3526</v>
      </c>
      <c r="C43" s="8"/>
      <c r="D43" s="8"/>
      <c r="E43" s="8"/>
      <c r="F43" s="8"/>
      <c r="G43" s="8"/>
      <c r="H43" s="8"/>
      <c r="I43" s="8"/>
      <c r="J43" s="8"/>
      <c r="K43" s="8"/>
      <c r="L43" s="8"/>
      <c r="M43" s="8"/>
      <c r="N43" s="8"/>
      <c r="O43" s="8"/>
      <c r="P43" s="8"/>
      <c r="Q43" s="8"/>
      <c r="R43" s="8"/>
      <c r="S43" s="8"/>
      <c r="T43" s="8"/>
      <c r="U43" s="8"/>
      <c r="V43" s="91">
        <v>1.5048999999999999</v>
      </c>
      <c r="W43" s="94"/>
      <c r="X43" s="9"/>
      <c r="Y43" s="9"/>
      <c r="Z43" s="1"/>
      <c r="AA43" s="1"/>
      <c r="AB43" s="1"/>
      <c r="AC43" s="1"/>
      <c r="AD43" s="1"/>
      <c r="AE43" s="1"/>
      <c r="AF43" s="1"/>
      <c r="AG43" s="1"/>
      <c r="AH43" s="1"/>
      <c r="AI43" s="1"/>
      <c r="AJ43" s="1"/>
      <c r="AK43" s="1"/>
      <c r="AL43" s="1"/>
      <c r="AM43" s="1"/>
    </row>
    <row r="44" spans="1:39" ht="15.75">
      <c r="A44" s="7">
        <v>56</v>
      </c>
      <c r="B44" s="8">
        <v>1.4033</v>
      </c>
      <c r="C44" s="8"/>
      <c r="D44" s="8"/>
      <c r="E44" s="8"/>
      <c r="F44" s="8"/>
      <c r="G44" s="8"/>
      <c r="H44" s="8"/>
      <c r="I44" s="8"/>
      <c r="J44" s="8"/>
      <c r="K44" s="8"/>
      <c r="L44" s="8"/>
      <c r="M44" s="8"/>
      <c r="N44" s="8"/>
      <c r="O44" s="8"/>
      <c r="P44" s="8"/>
      <c r="Q44" s="8"/>
      <c r="R44" s="8"/>
      <c r="S44" s="8"/>
      <c r="T44" s="8"/>
      <c r="U44" s="8"/>
      <c r="V44" s="91" t="e">
        <f>NA()</f>
        <v>#N/A</v>
      </c>
      <c r="W44" s="94"/>
      <c r="X44" s="9"/>
      <c r="Y44" s="9"/>
      <c r="Z44" s="1"/>
      <c r="AA44" s="1"/>
      <c r="AB44" s="1"/>
      <c r="AC44" s="1"/>
      <c r="AD44" s="1"/>
      <c r="AE44" s="1"/>
      <c r="AF44" s="1"/>
      <c r="AG44" s="1"/>
      <c r="AH44" s="1"/>
      <c r="AI44" s="1"/>
      <c r="AJ44" s="1"/>
      <c r="AK44" s="1"/>
      <c r="AL44" s="1"/>
      <c r="AM44" s="1"/>
    </row>
    <row r="45" spans="1:39" ht="15.75">
      <c r="A45" s="7">
        <v>58</v>
      </c>
      <c r="B45" s="8" t="e">
        <f>NA()</f>
        <v>#N/A</v>
      </c>
      <c r="C45" s="8"/>
      <c r="D45" s="8"/>
      <c r="E45" s="8"/>
      <c r="F45" s="8"/>
      <c r="G45" s="8"/>
      <c r="H45" s="8"/>
      <c r="I45" s="8"/>
      <c r="J45" s="8"/>
      <c r="K45" s="8"/>
      <c r="L45" s="8"/>
      <c r="M45" s="8"/>
      <c r="N45" s="8"/>
      <c r="O45" s="8"/>
      <c r="P45" s="8"/>
      <c r="Q45" s="8"/>
      <c r="R45" s="8"/>
      <c r="S45" s="8"/>
      <c r="T45" s="8"/>
      <c r="U45" s="8"/>
      <c r="V45" s="91"/>
      <c r="W45" s="94"/>
      <c r="X45" s="9"/>
      <c r="Y45" s="9"/>
      <c r="Z45" s="1"/>
      <c r="AA45" s="1"/>
      <c r="AB45" s="1"/>
      <c r="AC45" s="1"/>
      <c r="AD45" s="1"/>
      <c r="AE45" s="1"/>
      <c r="AF45" s="1"/>
      <c r="AG45" s="1"/>
      <c r="AH45" s="1"/>
      <c r="AI45" s="1"/>
      <c r="AJ45" s="1"/>
      <c r="AK45" s="1"/>
      <c r="AL45" s="1"/>
      <c r="AM45" s="1"/>
    </row>
    <row r="46" spans="1:39" ht="15.75">
      <c r="A46" s="7">
        <v>60</v>
      </c>
      <c r="B46" s="8">
        <v>1.5048999999999999</v>
      </c>
      <c r="C46" s="8"/>
      <c r="D46" s="8"/>
      <c r="E46" s="8"/>
      <c r="F46" s="8"/>
      <c r="G46" s="8"/>
      <c r="H46" s="8"/>
      <c r="I46" s="8"/>
      <c r="J46" s="8"/>
      <c r="K46" s="8"/>
      <c r="L46" s="8"/>
      <c r="M46" s="8"/>
      <c r="N46" s="8"/>
      <c r="O46" s="8"/>
      <c r="P46" s="8"/>
      <c r="Q46" s="8"/>
      <c r="R46" s="8"/>
      <c r="S46" s="8"/>
      <c r="T46" s="8"/>
      <c r="U46" s="8"/>
      <c r="V46" s="91"/>
      <c r="W46" s="94"/>
      <c r="X46" s="9"/>
      <c r="Y46" s="9"/>
      <c r="Z46" s="1"/>
      <c r="AA46" s="1"/>
      <c r="AB46" s="1"/>
      <c r="AC46" s="1"/>
      <c r="AD46" s="1"/>
      <c r="AE46" s="1"/>
      <c r="AF46" s="1"/>
      <c r="AG46" s="1"/>
      <c r="AH46" s="1"/>
      <c r="AI46" s="1"/>
      <c r="AJ46" s="1"/>
      <c r="AK46" s="1"/>
      <c r="AL46" s="1"/>
      <c r="AM46" s="1"/>
    </row>
    <row r="47" spans="1:39" ht="15.75">
      <c r="A47" s="7">
        <v>66</v>
      </c>
      <c r="B47" s="8">
        <v>1.65734</v>
      </c>
      <c r="C47" s="8"/>
      <c r="D47" s="8"/>
      <c r="E47" s="8"/>
      <c r="F47" s="8"/>
      <c r="G47" s="8"/>
      <c r="H47" s="8"/>
      <c r="I47" s="8"/>
      <c r="J47" s="8"/>
      <c r="K47" s="8"/>
      <c r="L47" s="8"/>
      <c r="M47" s="8"/>
      <c r="N47" s="8"/>
      <c r="O47" s="8"/>
      <c r="P47" s="8"/>
      <c r="Q47" s="8"/>
      <c r="R47" s="8"/>
      <c r="S47" s="8"/>
      <c r="T47" s="8"/>
      <c r="U47" s="8"/>
      <c r="V47" s="91"/>
      <c r="W47" s="94"/>
      <c r="X47" s="9"/>
      <c r="Y47" s="9"/>
      <c r="Z47" s="1"/>
      <c r="AA47" s="1"/>
      <c r="AB47" s="1"/>
      <c r="AC47" s="1"/>
      <c r="AD47" s="1"/>
      <c r="AE47" s="1"/>
      <c r="AF47" s="1"/>
      <c r="AG47" s="1"/>
      <c r="AH47" s="1"/>
      <c r="AI47" s="1"/>
      <c r="AJ47" s="1"/>
      <c r="AK47" s="1"/>
      <c r="AL47" s="1"/>
      <c r="AM47" s="1"/>
    </row>
    <row r="48" spans="1:39" ht="16.5" thickBot="1">
      <c r="A48" s="10">
        <v>72</v>
      </c>
      <c r="B48" s="11">
        <v>1.8036000000000001</v>
      </c>
      <c r="C48" s="11"/>
      <c r="D48" s="11"/>
      <c r="E48" s="11"/>
      <c r="F48" s="11"/>
      <c r="G48" s="11"/>
      <c r="H48" s="11"/>
      <c r="I48" s="11"/>
      <c r="J48" s="11"/>
      <c r="K48" s="11"/>
      <c r="L48" s="11"/>
      <c r="M48" s="11"/>
      <c r="N48" s="11"/>
      <c r="O48" s="11"/>
      <c r="P48" s="11"/>
      <c r="Q48" s="11"/>
      <c r="R48" s="11"/>
      <c r="S48" s="11"/>
      <c r="T48" s="11"/>
      <c r="U48" s="11"/>
      <c r="V48" s="92"/>
      <c r="W48" s="95"/>
      <c r="X48" s="9"/>
      <c r="Y48" s="9"/>
      <c r="Z48" s="1"/>
      <c r="AA48" s="1"/>
      <c r="AB48" s="1"/>
      <c r="AC48" s="1"/>
      <c r="AD48" s="1"/>
      <c r="AE48" s="1"/>
      <c r="AF48" s="1"/>
      <c r="AG48" s="1"/>
      <c r="AH48" s="1"/>
      <c r="AI48" s="1"/>
      <c r="AJ48" s="1"/>
      <c r="AK48" s="1"/>
      <c r="AL48" s="1"/>
      <c r="AM48" s="1"/>
    </row>
    <row r="49" spans="1:39" ht="13.5" thickTop="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row>
    <row r="50" spans="1:39">
      <c r="A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row>
    <row r="51" spans="1:39" ht="24.75">
      <c r="A51" s="24" t="s">
        <v>132</v>
      </c>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row>
    <row r="52" spans="1:39">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row>
    <row r="53" spans="1:39">
      <c r="A53" s="51" t="s">
        <v>86</v>
      </c>
      <c r="B53" s="48"/>
      <c r="C53" s="63"/>
      <c r="D53" s="63"/>
      <c r="E53" s="63"/>
      <c r="F53" s="20" t="s">
        <v>87</v>
      </c>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row>
    <row r="54" spans="1:39">
      <c r="A54" s="75" t="s">
        <v>71</v>
      </c>
      <c r="B54" s="20"/>
      <c r="C54" s="57" t="s">
        <v>80</v>
      </c>
      <c r="D54" s="57" t="s">
        <v>81</v>
      </c>
      <c r="E54" s="57" t="s">
        <v>82</v>
      </c>
      <c r="F54" s="57" t="s">
        <v>82</v>
      </c>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row>
    <row r="55" spans="1:39">
      <c r="A55" s="61" t="s">
        <v>129</v>
      </c>
      <c r="B55" s="66"/>
      <c r="C55" s="68">
        <v>0</v>
      </c>
      <c r="D55" s="77">
        <v>0</v>
      </c>
      <c r="E55" s="52">
        <v>0</v>
      </c>
      <c r="F55" s="52">
        <v>0</v>
      </c>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row>
    <row r="56" spans="1:39">
      <c r="A56" s="61" t="s">
        <v>207</v>
      </c>
      <c r="B56" s="66"/>
      <c r="C56" s="68">
        <v>8.9999999999999999E-11</v>
      </c>
      <c r="D56" s="68">
        <v>-3.0000000000000001E-6</v>
      </c>
      <c r="E56" s="67">
        <v>-6.1999999999999998E-3</v>
      </c>
      <c r="F56" s="67">
        <v>30.56</v>
      </c>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row>
    <row r="57" spans="1:39">
      <c r="A57" s="58" t="s">
        <v>208</v>
      </c>
      <c r="B57" s="88"/>
      <c r="C57" s="67">
        <v>3E-10</v>
      </c>
      <c r="D57" s="67">
        <v>-1.0499999999999999E-6</v>
      </c>
      <c r="E57" s="67">
        <v>5.7499999999999999E-3</v>
      </c>
      <c r="F57" s="67">
        <v>8.1639999999999997</v>
      </c>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row>
    <row r="58" spans="1:39">
      <c r="A58" s="61" t="s">
        <v>84</v>
      </c>
      <c r="B58" s="66"/>
      <c r="C58" s="67">
        <v>0</v>
      </c>
      <c r="D58" s="76">
        <v>6.9999999999999999E-6</v>
      </c>
      <c r="E58" s="67">
        <v>4.1000000000000002E-2</v>
      </c>
      <c r="F58" s="67">
        <v>61.6</v>
      </c>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row>
    <row r="59" spans="1:39">
      <c r="A59" s="61" t="s">
        <v>85</v>
      </c>
      <c r="B59" s="66"/>
      <c r="C59" s="67">
        <v>0</v>
      </c>
      <c r="D59" s="67">
        <v>0</v>
      </c>
      <c r="E59" s="67">
        <v>0.03</v>
      </c>
      <c r="F59" s="67">
        <v>65</v>
      </c>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row>
    <row r="60" spans="1:39">
      <c r="A60" s="61"/>
      <c r="B60" s="66"/>
      <c r="C60" s="67"/>
      <c r="D60" s="67"/>
      <c r="E60" s="67"/>
      <c r="F60" s="67"/>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row>
    <row r="61" spans="1:39">
      <c r="A61" s="61"/>
      <c r="B61" s="66"/>
      <c r="C61" s="67"/>
      <c r="D61" s="67"/>
      <c r="E61" s="67"/>
      <c r="F61" s="67"/>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row>
    <row r="62" spans="1:39">
      <c r="A62" s="49"/>
      <c r="B62" s="55"/>
      <c r="C62" s="50"/>
      <c r="D62" s="50"/>
      <c r="E62" s="50"/>
      <c r="F62" s="50"/>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row>
    <row r="63" spans="1:39">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row>
    <row r="64" spans="1:39">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row>
    <row r="65" spans="1:39">
      <c r="A65" s="62" t="s">
        <v>79</v>
      </c>
      <c r="B65" s="63"/>
      <c r="C65" s="63"/>
      <c r="D65" s="63"/>
      <c r="E65" s="63"/>
      <c r="F65" s="20"/>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row>
    <row r="66" spans="1:39">
      <c r="A66" s="41" t="s">
        <v>71</v>
      </c>
      <c r="B66" s="53"/>
      <c r="C66" s="88"/>
      <c r="D66" s="55"/>
      <c r="E66" s="59" t="s">
        <v>72</v>
      </c>
      <c r="F66" s="42" t="s">
        <v>73</v>
      </c>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row>
    <row r="67" spans="1:39">
      <c r="A67" s="51" t="s">
        <v>83</v>
      </c>
      <c r="B67" s="48"/>
      <c r="C67" s="48"/>
      <c r="D67" s="65"/>
      <c r="E67" s="52"/>
      <c r="F67" s="52"/>
      <c r="G67" s="1"/>
      <c r="H67" s="1"/>
      <c r="I67" s="1"/>
      <c r="J67" s="51" t="s">
        <v>83</v>
      </c>
      <c r="K67" s="235"/>
      <c r="L67" s="236"/>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row>
    <row r="68" spans="1:39">
      <c r="A68" s="61" t="s">
        <v>75</v>
      </c>
      <c r="B68" s="53"/>
      <c r="C68" s="88"/>
      <c r="D68" s="88"/>
      <c r="E68" s="45">
        <v>4.1699999999999997E-5</v>
      </c>
      <c r="F68" s="44">
        <v>2.2499999999999999E-2</v>
      </c>
      <c r="G68" s="1"/>
      <c r="H68" s="1"/>
      <c r="I68" s="1"/>
      <c r="J68" s="61" t="s">
        <v>75</v>
      </c>
      <c r="K68" s="233"/>
      <c r="L68" s="237"/>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row>
    <row r="69" spans="1:39">
      <c r="A69" s="61" t="s">
        <v>76</v>
      </c>
      <c r="B69" s="53"/>
      <c r="C69" s="88"/>
      <c r="D69" s="88"/>
      <c r="E69" s="45">
        <v>2.5010000000000001E-2</v>
      </c>
      <c r="F69" s="44">
        <v>2.0899999999999998E-3</v>
      </c>
      <c r="G69" s="88" t="s">
        <v>77</v>
      </c>
      <c r="H69" s="1"/>
      <c r="I69" s="1"/>
      <c r="J69" s="61" t="s">
        <v>229</v>
      </c>
      <c r="K69" s="233"/>
      <c r="L69" s="237"/>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row>
    <row r="70" spans="1:39">
      <c r="A70" s="61" t="s">
        <v>78</v>
      </c>
      <c r="B70" s="53"/>
      <c r="C70" s="88"/>
      <c r="D70" s="88"/>
      <c r="E70" s="45">
        <v>3.3300000000000003E-5</v>
      </c>
      <c r="F70" s="44">
        <v>1.83E-2</v>
      </c>
      <c r="G70" s="1"/>
      <c r="H70" s="1"/>
      <c r="I70" s="1"/>
      <c r="J70" s="58" t="s">
        <v>233</v>
      </c>
      <c r="K70" s="233"/>
      <c r="L70" s="237"/>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row>
    <row r="71" spans="1:39">
      <c r="A71" s="61" t="s">
        <v>259</v>
      </c>
      <c r="B71" s="53"/>
      <c r="C71" s="88" t="s">
        <v>235</v>
      </c>
      <c r="D71" s="88"/>
      <c r="E71" s="45">
        <v>3.3300000000000003E-5</v>
      </c>
      <c r="F71" s="44">
        <v>1.9199999999999998E-2</v>
      </c>
      <c r="G71" s="1"/>
      <c r="H71" s="1"/>
      <c r="I71" s="1"/>
      <c r="J71" s="61" t="s">
        <v>76</v>
      </c>
      <c r="K71" s="233"/>
      <c r="L71" s="237"/>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row>
    <row r="72" spans="1:39">
      <c r="A72" s="61"/>
      <c r="B72" s="53"/>
      <c r="C72" s="88" t="s">
        <v>236</v>
      </c>
      <c r="D72" s="88"/>
      <c r="E72" s="46">
        <v>6.0000000000000002E-5</v>
      </c>
      <c r="F72" s="43">
        <v>1.7170000000000001E-2</v>
      </c>
      <c r="G72" s="1"/>
      <c r="H72" s="1"/>
      <c r="I72" s="1"/>
      <c r="J72" s="61" t="s">
        <v>259</v>
      </c>
      <c r="K72" s="233"/>
      <c r="L72" s="237"/>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row>
    <row r="73" spans="1:39">
      <c r="A73" s="61" t="s">
        <v>260</v>
      </c>
      <c r="B73" s="53"/>
      <c r="C73" s="88" t="s">
        <v>237</v>
      </c>
      <c r="D73" s="88"/>
      <c r="E73" s="46">
        <v>5.0000000000000002E-5</v>
      </c>
      <c r="F73" s="43">
        <v>0.02</v>
      </c>
      <c r="G73" s="1"/>
      <c r="H73" s="1"/>
      <c r="I73" s="1"/>
      <c r="J73" s="61" t="s">
        <v>260</v>
      </c>
      <c r="K73" s="233"/>
      <c r="L73" s="237"/>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row>
    <row r="74" spans="1:39">
      <c r="A74" s="61" t="s">
        <v>239</v>
      </c>
      <c r="B74" s="88"/>
      <c r="C74" s="88" t="s">
        <v>238</v>
      </c>
      <c r="D74" s="88"/>
      <c r="E74" s="67">
        <v>5.0000000000000002E-5</v>
      </c>
      <c r="F74" s="67">
        <v>2.5000000000000001E-2</v>
      </c>
      <c r="G74" s="1"/>
      <c r="H74" s="1"/>
      <c r="I74" s="1"/>
      <c r="J74" s="61" t="s">
        <v>239</v>
      </c>
      <c r="K74" s="233"/>
      <c r="L74" s="237"/>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row>
    <row r="75" spans="1:39">
      <c r="A75" s="61"/>
      <c r="B75" s="88"/>
      <c r="C75" s="88" t="s">
        <v>240</v>
      </c>
      <c r="D75" s="88"/>
      <c r="E75" s="67">
        <v>6.6699999999999995E-5</v>
      </c>
      <c r="F75" s="67">
        <v>2.1700000000000001E-2</v>
      </c>
      <c r="G75" s="1"/>
      <c r="H75" s="1"/>
      <c r="I75" s="1"/>
      <c r="J75" s="61" t="s">
        <v>227</v>
      </c>
      <c r="K75" s="233"/>
      <c r="L75" s="237"/>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row>
    <row r="76" spans="1:39">
      <c r="A76" s="61"/>
      <c r="B76" s="88"/>
      <c r="C76" s="88" t="s">
        <v>241</v>
      </c>
      <c r="D76" s="88"/>
      <c r="E76" s="67">
        <v>5.8300000000000001E-5</v>
      </c>
      <c r="F76" s="67">
        <v>2.4199999999999999E-2</v>
      </c>
      <c r="G76" s="1"/>
      <c r="H76" s="1"/>
      <c r="I76" s="1"/>
      <c r="J76" s="61" t="s">
        <v>228</v>
      </c>
      <c r="K76" s="233"/>
      <c r="L76" s="237"/>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row>
    <row r="77" spans="1:39">
      <c r="A77" s="61" t="s">
        <v>227</v>
      </c>
      <c r="B77" s="88"/>
      <c r="C77" s="88" t="s">
        <v>261</v>
      </c>
      <c r="D77" s="88"/>
      <c r="E77" s="69">
        <v>4.5800000000000002E-5</v>
      </c>
      <c r="F77" s="69">
        <v>2.46E-2</v>
      </c>
      <c r="G77" s="1"/>
      <c r="H77" s="1"/>
      <c r="I77" s="1"/>
      <c r="J77" s="58" t="s">
        <v>230</v>
      </c>
      <c r="K77" s="233"/>
      <c r="L77" s="237"/>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row>
    <row r="78" spans="1:39">
      <c r="A78" s="61"/>
      <c r="B78" s="88"/>
      <c r="C78" s="88" t="s">
        <v>242</v>
      </c>
      <c r="D78" s="88"/>
      <c r="E78" s="69">
        <v>5.8300000000000001E-5</v>
      </c>
      <c r="F78" s="69">
        <v>1.5800000000000002E-2</v>
      </c>
      <c r="G78" s="1"/>
      <c r="H78" s="1"/>
      <c r="I78" s="1"/>
      <c r="J78" s="58" t="s">
        <v>231</v>
      </c>
      <c r="K78" s="233"/>
      <c r="L78" s="237"/>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row>
    <row r="79" spans="1:39">
      <c r="A79" s="61" t="s">
        <v>243</v>
      </c>
      <c r="B79" s="66"/>
      <c r="C79" s="88" t="s">
        <v>244</v>
      </c>
      <c r="D79" s="88"/>
      <c r="E79" s="46">
        <v>3.3300000000000003E-5</v>
      </c>
      <c r="F79" s="43">
        <v>2.3300000000000001E-2</v>
      </c>
      <c r="G79" s="1"/>
      <c r="H79" s="1"/>
      <c r="I79" s="1"/>
      <c r="J79" s="234" t="s">
        <v>258</v>
      </c>
      <c r="K79" s="233"/>
      <c r="L79" s="237"/>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row>
    <row r="80" spans="1:39">
      <c r="A80" s="61"/>
      <c r="B80" s="88"/>
      <c r="C80" s="88" t="s">
        <v>245</v>
      </c>
      <c r="D80" s="88"/>
      <c r="E80" s="46">
        <v>4.5800000000000002E-5</v>
      </c>
      <c r="F80" s="43">
        <v>1.9599999999999999E-2</v>
      </c>
      <c r="G80" s="1"/>
      <c r="H80" s="1"/>
      <c r="I80" s="1"/>
      <c r="J80" s="238" t="s">
        <v>232</v>
      </c>
      <c r="K80" s="239"/>
      <c r="L80" s="240"/>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row>
    <row r="81" spans="1:39">
      <c r="A81" s="61"/>
      <c r="B81" s="88"/>
      <c r="C81" s="88" t="s">
        <v>246</v>
      </c>
      <c r="D81" s="88"/>
      <c r="E81" s="70">
        <v>6.2500000000000001E-5</v>
      </c>
      <c r="F81" s="43">
        <v>1.1299999999999999E-2</v>
      </c>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row>
    <row r="82" spans="1:39">
      <c r="A82" s="58" t="s">
        <v>247</v>
      </c>
      <c r="B82" s="66"/>
      <c r="C82" s="88"/>
      <c r="D82" s="88" t="s">
        <v>248</v>
      </c>
      <c r="E82" s="46">
        <f>0.00005</f>
        <v>5.0000000000000002E-5</v>
      </c>
      <c r="F82" s="43">
        <v>2.5999999999999999E-2</v>
      </c>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row>
    <row r="83" spans="1:39">
      <c r="A83" s="58"/>
      <c r="B83" s="88"/>
      <c r="C83" s="88"/>
      <c r="D83" s="88" t="s">
        <v>249</v>
      </c>
      <c r="E83" s="46">
        <f>0.0000475</f>
        <v>4.7500000000000003E-5</v>
      </c>
      <c r="F83" s="43">
        <v>2.5999999999999999E-2</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row>
    <row r="84" spans="1:39">
      <c r="A84" s="58" t="s">
        <v>231</v>
      </c>
      <c r="B84" s="88"/>
      <c r="C84" s="88"/>
      <c r="D84" s="88" t="s">
        <v>248</v>
      </c>
      <c r="E84" s="68">
        <v>5.0000000000000002E-5</v>
      </c>
      <c r="F84" s="46">
        <v>0.02</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row>
    <row r="85" spans="1:39">
      <c r="A85" s="58"/>
      <c r="B85" s="88"/>
      <c r="C85" s="88"/>
      <c r="D85" s="88" t="s">
        <v>249</v>
      </c>
      <c r="E85" s="71">
        <v>5.4200000000000003E-5</v>
      </c>
      <c r="F85" s="46">
        <v>0.02</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row>
    <row r="86" spans="1:39">
      <c r="A86" s="58" t="s">
        <v>250</v>
      </c>
      <c r="B86" s="88"/>
      <c r="C86" s="88"/>
      <c r="D86" s="88" t="s">
        <v>251</v>
      </c>
      <c r="E86" s="67">
        <v>3.9100000000000002E-5</v>
      </c>
      <c r="F86" s="67">
        <v>2.1600000000000001E-2</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row>
    <row r="87" spans="1:39">
      <c r="A87" s="58"/>
      <c r="B87" s="88"/>
      <c r="C87" s="88"/>
      <c r="D87" s="241" t="s">
        <v>252</v>
      </c>
      <c r="E87" s="69">
        <v>4.0132999999999997E-5</v>
      </c>
      <c r="F87" s="69">
        <v>2.1600000000000001E-2</v>
      </c>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row>
    <row r="88" spans="1:39">
      <c r="A88" s="58"/>
      <c r="B88" s="88"/>
      <c r="C88" s="88"/>
      <c r="D88" s="241" t="s">
        <v>253</v>
      </c>
      <c r="E88" s="69">
        <v>4.057E-5</v>
      </c>
      <c r="F88" s="69">
        <v>2.1600000000000001E-2</v>
      </c>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row>
    <row r="89" spans="1:39">
      <c r="A89" s="58" t="s">
        <v>233</v>
      </c>
      <c r="B89" s="88"/>
      <c r="C89" s="88"/>
      <c r="D89" s="65" t="s">
        <v>251</v>
      </c>
      <c r="E89" s="65">
        <v>3.2230000000000001E-5</v>
      </c>
      <c r="F89" s="67">
        <v>3.6999999999999998E-2</v>
      </c>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row>
    <row r="90" spans="1:39">
      <c r="A90" s="58"/>
      <c r="B90" s="88"/>
      <c r="C90" s="88"/>
      <c r="D90" s="241" t="s">
        <v>252</v>
      </c>
      <c r="E90" s="72">
        <v>3.1000000000000001E-5</v>
      </c>
      <c r="F90" s="69">
        <v>3.6999999999999998E-2</v>
      </c>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row>
    <row r="91" spans="1:39">
      <c r="A91" s="58"/>
      <c r="B91" s="88"/>
      <c r="C91" s="88"/>
      <c r="D91" s="241" t="s">
        <v>254</v>
      </c>
      <c r="E91" s="72">
        <v>3.048E-5</v>
      </c>
      <c r="F91" s="69">
        <v>3.6999999999999998E-2</v>
      </c>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row>
    <row r="92" spans="1:39">
      <c r="A92" s="234" t="s">
        <v>258</v>
      </c>
      <c r="B92" s="88"/>
      <c r="C92" s="88"/>
      <c r="D92" s="242" t="s">
        <v>255</v>
      </c>
      <c r="E92" s="67">
        <v>2.0000000000000002E-5</v>
      </c>
      <c r="F92" s="67">
        <v>4.8000000000000001E-2</v>
      </c>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row>
    <row r="93" spans="1:39">
      <c r="A93" s="58"/>
      <c r="B93" s="88"/>
      <c r="C93" s="88"/>
      <c r="D93" s="242" t="s">
        <v>256</v>
      </c>
      <c r="E93" s="67">
        <v>1.6699999999999999E-5</v>
      </c>
      <c r="F93" s="67">
        <v>5.0799999999999998E-2</v>
      </c>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row>
    <row r="94" spans="1:39">
      <c r="A94" s="238" t="s">
        <v>232</v>
      </c>
      <c r="B94" s="55"/>
      <c r="C94" s="55"/>
      <c r="D94" s="55" t="s">
        <v>257</v>
      </c>
      <c r="E94" s="50">
        <v>2.0000000000000002E-5</v>
      </c>
      <c r="F94" s="50">
        <v>5.5E-2</v>
      </c>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row>
    <row r="95" spans="1:39">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row>
    <row r="96" spans="1:39">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row>
    <row r="97" spans="1:39">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row>
    <row r="98" spans="1:39">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row>
    <row r="99" spans="1:39">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row>
    <row r="100" spans="1:39">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row>
    <row r="101" spans="1:39">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row>
    <row r="102" spans="1:39">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row>
    <row r="103" spans="1:39">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row>
    <row r="104" spans="1:39">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row>
    <row r="105" spans="1:39">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row>
    <row r="106" spans="1:39">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row>
    <row r="107" spans="1:39">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row>
    <row r="108" spans="1:39">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row>
    <row r="109" spans="1:39">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row>
    <row r="110" spans="1:39">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row>
    <row r="111" spans="1:39">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row>
    <row r="112" spans="1:39">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row>
    <row r="113" spans="1:39">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row>
    <row r="114" spans="1:39">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row>
    <row r="115" spans="1:39">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row>
    <row r="116" spans="1:39">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row>
    <row r="117" spans="1:39">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row>
    <row r="118" spans="1:39">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row>
    <row r="119" spans="1:39">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row>
    <row r="120" spans="1:39">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row>
    <row r="121" spans="1:39">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row>
    <row r="122" spans="1:39">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row>
    <row r="123" spans="1:39">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row>
    <row r="124" spans="1:39">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row>
    <row r="125" spans="1:39">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row>
    <row r="126" spans="1:39">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row>
    <row r="127" spans="1:39">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row>
    <row r="128" spans="1:39">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row>
    <row r="129" spans="1:39">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row>
    <row r="130" spans="1:39">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row>
    <row r="131" spans="1:39">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row>
    <row r="132" spans="1:39">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row>
    <row r="133" spans="1:39">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row>
    <row r="134" spans="1:39">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row>
    <row r="135" spans="1:39">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row>
    <row r="136" spans="1:39">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row>
    <row r="137" spans="1:39">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row>
    <row r="138" spans="1:39">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row>
    <row r="139" spans="1:39">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row>
    <row r="140" spans="1:39">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row>
    <row r="141" spans="1:39">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row>
    <row r="142" spans="1:39">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row>
    <row r="143" spans="1:39">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row>
    <row r="144" spans="1:39">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row>
    <row r="145" spans="1:39">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row>
    <row r="146" spans="1:39">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row>
    <row r="147" spans="1:39">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row>
    <row r="148" spans="1:39">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row>
    <row r="149" spans="1:39">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row>
    <row r="150" spans="1:39">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row>
    <row r="151" spans="1:39">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row>
    <row r="152" spans="1:39">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row>
    <row r="153" spans="1:39">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row>
  </sheetData>
  <mergeCells count="1">
    <mergeCell ref="Y11:Z11"/>
  </mergeCells>
  <phoneticPr fontId="2" type="noConversion"/>
  <printOptions gridLines="1" gridLinesSet="0"/>
  <pageMargins left="0.55118110236220474" right="0.55118110236220474" top="0.61" bottom="0.7" header="0.31496062992125984" footer="0.51181102362204722"/>
  <pageSetup paperSize="9" scale="65" orientation="landscape"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4:Y96"/>
  <sheetViews>
    <sheetView topLeftCell="A61" zoomScale="85" zoomScaleNormal="85" workbookViewId="0">
      <selection activeCell="E93" sqref="E93"/>
    </sheetView>
  </sheetViews>
  <sheetFormatPr defaultRowHeight="12.75"/>
  <cols>
    <col min="2" max="2" width="2.28515625" customWidth="1"/>
    <col min="5" max="5" width="10.7109375" customWidth="1"/>
    <col min="8" max="8" width="3.7109375" customWidth="1"/>
    <col min="9" max="9" width="10.7109375" customWidth="1"/>
    <col min="10" max="10" width="3.7109375" customWidth="1"/>
    <col min="11" max="11" width="10.7109375" customWidth="1"/>
    <col min="12" max="12" width="3.7109375" customWidth="1"/>
    <col min="13" max="13" width="10.7109375" customWidth="1"/>
    <col min="14" max="14" width="3.7109375" customWidth="1"/>
    <col min="15" max="15" width="5.7109375" customWidth="1"/>
  </cols>
  <sheetData>
    <row r="4" spans="2:3" s="33" customFormat="1" ht="37.5">
      <c r="B4" s="35" t="s">
        <v>23</v>
      </c>
    </row>
    <row r="5" spans="2:3" s="33" customFormat="1" ht="9.9499999999999993" customHeight="1">
      <c r="B5" s="35"/>
    </row>
    <row r="6" spans="2:3" s="33" customFormat="1" ht="25.5" customHeight="1">
      <c r="B6" s="34" t="s">
        <v>27</v>
      </c>
    </row>
    <row r="7" spans="2:3" ht="24">
      <c r="C7" s="36" t="s">
        <v>28</v>
      </c>
    </row>
    <row r="8" spans="2:3" s="47" customFormat="1" ht="24">
      <c r="C8" s="36" t="s">
        <v>74</v>
      </c>
    </row>
    <row r="9" spans="2:3" ht="20.100000000000001" customHeight="1">
      <c r="C9" s="36"/>
    </row>
    <row r="10" spans="2:3" ht="25.5">
      <c r="B10" s="34" t="s">
        <v>26</v>
      </c>
    </row>
    <row r="11" spans="2:3" ht="23.25">
      <c r="C11" s="36" t="s">
        <v>24</v>
      </c>
    </row>
    <row r="12" spans="2:3" ht="23.25">
      <c r="C12" s="36" t="s">
        <v>25</v>
      </c>
    </row>
    <row r="13" spans="2:3" ht="20.100000000000001" customHeight="1">
      <c r="C13" s="36"/>
    </row>
    <row r="14" spans="2:3" ht="26.25">
      <c r="B14" s="34" t="s">
        <v>29</v>
      </c>
    </row>
    <row r="15" spans="2:3" ht="24">
      <c r="C15" s="36" t="s">
        <v>30</v>
      </c>
    </row>
    <row r="17" spans="2:25" ht="26.25">
      <c r="B17" s="34" t="s">
        <v>69</v>
      </c>
    </row>
    <row r="19" spans="2:25" s="47" customFormat="1" ht="25.5">
      <c r="B19" s="34" t="s">
        <v>89</v>
      </c>
    </row>
    <row r="20" spans="2:25" ht="23.25">
      <c r="B20" s="47"/>
      <c r="C20" s="36" t="s">
        <v>88</v>
      </c>
    </row>
    <row r="21" spans="2:25" s="64" customFormat="1" ht="12.75" customHeight="1">
      <c r="C21" s="36"/>
    </row>
    <row r="22" spans="2:25" s="64" customFormat="1" ht="25.5">
      <c r="B22" s="34" t="s">
        <v>90</v>
      </c>
      <c r="C22" s="36"/>
    </row>
    <row r="23" spans="2:25" s="64" customFormat="1" ht="23.25">
      <c r="C23" s="36" t="s">
        <v>91</v>
      </c>
    </row>
    <row r="25" spans="2:25" s="64" customFormat="1"/>
    <row r="26" spans="2:25" s="64" customFormat="1"/>
    <row r="27" spans="2:25" s="33" customFormat="1" ht="37.5">
      <c r="B27" s="35" t="s">
        <v>31</v>
      </c>
    </row>
    <row r="28" spans="2:25" s="33" customFormat="1" ht="9.9499999999999993" customHeight="1">
      <c r="B28" s="35"/>
    </row>
    <row r="29" spans="2:25" s="33" customFormat="1" ht="25.5" customHeight="1">
      <c r="B29" s="34" t="s">
        <v>45</v>
      </c>
      <c r="J29" s="34"/>
      <c r="K29" s="34"/>
    </row>
    <row r="31" spans="2:25" ht="24">
      <c r="C31" s="36" t="s">
        <v>35</v>
      </c>
      <c r="Q31" s="36" t="s">
        <v>50</v>
      </c>
      <c r="Y31" s="36" t="s">
        <v>52</v>
      </c>
    </row>
    <row r="32" spans="2:25" ht="29.25">
      <c r="C32" s="36" t="s">
        <v>32</v>
      </c>
      <c r="Q32" s="36" t="s">
        <v>51</v>
      </c>
      <c r="Y32" s="36" t="s">
        <v>54</v>
      </c>
    </row>
    <row r="33" spans="2:22" ht="26.25">
      <c r="B33" t="s">
        <v>33</v>
      </c>
      <c r="C33" s="36" t="s">
        <v>34</v>
      </c>
      <c r="Q33" s="36" t="s">
        <v>37</v>
      </c>
      <c r="U33" s="36" t="s">
        <v>36</v>
      </c>
    </row>
    <row r="34" spans="2:22" ht="23.25">
      <c r="C34" s="36"/>
      <c r="Q34" s="36" t="s">
        <v>38</v>
      </c>
    </row>
    <row r="35" spans="2:22" ht="15" customHeight="1">
      <c r="C35" s="36"/>
    </row>
    <row r="36" spans="2:22" ht="26.25">
      <c r="C36" s="36" t="s">
        <v>41</v>
      </c>
      <c r="Q36" s="36" t="s">
        <v>39</v>
      </c>
    </row>
    <row r="37" spans="2:22" ht="23.25">
      <c r="C37" s="36" t="s">
        <v>44</v>
      </c>
      <c r="Q37" s="36" t="s">
        <v>40</v>
      </c>
      <c r="V37" s="36" t="s">
        <v>43</v>
      </c>
    </row>
    <row r="38" spans="2:22" ht="24">
      <c r="C38" s="36"/>
      <c r="Q38" s="36" t="s">
        <v>42</v>
      </c>
    </row>
    <row r="39" spans="2:22" ht="24">
      <c r="Q39" s="36" t="s">
        <v>53</v>
      </c>
    </row>
    <row r="41" spans="2:22" s="33" customFormat="1" ht="25.5" customHeight="1">
      <c r="B41" s="34" t="s">
        <v>46</v>
      </c>
      <c r="J41" s="34"/>
      <c r="K41" s="34"/>
    </row>
    <row r="43" spans="2:22" ht="24">
      <c r="C43" s="36" t="s">
        <v>48</v>
      </c>
      <c r="P43" s="36"/>
      <c r="Q43" s="36" t="s">
        <v>49</v>
      </c>
    </row>
    <row r="44" spans="2:22" ht="23.25">
      <c r="C44" s="36" t="s">
        <v>55</v>
      </c>
      <c r="F44" s="22" t="s">
        <v>57</v>
      </c>
      <c r="L44" s="36"/>
      <c r="P44" s="36"/>
    </row>
    <row r="45" spans="2:22" ht="12.75" customHeight="1">
      <c r="C45" s="36"/>
      <c r="L45" s="36"/>
      <c r="P45" s="36"/>
    </row>
    <row r="46" spans="2:22" ht="24">
      <c r="C46" s="36"/>
      <c r="Q46" s="36" t="s">
        <v>58</v>
      </c>
    </row>
    <row r="47" spans="2:22" ht="23.25">
      <c r="C47" s="36"/>
      <c r="Q47" s="36" t="s">
        <v>59</v>
      </c>
    </row>
    <row r="48" spans="2:22" ht="26.25">
      <c r="C48" s="36"/>
      <c r="L48" s="36"/>
      <c r="Q48" s="36" t="s">
        <v>61</v>
      </c>
      <c r="R48" s="36" t="s">
        <v>62</v>
      </c>
    </row>
    <row r="49" spans="2:21" ht="24">
      <c r="C49" s="36"/>
      <c r="L49" s="36"/>
      <c r="Q49" s="36" t="s">
        <v>60</v>
      </c>
      <c r="U49" s="36" t="s">
        <v>63</v>
      </c>
    </row>
    <row r="50" spans="2:21" ht="12.75" customHeight="1">
      <c r="C50" s="36"/>
      <c r="L50" s="36"/>
    </row>
    <row r="51" spans="2:21" ht="23.25">
      <c r="L51" s="36"/>
    </row>
    <row r="52" spans="2:21" ht="23.25">
      <c r="Q52" s="36" t="s">
        <v>64</v>
      </c>
    </row>
    <row r="53" spans="2:21" ht="24">
      <c r="Q53" s="36" t="s">
        <v>65</v>
      </c>
    </row>
    <row r="54" spans="2:21" ht="23.25">
      <c r="Q54" s="36"/>
    </row>
    <row r="57" spans="2:21" ht="26.25">
      <c r="B57" s="34" t="s">
        <v>66</v>
      </c>
    </row>
    <row r="59" spans="2:21" ht="24">
      <c r="C59" s="36" t="s">
        <v>67</v>
      </c>
      <c r="M59" s="36"/>
      <c r="P59" s="36"/>
    </row>
    <row r="60" spans="2:21" ht="24">
      <c r="C60" s="36" t="s">
        <v>68</v>
      </c>
      <c r="F60" s="22"/>
      <c r="L60" s="36"/>
      <c r="P60" s="36"/>
    </row>
    <row r="62" spans="2:21" ht="23.25">
      <c r="C62" s="36"/>
      <c r="F62" s="22"/>
      <c r="L62" s="36"/>
      <c r="P62" s="36"/>
    </row>
    <row r="63" spans="2:21" ht="26.25">
      <c r="B63" s="34" t="s">
        <v>92</v>
      </c>
    </row>
    <row r="65" spans="3:15" s="78" customFormat="1" ht="23.85" customHeight="1"/>
    <row r="66" spans="3:15" s="78" customFormat="1" ht="23.85" customHeight="1">
      <c r="C66" s="87" t="s">
        <v>123</v>
      </c>
    </row>
    <row r="67" spans="3:15" s="78" customFormat="1" ht="23.85" customHeight="1"/>
    <row r="68" spans="3:15" s="78" customFormat="1" ht="23.85" customHeight="1">
      <c r="C68" s="87" t="s">
        <v>93</v>
      </c>
    </row>
    <row r="69" spans="3:15" s="78" customFormat="1" ht="23.85" customHeight="1"/>
    <row r="70" spans="3:15" s="78" customFormat="1" ht="23.85" customHeight="1">
      <c r="C70" s="79">
        <v>1</v>
      </c>
      <c r="D70" s="507" t="s">
        <v>94</v>
      </c>
      <c r="E70" s="79" t="s">
        <v>125</v>
      </c>
      <c r="F70" s="507" t="s">
        <v>95</v>
      </c>
      <c r="G70" s="79" t="s">
        <v>125</v>
      </c>
      <c r="H70" s="506" t="s">
        <v>96</v>
      </c>
      <c r="I70" s="82" t="s">
        <v>97</v>
      </c>
      <c r="J70" s="507" t="s">
        <v>95</v>
      </c>
      <c r="K70" s="82" t="s">
        <v>98</v>
      </c>
      <c r="L70" s="506" t="s">
        <v>100</v>
      </c>
      <c r="M70" s="507" t="s">
        <v>95</v>
      </c>
      <c r="N70" s="508">
        <v>1</v>
      </c>
      <c r="O70" s="508"/>
    </row>
    <row r="71" spans="3:15" s="78" customFormat="1" ht="23.85" customHeight="1">
      <c r="C71" s="80" t="s">
        <v>124</v>
      </c>
      <c r="D71" s="507"/>
      <c r="E71" s="80" t="s">
        <v>126</v>
      </c>
      <c r="F71" s="507"/>
      <c r="G71" s="80">
        <v>24</v>
      </c>
      <c r="H71" s="506"/>
      <c r="I71" s="80" t="s">
        <v>102</v>
      </c>
      <c r="J71" s="507"/>
      <c r="K71" s="80" t="s">
        <v>103</v>
      </c>
      <c r="L71" s="506"/>
      <c r="M71" s="507"/>
      <c r="N71" s="509" t="s">
        <v>127</v>
      </c>
      <c r="O71" s="509"/>
    </row>
    <row r="72" spans="3:15" s="78" customFormat="1" ht="23.85" customHeight="1">
      <c r="C72" s="84"/>
      <c r="D72" s="83"/>
      <c r="E72" s="84"/>
      <c r="F72" s="83"/>
      <c r="G72" s="84"/>
      <c r="H72" s="86"/>
      <c r="I72" s="84"/>
      <c r="J72" s="83"/>
      <c r="K72" s="84"/>
      <c r="L72" s="83"/>
      <c r="M72" s="84"/>
      <c r="N72" s="86"/>
    </row>
    <row r="73" spans="3:15" s="78" customFormat="1" ht="23.85" customHeight="1">
      <c r="C73" s="87" t="s">
        <v>105</v>
      </c>
      <c r="D73" s="83"/>
      <c r="E73" s="84"/>
      <c r="F73" s="83"/>
      <c r="G73" s="84"/>
      <c r="H73" s="86"/>
      <c r="I73" s="84"/>
      <c r="J73" s="83"/>
      <c r="K73" s="84"/>
      <c r="L73" s="83"/>
      <c r="M73" s="84"/>
      <c r="N73" s="86"/>
    </row>
    <row r="74" spans="3:15" s="78" customFormat="1" ht="23.85" customHeight="1">
      <c r="C74" s="81"/>
      <c r="L74" s="81"/>
    </row>
    <row r="75" spans="3:15" s="78" customFormat="1" ht="23.85" customHeight="1">
      <c r="C75" s="79">
        <v>1</v>
      </c>
      <c r="D75" s="507" t="s">
        <v>94</v>
      </c>
      <c r="E75" s="79" t="s">
        <v>125</v>
      </c>
      <c r="F75" s="507" t="s">
        <v>95</v>
      </c>
      <c r="G75" s="79" t="s">
        <v>125</v>
      </c>
      <c r="H75" s="506" t="s">
        <v>96</v>
      </c>
      <c r="I75" s="82" t="s">
        <v>97</v>
      </c>
      <c r="J75" s="506" t="s">
        <v>100</v>
      </c>
      <c r="K75" s="507" t="s">
        <v>95</v>
      </c>
      <c r="L75" s="508">
        <v>1</v>
      </c>
      <c r="M75" s="508"/>
      <c r="N75" s="506"/>
    </row>
    <row r="76" spans="3:15" s="78" customFormat="1" ht="23.85" customHeight="1">
      <c r="C76" s="80" t="s">
        <v>124</v>
      </c>
      <c r="D76" s="507"/>
      <c r="E76" s="80" t="s">
        <v>126</v>
      </c>
      <c r="F76" s="507"/>
      <c r="G76" s="80">
        <v>24</v>
      </c>
      <c r="H76" s="506"/>
      <c r="I76" s="80" t="s">
        <v>102</v>
      </c>
      <c r="J76" s="506"/>
      <c r="K76" s="507"/>
      <c r="L76" s="509" t="s">
        <v>127</v>
      </c>
      <c r="M76" s="509"/>
      <c r="N76" s="506"/>
    </row>
    <row r="77" spans="3:15" s="78" customFormat="1" ht="23.85" customHeight="1">
      <c r="C77" s="84"/>
      <c r="D77" s="83"/>
      <c r="E77" s="84"/>
      <c r="F77" s="83"/>
      <c r="G77" s="84"/>
      <c r="H77" s="86"/>
      <c r="I77" s="84"/>
      <c r="J77" s="86"/>
      <c r="K77" s="83"/>
      <c r="L77" s="84"/>
      <c r="M77" s="84"/>
      <c r="N77" s="86"/>
    </row>
    <row r="78" spans="3:15" s="78" customFormat="1" ht="23.85" customHeight="1">
      <c r="C78" s="81" t="s">
        <v>130</v>
      </c>
      <c r="D78" s="83"/>
      <c r="E78" s="84"/>
      <c r="F78" s="83"/>
      <c r="G78" s="84"/>
      <c r="H78" s="86"/>
      <c r="I78" s="81" t="s">
        <v>128</v>
      </c>
      <c r="J78" s="86"/>
      <c r="K78" s="83"/>
      <c r="L78" s="84"/>
      <c r="M78" s="84"/>
      <c r="N78" s="86"/>
    </row>
    <row r="79" spans="3:15" s="78" customFormat="1" ht="23.85" customHeight="1"/>
    <row r="80" spans="3:15" s="78" customFormat="1" ht="23.85" customHeight="1">
      <c r="C80" s="87" t="s">
        <v>120</v>
      </c>
    </row>
    <row r="81" spans="3:21" s="78" customFormat="1"/>
    <row r="82" spans="3:21" ht="23.25">
      <c r="C82" s="87" t="s">
        <v>93</v>
      </c>
      <c r="D82" s="78"/>
      <c r="E82" s="78"/>
      <c r="F82" s="78"/>
      <c r="G82" s="78"/>
      <c r="H82" s="78"/>
      <c r="I82" s="78"/>
      <c r="J82" s="78"/>
      <c r="K82" s="78"/>
      <c r="L82" s="78"/>
      <c r="M82" s="78"/>
      <c r="N82" s="78"/>
      <c r="O82" s="78"/>
      <c r="P82" s="78"/>
      <c r="Q82" s="78"/>
      <c r="R82" s="78"/>
      <c r="S82" s="78"/>
      <c r="T82" s="78"/>
      <c r="U82" s="78"/>
    </row>
    <row r="83" spans="3:21">
      <c r="C83" s="78"/>
      <c r="D83" s="78"/>
      <c r="E83" s="78"/>
      <c r="F83" s="78"/>
      <c r="G83" s="78"/>
      <c r="H83" s="78"/>
      <c r="I83" s="78"/>
      <c r="J83" s="78"/>
      <c r="K83" s="78"/>
      <c r="L83" s="78"/>
      <c r="M83" s="78"/>
      <c r="N83" s="78"/>
      <c r="O83" s="78"/>
      <c r="P83" s="78"/>
      <c r="Q83" s="78"/>
      <c r="R83" s="78"/>
      <c r="S83" s="78"/>
      <c r="T83" s="78"/>
      <c r="U83" s="78"/>
    </row>
    <row r="84" spans="3:21" ht="23.25">
      <c r="C84" s="79">
        <v>1</v>
      </c>
      <c r="D84" s="507" t="s">
        <v>94</v>
      </c>
      <c r="E84" s="79">
        <v>1</v>
      </c>
      <c r="F84" s="507" t="s">
        <v>95</v>
      </c>
      <c r="G84" s="79" t="s">
        <v>122</v>
      </c>
      <c r="H84" s="506" t="s">
        <v>96</v>
      </c>
      <c r="I84" s="82" t="s">
        <v>97</v>
      </c>
      <c r="J84" s="507" t="s">
        <v>95</v>
      </c>
      <c r="K84" s="82" t="s">
        <v>98</v>
      </c>
      <c r="L84" s="507" t="s">
        <v>95</v>
      </c>
      <c r="M84" s="82" t="s">
        <v>99</v>
      </c>
      <c r="N84" s="506" t="s">
        <v>100</v>
      </c>
      <c r="O84" s="78"/>
      <c r="P84" s="78"/>
      <c r="Q84" s="78"/>
      <c r="R84" s="78"/>
      <c r="S84" s="78"/>
      <c r="T84" s="78"/>
      <c r="U84" s="78"/>
    </row>
    <row r="85" spans="3:21" ht="24.75">
      <c r="C85" s="80" t="s">
        <v>121</v>
      </c>
      <c r="D85" s="507"/>
      <c r="E85" s="80" t="s">
        <v>101</v>
      </c>
      <c r="F85" s="507"/>
      <c r="G85" s="80">
        <v>24</v>
      </c>
      <c r="H85" s="506"/>
      <c r="I85" s="80" t="s">
        <v>102</v>
      </c>
      <c r="J85" s="507"/>
      <c r="K85" s="80" t="s">
        <v>103</v>
      </c>
      <c r="L85" s="507"/>
      <c r="M85" s="80" t="s">
        <v>104</v>
      </c>
      <c r="N85" s="506"/>
      <c r="O85" s="78"/>
      <c r="P85" s="78"/>
      <c r="Q85" s="78"/>
      <c r="R85" s="78"/>
      <c r="S85" s="78"/>
      <c r="T85" s="78"/>
      <c r="U85" s="78"/>
    </row>
    <row r="86" spans="3:21" ht="23.25">
      <c r="C86" s="84"/>
      <c r="D86" s="83"/>
      <c r="E86" s="84"/>
      <c r="F86" s="83"/>
      <c r="G86" s="84"/>
      <c r="H86" s="86"/>
      <c r="I86" s="84"/>
      <c r="J86" s="83"/>
      <c r="K86" s="84"/>
      <c r="L86" s="83"/>
      <c r="M86" s="84"/>
      <c r="N86" s="86"/>
      <c r="O86" s="78"/>
      <c r="P86" s="81"/>
      <c r="Q86" s="78"/>
      <c r="R86" s="78"/>
      <c r="S86" s="78"/>
      <c r="T86" s="78"/>
      <c r="U86" s="78"/>
    </row>
    <row r="87" spans="3:21" ht="23.25">
      <c r="C87" s="87" t="s">
        <v>105</v>
      </c>
      <c r="D87" s="83"/>
      <c r="E87" s="84"/>
      <c r="F87" s="83"/>
      <c r="G87" s="84"/>
      <c r="H87" s="86"/>
      <c r="I87" s="84"/>
      <c r="J87" s="83"/>
      <c r="K87" s="84"/>
      <c r="L87" s="83"/>
      <c r="M87" s="84"/>
      <c r="N87" s="86"/>
      <c r="O87" s="78"/>
      <c r="P87" s="81"/>
      <c r="Q87" s="78"/>
      <c r="R87" s="78"/>
      <c r="S87" s="78"/>
      <c r="T87" s="78"/>
      <c r="U87" s="78"/>
    </row>
    <row r="88" spans="3:21" ht="23.25">
      <c r="C88" s="81"/>
      <c r="D88" s="78"/>
      <c r="E88" s="78"/>
      <c r="F88" s="78"/>
      <c r="G88" s="78"/>
      <c r="H88" s="78"/>
      <c r="I88" s="78"/>
      <c r="J88" s="78"/>
      <c r="K88" s="78"/>
      <c r="L88" s="81"/>
      <c r="M88" s="78"/>
      <c r="N88" s="78"/>
      <c r="O88" s="78"/>
      <c r="P88" s="81"/>
      <c r="Q88" s="78"/>
      <c r="R88" s="78"/>
      <c r="S88" s="78"/>
      <c r="T88" s="78"/>
      <c r="U88" s="78"/>
    </row>
    <row r="89" spans="3:21" ht="23.25">
      <c r="C89" s="79">
        <v>1</v>
      </c>
      <c r="D89" s="507" t="s">
        <v>94</v>
      </c>
      <c r="E89" s="79">
        <v>1</v>
      </c>
      <c r="F89" s="507" t="s">
        <v>95</v>
      </c>
      <c r="G89" s="79" t="s">
        <v>122</v>
      </c>
      <c r="H89" s="506" t="s">
        <v>96</v>
      </c>
      <c r="I89" s="82" t="s">
        <v>97</v>
      </c>
      <c r="J89" s="83" t="s">
        <v>95</v>
      </c>
      <c r="K89" s="82" t="s">
        <v>106</v>
      </c>
      <c r="L89" s="506" t="s">
        <v>100</v>
      </c>
      <c r="M89" s="85"/>
      <c r="N89" s="506"/>
      <c r="O89" s="78"/>
      <c r="P89" s="81" t="s">
        <v>107</v>
      </c>
      <c r="Q89" s="78"/>
      <c r="R89" s="78"/>
      <c r="S89" s="78"/>
      <c r="T89" s="78"/>
      <c r="U89" s="81" t="s">
        <v>108</v>
      </c>
    </row>
    <row r="90" spans="3:21" ht="24.75">
      <c r="C90" s="80" t="s">
        <v>121</v>
      </c>
      <c r="D90" s="507"/>
      <c r="E90" s="80" t="s">
        <v>101</v>
      </c>
      <c r="F90" s="507"/>
      <c r="G90" s="80">
        <v>24</v>
      </c>
      <c r="H90" s="506"/>
      <c r="I90" s="80" t="s">
        <v>102</v>
      </c>
      <c r="J90" s="83"/>
      <c r="K90" s="80" t="s">
        <v>104</v>
      </c>
      <c r="L90" s="506"/>
      <c r="M90" s="84"/>
      <c r="N90" s="506"/>
      <c r="O90" s="78"/>
      <c r="P90" s="81" t="s">
        <v>109</v>
      </c>
      <c r="Q90" s="78"/>
      <c r="R90" s="78"/>
      <c r="S90" s="78"/>
      <c r="T90" s="78"/>
      <c r="U90" s="81" t="s">
        <v>110</v>
      </c>
    </row>
    <row r="91" spans="3:21" ht="24">
      <c r="C91" s="81"/>
      <c r="D91" s="78"/>
      <c r="E91" s="78"/>
      <c r="F91" s="78"/>
      <c r="G91" s="78"/>
      <c r="H91" s="78"/>
      <c r="I91" s="78"/>
      <c r="J91" s="78"/>
      <c r="K91" s="78"/>
      <c r="L91" s="81"/>
      <c r="M91" s="81"/>
      <c r="N91" s="78"/>
      <c r="O91" s="78"/>
      <c r="P91" s="81" t="s">
        <v>111</v>
      </c>
      <c r="Q91" s="78"/>
      <c r="R91" s="81"/>
      <c r="S91" s="78"/>
      <c r="T91" s="78"/>
      <c r="U91" s="81" t="s">
        <v>112</v>
      </c>
    </row>
    <row r="92" spans="3:21" ht="23.25">
      <c r="C92" s="81"/>
      <c r="D92" s="78"/>
      <c r="E92" s="78"/>
      <c r="F92" s="78"/>
      <c r="G92" s="78"/>
      <c r="H92" s="78"/>
      <c r="I92" s="78"/>
      <c r="J92" s="78"/>
      <c r="K92" s="78"/>
      <c r="L92" s="81"/>
      <c r="M92" s="81"/>
      <c r="N92" s="78"/>
      <c r="O92" s="78"/>
      <c r="P92" s="81" t="s">
        <v>113</v>
      </c>
      <c r="Q92" s="81"/>
      <c r="R92" s="78"/>
      <c r="S92" s="78"/>
      <c r="T92" s="78"/>
      <c r="U92" s="81"/>
    </row>
    <row r="93" spans="3:21" ht="23.25">
      <c r="C93" s="81"/>
      <c r="D93" s="78"/>
      <c r="E93" s="78"/>
      <c r="F93" s="78"/>
      <c r="G93" s="78"/>
      <c r="H93" s="78"/>
      <c r="I93" s="78"/>
      <c r="J93" s="78"/>
      <c r="K93" s="78"/>
      <c r="L93" s="81"/>
      <c r="M93" s="81"/>
      <c r="N93" s="78"/>
      <c r="O93" s="78"/>
      <c r="P93" s="81"/>
      <c r="Q93" s="81"/>
      <c r="R93" s="78"/>
      <c r="S93" s="78"/>
      <c r="T93" s="78"/>
      <c r="U93" s="81"/>
    </row>
    <row r="94" spans="3:21" ht="24.75">
      <c r="C94" s="81" t="s">
        <v>114</v>
      </c>
      <c r="D94" s="78"/>
      <c r="E94" s="78"/>
      <c r="F94" s="78"/>
      <c r="G94" s="78"/>
      <c r="H94" s="78"/>
      <c r="I94" s="78"/>
      <c r="J94" s="78"/>
      <c r="K94" s="78"/>
      <c r="L94" s="81"/>
      <c r="M94" s="81"/>
      <c r="N94" s="78"/>
      <c r="O94" s="78"/>
      <c r="P94" s="81" t="s">
        <v>115</v>
      </c>
      <c r="Q94" s="81"/>
      <c r="R94" s="78"/>
      <c r="S94" s="78"/>
      <c r="T94" s="78"/>
      <c r="U94" s="81" t="s">
        <v>116</v>
      </c>
    </row>
    <row r="95" spans="3:21" ht="26.25">
      <c r="C95" s="81"/>
      <c r="D95" s="78"/>
      <c r="E95" s="78"/>
      <c r="F95" s="78"/>
      <c r="G95" s="78"/>
      <c r="H95" s="78"/>
      <c r="I95" s="78"/>
      <c r="J95" s="78"/>
      <c r="K95" s="78"/>
      <c r="L95" s="81"/>
      <c r="M95" s="81"/>
      <c r="N95" s="78"/>
      <c r="O95" s="78"/>
      <c r="P95" s="81" t="s">
        <v>117</v>
      </c>
      <c r="Q95" s="81"/>
      <c r="R95" s="78"/>
      <c r="S95" s="78"/>
      <c r="T95" s="78"/>
      <c r="U95" s="81" t="s">
        <v>118</v>
      </c>
    </row>
    <row r="96" spans="3:21" ht="23.25">
      <c r="C96" s="81"/>
      <c r="D96" s="78"/>
      <c r="E96" s="78"/>
      <c r="F96" s="78"/>
      <c r="G96" s="78"/>
      <c r="H96" s="78"/>
      <c r="I96" s="78"/>
      <c r="J96" s="78"/>
      <c r="K96" s="78"/>
      <c r="L96" s="81"/>
      <c r="M96" s="81"/>
      <c r="N96" s="78"/>
      <c r="O96" s="78"/>
      <c r="P96" s="81"/>
      <c r="Q96" s="81"/>
      <c r="R96" s="78"/>
      <c r="S96" s="78"/>
      <c r="T96" s="78"/>
      <c r="U96" s="81" t="s">
        <v>119</v>
      </c>
    </row>
  </sheetData>
  <mergeCells count="27">
    <mergeCell ref="K75:K76"/>
    <mergeCell ref="L75:M75"/>
    <mergeCell ref="L76:M76"/>
    <mergeCell ref="N75:N76"/>
    <mergeCell ref="M70:M71"/>
    <mergeCell ref="N70:O70"/>
    <mergeCell ref="N71:O71"/>
    <mergeCell ref="D70:D71"/>
    <mergeCell ref="F70:F71"/>
    <mergeCell ref="H70:H71"/>
    <mergeCell ref="J70:J71"/>
    <mergeCell ref="L70:L71"/>
    <mergeCell ref="D75:D76"/>
    <mergeCell ref="F75:F76"/>
    <mergeCell ref="H75:H76"/>
    <mergeCell ref="J75:J76"/>
    <mergeCell ref="D89:D90"/>
    <mergeCell ref="F89:F90"/>
    <mergeCell ref="H89:H90"/>
    <mergeCell ref="L89:L90"/>
    <mergeCell ref="N89:N90"/>
    <mergeCell ref="N84:N85"/>
    <mergeCell ref="D84:D85"/>
    <mergeCell ref="F84:F85"/>
    <mergeCell ref="H84:H85"/>
    <mergeCell ref="J84:J85"/>
    <mergeCell ref="L84:L85"/>
  </mergeCells>
  <phoneticPr fontId="2" type="noConversion"/>
  <pageMargins left="0.7" right="0.7" top="0.75" bottom="0.75" header="0.3" footer="0.3"/>
  <pageSetup paperSize="9" orientation="portrait" horizont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11</vt:i4>
      </vt:variant>
    </vt:vector>
  </HeadingPairs>
  <TitlesOfParts>
    <vt:vector size="16" baseType="lpstr">
      <vt:lpstr>Sketch</vt:lpstr>
      <vt:lpstr>CASE1</vt:lpstr>
      <vt:lpstr>CASE2</vt:lpstr>
      <vt:lpstr>Piping</vt:lpstr>
      <vt:lpstr>개발기준</vt:lpstr>
      <vt:lpstr>EM</vt:lpstr>
      <vt:lpstr>EM_1</vt:lpstr>
      <vt:lpstr>INS</vt:lpstr>
      <vt:lpstr>PIPE</vt:lpstr>
      <vt:lpstr>PIPE_M</vt:lpstr>
      <vt:lpstr>PIPE_O</vt:lpstr>
      <vt:lpstr>PIPE_T</vt:lpstr>
      <vt:lpstr>CASE1!Print_Area</vt:lpstr>
      <vt:lpstr>CASE2!Print_Area</vt:lpstr>
      <vt:lpstr>Sketch!Print_Area</vt:lpstr>
      <vt:lpstr>SCH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adminstor</dc:creator>
  <cp:lastModifiedBy>user</cp:lastModifiedBy>
  <dcterms:created xsi:type="dcterms:W3CDTF">2017-10-20T12:26:24Z</dcterms:created>
  <dcterms:modified xsi:type="dcterms:W3CDTF">2020-03-13T12:45:42Z</dcterms:modified>
</cp:coreProperties>
</file>