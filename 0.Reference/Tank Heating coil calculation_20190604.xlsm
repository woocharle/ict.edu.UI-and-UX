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wcjung\Desktop\프로젝트\0.프로그래밍\1. BALANCE\17.11.07_Tank Heat Loss 프로그래밍\"/>
    </mc:Choice>
  </mc:AlternateContent>
  <xr:revisionPtr revIDLastSave="0" documentId="13_ncr:1_{522EC2F2-8376-4273-B43D-14CAB30AFBC1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eating Coil Cal." sheetId="1" r:id="rId1"/>
    <sheet name="Sheet1" sheetId="2" r:id="rId2"/>
  </sheets>
  <functionGroups builtInGroupCount="19"/>
  <definedNames>
    <definedName name="Emissivity_0">'Heating Coil Cal.'!$Z$34:$Z$45</definedName>
    <definedName name="_xlnm.Print_Area" localSheetId="0">'Heating Coil Cal.'!$A$1:$Y$183</definedName>
    <definedName name="Print_Area_MI" localSheetId="0">'Heating Coil Cal.'!$C$2:$X$177</definedName>
    <definedName name="solver_adj" localSheetId="0" hidden="1">'Heating Coil Cal.'!#REF!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'Heating Coil Cal.'!#REF!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136" i="1" l="1"/>
  <c r="AJ45" i="1" l="1"/>
  <c r="AI116" i="1" s="1"/>
  <c r="I116" i="1" s="1"/>
  <c r="AP117" i="1"/>
  <c r="AP116" i="1"/>
  <c r="P116" i="1" l="1"/>
  <c r="P117" i="1"/>
  <c r="AJ44" i="1"/>
  <c r="AJ46" i="1"/>
  <c r="AQ38" i="1" l="1"/>
  <c r="AQ37" i="1"/>
  <c r="AQ36" i="1"/>
  <c r="AQ34" i="1"/>
  <c r="AQ35" i="1"/>
  <c r="K109" i="1" l="1"/>
  <c r="K108" i="1"/>
  <c r="O86" i="1" l="1"/>
  <c r="AQ46" i="1"/>
  <c r="AQ45" i="1"/>
  <c r="AQ44" i="1"/>
  <c r="AQ43" i="1"/>
  <c r="AQ41" i="1"/>
  <c r="AQ40" i="1"/>
  <c r="AQ33" i="1"/>
  <c r="AQ28" i="1"/>
  <c r="AJ39" i="1"/>
  <c r="AQ31" i="1"/>
  <c r="AJ31" i="1"/>
  <c r="AJ28" i="1"/>
  <c r="AJ36" i="1"/>
  <c r="AJ34" i="1"/>
  <c r="AJ33" i="1"/>
  <c r="AJ38" i="1"/>
  <c r="AJ37" i="1"/>
  <c r="AJ35" i="1"/>
  <c r="AJ27" i="1"/>
  <c r="AQ27" i="1"/>
  <c r="AQ26" i="1"/>
  <c r="AJ26" i="1"/>
  <c r="AJ23" i="1"/>
  <c r="AQ22" i="1"/>
  <c r="AQ21" i="1"/>
  <c r="AJ22" i="1"/>
  <c r="AJ20" i="1"/>
  <c r="AJ19" i="1"/>
  <c r="AQ20" i="1"/>
  <c r="AQ18" i="1"/>
  <c r="AQ17" i="1"/>
  <c r="AQ16" i="1"/>
  <c r="N164" i="1" l="1"/>
  <c r="N159" i="1"/>
  <c r="L159" i="1"/>
  <c r="L164" i="1"/>
  <c r="T46" i="1" l="1"/>
  <c r="AT46" i="1" s="1"/>
  <c r="T45" i="1"/>
  <c r="AT45" i="1" s="1"/>
  <c r="T44" i="1"/>
  <c r="T43" i="1"/>
  <c r="AQ29" i="1"/>
  <c r="AQ30" i="1"/>
  <c r="AJ30" i="1"/>
  <c r="AJ29" i="1"/>
  <c r="L40" i="1"/>
  <c r="J40" i="1"/>
  <c r="AJ162" i="1" l="1"/>
  <c r="AJ157" i="1"/>
  <c r="AK143" i="1"/>
  <c r="K143" i="1" s="1"/>
  <c r="AK142" i="1"/>
  <c r="K142" i="1" s="1"/>
  <c r="I157" i="1"/>
  <c r="I162" i="1"/>
  <c r="AJ43" i="1"/>
  <c r="AJ104" i="1" s="1"/>
  <c r="AI162" i="1" l="1"/>
  <c r="AI157" i="1"/>
  <c r="AD102" i="1"/>
  <c r="J104" i="1"/>
  <c r="D102" i="1"/>
  <c r="AE81" i="1"/>
  <c r="E81" i="1"/>
  <c r="E72" i="1"/>
  <c r="AJ18" i="1"/>
  <c r="AJ72" i="1" s="1"/>
  <c r="O68" i="1"/>
  <c r="O129" i="1" s="1"/>
  <c r="O67" i="1"/>
  <c r="O128" i="1" s="1"/>
  <c r="O66" i="1"/>
  <c r="O127" i="1" s="1"/>
  <c r="O65" i="1"/>
  <c r="O126" i="1" s="1"/>
  <c r="O64" i="1"/>
  <c r="O125" i="1" s="1"/>
  <c r="AJ17" i="1"/>
  <c r="AM108" i="1" l="1"/>
  <c r="AS117" i="1"/>
  <c r="S117" i="1" s="1"/>
  <c r="AL116" i="1"/>
  <c r="L116" i="1" s="1"/>
  <c r="AI95" i="1"/>
  <c r="I95" i="1"/>
  <c r="AE72" i="1"/>
  <c r="AS116" i="1" l="1"/>
  <c r="S116" i="1" s="1"/>
  <c r="AO108" i="1"/>
  <c r="O108" i="1" s="1"/>
  <c r="M108" i="1"/>
  <c r="AK109" i="1"/>
  <c r="AK108" i="1"/>
  <c r="AM109" i="1"/>
  <c r="AO109" i="1" l="1"/>
  <c r="O109" i="1" s="1"/>
  <c r="M109" i="1"/>
  <c r="AJ41" i="1" l="1"/>
  <c r="M46" i="1"/>
  <c r="AM46" i="1" s="1"/>
  <c r="M45" i="1"/>
  <c r="AM45" i="1" s="1"/>
  <c r="M44" i="1"/>
  <c r="AM44" i="1" s="1"/>
  <c r="M43" i="1"/>
  <c r="AM43" i="1" s="1"/>
  <c r="AT44" i="1"/>
  <c r="AT43" i="1"/>
  <c r="AI76" i="1"/>
  <c r="I76" i="1" s="1"/>
  <c r="AQ54" i="1"/>
  <c r="Q54" i="1" s="1"/>
  <c r="AQ86" i="1"/>
  <c r="Q86" i="1" s="1"/>
  <c r="AO76" i="1"/>
  <c r="O76" i="1" s="1"/>
  <c r="AQ53" i="1"/>
  <c r="Q53" i="1" s="1"/>
  <c r="AQ15" i="1"/>
  <c r="AJ21" i="1"/>
  <c r="AJ15" i="1"/>
  <c r="Q22" i="1"/>
  <c r="AO53" i="1" s="1"/>
  <c r="O53" i="1" s="1"/>
  <c r="AJ40" i="1"/>
  <c r="AN135" i="1"/>
  <c r="N135" i="1" s="1"/>
  <c r="AK87" i="1"/>
  <c r="AJ53" i="1"/>
  <c r="AS87" i="1"/>
  <c r="AI66" i="1"/>
  <c r="AJ76" i="1"/>
  <c r="AJ16" i="1"/>
  <c r="AN86" i="1"/>
  <c r="AJ54" i="1"/>
  <c r="AS54" i="1"/>
  <c r="AI53" i="1"/>
  <c r="AM54" i="1"/>
  <c r="AN53" i="1"/>
  <c r="AK54" i="1"/>
  <c r="AK76" i="1"/>
  <c r="AK53" i="1"/>
  <c r="AM53" i="1"/>
  <c r="AJ66" i="1"/>
  <c r="AJ86" i="1"/>
  <c r="AN87" i="1"/>
  <c r="AN54" i="1"/>
  <c r="AM87" i="1"/>
  <c r="AM76" i="1"/>
  <c r="AI86" i="1"/>
  <c r="AS53" i="1"/>
  <c r="AI87" i="1"/>
  <c r="AS86" i="1"/>
  <c r="AM86" i="1"/>
  <c r="AI67" i="1"/>
  <c r="AK86" i="1"/>
  <c r="AJ87" i="1"/>
  <c r="AJ67" i="1"/>
  <c r="AI54" i="1"/>
  <c r="AQ76" i="1"/>
  <c r="AQ142" i="1"/>
  <c r="S53" i="1" l="1"/>
  <c r="Q76" i="1"/>
  <c r="J54" i="1"/>
  <c r="I54" i="1"/>
  <c r="I86" i="1"/>
  <c r="K53" i="1"/>
  <c r="N86" i="1"/>
  <c r="Q142" i="1"/>
  <c r="M76" i="1"/>
  <c r="K76" i="1"/>
  <c r="J87" i="1"/>
  <c r="M87" i="1"/>
  <c r="K54" i="1"/>
  <c r="J76" i="1"/>
  <c r="K86" i="1"/>
  <c r="N54" i="1"/>
  <c r="N53" i="1"/>
  <c r="N87" i="1"/>
  <c r="M54" i="1"/>
  <c r="S87" i="1"/>
  <c r="M86" i="1"/>
  <c r="J86" i="1"/>
  <c r="I53" i="1"/>
  <c r="J53" i="1"/>
  <c r="S86" i="1"/>
  <c r="S54" i="1"/>
  <c r="K87" i="1"/>
  <c r="I87" i="1"/>
  <c r="M53" i="1"/>
  <c r="AJ142" i="1"/>
  <c r="AJ143" i="1"/>
  <c r="N136" i="1"/>
  <c r="AG110" i="1"/>
  <c r="AQ87" i="1"/>
  <c r="Q87" i="1" s="1"/>
  <c r="AJ65" i="1"/>
  <c r="AI65" i="1"/>
  <c r="AI64" i="1"/>
  <c r="AJ64" i="1"/>
  <c r="AM65" i="1"/>
  <c r="AM78" i="1" s="1"/>
  <c r="AK65" i="1"/>
  <c r="AM89" i="1" s="1"/>
  <c r="AM64" i="1"/>
  <c r="AK64" i="1"/>
  <c r="AM56" i="1"/>
  <c r="M56" i="1" s="1"/>
  <c r="AO54" i="1"/>
  <c r="O54" i="1" s="1"/>
  <c r="J26" i="1"/>
  <c r="AO142" i="1"/>
  <c r="AO143" i="1"/>
  <c r="AQ143" i="1"/>
  <c r="O143" i="1" l="1"/>
  <c r="O142" i="1"/>
  <c r="Q143" i="1"/>
  <c r="AM91" i="1"/>
  <c r="M91" i="1" s="1"/>
  <c r="M89" i="1"/>
  <c r="AM79" i="1"/>
  <c r="M79" i="1" s="1"/>
  <c r="M78" i="1"/>
  <c r="AN145" i="1"/>
  <c r="N145" i="1" s="1"/>
  <c r="AJ151" i="1"/>
  <c r="AN146" i="1"/>
  <c r="N146" i="1" s="1"/>
  <c r="AJ152" i="1"/>
  <c r="J143" i="1"/>
  <c r="AM143" i="1"/>
  <c r="M143" i="1" s="1"/>
  <c r="J142" i="1"/>
  <c r="AM142" i="1"/>
  <c r="M142" i="1" s="1"/>
  <c r="J162" i="1"/>
  <c r="AM162" i="1"/>
  <c r="M162" i="1" s="1"/>
  <c r="AM157" i="1"/>
  <c r="AM90" i="1"/>
  <c r="M90" i="1" s="1"/>
  <c r="AM58" i="1"/>
  <c r="M58" i="1" s="1"/>
  <c r="G110" i="1"/>
  <c r="AO87" i="1"/>
  <c r="O87" i="1" s="1"/>
  <c r="AM57" i="1"/>
  <c r="M57" i="1" s="1"/>
  <c r="M157" i="1" l="1"/>
  <c r="J157" i="1"/>
  <c r="AM151" i="1"/>
  <c r="M151" i="1" s="1"/>
  <c r="AM152" i="1"/>
  <c r="M152" i="1" s="1"/>
  <c r="AJ98" i="1"/>
  <c r="J98" i="1" s="1"/>
  <c r="AJ99" i="1"/>
  <c r="J99" i="1" s="1"/>
  <c r="J152" i="1" l="1"/>
  <c r="J151" i="1"/>
  <c r="AN99" i="1"/>
  <c r="AN98" i="1"/>
  <c r="AJ108" i="1" l="1"/>
  <c r="J108" i="1" s="1"/>
  <c r="N98" i="1"/>
  <c r="AJ109" i="1"/>
  <c r="J109" i="1" s="1"/>
  <c r="N99" i="1"/>
  <c r="AJ158" i="1"/>
  <c r="AJ163" i="1"/>
  <c r="J158" i="1" l="1"/>
  <c r="AM163" i="1"/>
  <c r="M163" i="1" s="1"/>
  <c r="J163" i="1"/>
  <c r="AJ164" i="1"/>
  <c r="AJ159" i="1"/>
  <c r="AM158" i="1"/>
  <c r="M158" i="1" s="1"/>
  <c r="AM159" i="1" l="1"/>
  <c r="M159" i="1" s="1"/>
  <c r="AM164" i="1"/>
  <c r="M164" i="1" s="1"/>
  <c r="J164" i="1" l="1"/>
  <c r="J15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송 희선</author>
  </authors>
  <commentList>
    <comment ref="J33" authorId="0" shapeId="0" xr:uid="{D3DA5D76-5119-4606-9952-0EDD9306B8B1}">
      <text>
        <r>
          <rPr>
            <b/>
            <sz val="9"/>
            <color indexed="81"/>
            <rFont val="Tahoma"/>
            <family val="2"/>
          </rPr>
          <t>Ower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요구가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 xml:space="preserve"> 10 mile/h</t>
        </r>
      </text>
    </comment>
  </commentList>
</comments>
</file>

<file path=xl/sharedStrings.xml><?xml version="1.0" encoding="utf-8"?>
<sst xmlns="http://schemas.openxmlformats.org/spreadsheetml/2006/main" count="625" uniqueCount="255">
  <si>
    <t>1.1  Input data</t>
  </si>
  <si>
    <t>Btu/ft.hr.F</t>
  </si>
  <si>
    <t xml:space="preserve"> Air temp.  (ta)</t>
  </si>
  <si>
    <t>lb/ft3</t>
  </si>
  <si>
    <t xml:space="preserve"> Wind velocity (V)</t>
  </si>
  <si>
    <t>mile/hr</t>
  </si>
  <si>
    <r>
      <t xml:space="preserve"> Density   (</t>
    </r>
    <r>
      <rPr>
        <sz val="10"/>
        <color indexed="8"/>
        <rFont val="Symbol"/>
        <family val="1"/>
        <charset val="2"/>
      </rPr>
      <t>r</t>
    </r>
    <r>
      <rPr>
        <sz val="10"/>
        <color indexed="8"/>
        <rFont val="Century Gothic"/>
        <family val="2"/>
      </rPr>
      <t>)</t>
    </r>
  </si>
  <si>
    <t xml:space="preserve"> Thermal conductivity (Kf)</t>
  </si>
  <si>
    <t xml:space="preserve"> Specific heat   (Cp)</t>
  </si>
  <si>
    <t>Btu/lb.F</t>
  </si>
  <si>
    <t xml:space="preserve"> Viscocity,  cp X 2.42</t>
  </si>
  <si>
    <t>LB/ft.hr</t>
  </si>
  <si>
    <t>ft2.hr.F/Btu</t>
  </si>
  <si>
    <t xml:space="preserve"> Coff. of Vol. Expansion</t>
  </si>
  <si>
    <t>1/F</t>
  </si>
  <si>
    <t>Heating Medium data</t>
  </si>
  <si>
    <t xml:space="preserve"> Emissivity</t>
  </si>
  <si>
    <t>℃</t>
  </si>
  <si>
    <t xml:space="preserve"> </t>
  </si>
  <si>
    <t>Btu/ft2.hr.F</t>
  </si>
  <si>
    <t>ft2</t>
  </si>
  <si>
    <t>Btu/hr</t>
  </si>
  <si>
    <t xml:space="preserve">In film coff.   </t>
  </si>
  <si>
    <t>(hi) =</t>
  </si>
  <si>
    <t>Qt    =</t>
  </si>
  <si>
    <t xml:space="preserve">Btu/hr   </t>
  </si>
  <si>
    <t xml:space="preserve">  3. Calculation of Heating Coil  Length  </t>
  </si>
  <si>
    <t>Coil dia.  :</t>
  </si>
  <si>
    <t>Inside dia</t>
  </si>
  <si>
    <t>outside dia</t>
  </si>
  <si>
    <t>Btu/ft2.ht.F</t>
  </si>
  <si>
    <t>m2</t>
  </si>
  <si>
    <t>L    =</t>
  </si>
  <si>
    <t xml:space="preserve"> m )</t>
  </si>
  <si>
    <t>=</t>
    <phoneticPr fontId="17" type="noConversion"/>
  </si>
  <si>
    <t/>
  </si>
  <si>
    <t>℉</t>
    <phoneticPr fontId="17" type="noConversion"/>
  </si>
  <si>
    <t>3.1  Coil data</t>
    <phoneticPr fontId="17" type="noConversion"/>
  </si>
  <si>
    <t xml:space="preserve">3.2  Inside Film Coefficient  </t>
    <phoneticPr fontId="17" type="noConversion"/>
  </si>
  <si>
    <t xml:space="preserve">3.3 Outside Film Coefficient   </t>
    <phoneticPr fontId="17" type="noConversion"/>
  </si>
  <si>
    <t>3.4  Overall Heat Transfer Coefficient</t>
    <phoneticPr fontId="17" type="noConversion"/>
  </si>
  <si>
    <t>3.5  Calculation of Coil Length</t>
    <phoneticPr fontId="17" type="noConversion"/>
  </si>
  <si>
    <r>
      <rPr>
        <sz val="10"/>
        <rFont val="맑은 고딕"/>
        <family val="1"/>
        <charset val="129"/>
      </rPr>
      <t xml:space="preserve"> </t>
    </r>
    <r>
      <rPr>
        <sz val="10"/>
        <rFont val="Segoe UI Symbol"/>
        <family val="1"/>
      </rPr>
      <t>℉</t>
    </r>
    <phoneticPr fontId="17" type="noConversion"/>
  </si>
  <si>
    <t xml:space="preserve"> ft2</t>
    <phoneticPr fontId="17" type="noConversion"/>
  </si>
  <si>
    <t>hi</t>
    <phoneticPr fontId="17" type="noConversion"/>
  </si>
  <si>
    <t>Btu/ft2.hr.F</t>
    <phoneticPr fontId="17" type="noConversion"/>
  </si>
  <si>
    <t>hc</t>
    <phoneticPr fontId="17" type="noConversion"/>
  </si>
  <si>
    <t>hr</t>
    <phoneticPr fontId="17" type="noConversion"/>
  </si>
  <si>
    <t>ts</t>
    <phoneticPr fontId="17" type="noConversion"/>
  </si>
  <si>
    <t>tw</t>
    <phoneticPr fontId="17" type="noConversion"/>
  </si>
  <si>
    <t>rf</t>
    <phoneticPr fontId="17" type="noConversion"/>
  </si>
  <si>
    <t xml:space="preserve">  1.  Calculation of Storage Tank Heat Loss</t>
    <phoneticPr fontId="17" type="noConversion"/>
  </si>
  <si>
    <r>
      <t>Heat Loss of Shell</t>
    </r>
    <r>
      <rPr>
        <sz val="10"/>
        <color rgb="FF0000FF"/>
        <rFont val="Century Gothic"/>
        <family val="2"/>
      </rPr>
      <t xml:space="preserve">              </t>
    </r>
    <r>
      <rPr>
        <u/>
        <sz val="10"/>
        <color indexed="12"/>
        <rFont val="Century Gothic"/>
        <family val="2"/>
      </rPr>
      <t xml:space="preserve">(Qs)  </t>
    </r>
    <phoneticPr fontId="17" type="noConversion"/>
  </si>
  <si>
    <t>Heat Loss of Bottom,          (Qb) =</t>
    <phoneticPr fontId="17" type="noConversion"/>
  </si>
  <si>
    <t xml:space="preserve">Total Heat Transfer Coff.   (Us) </t>
    <phoneticPr fontId="17" type="noConversion"/>
  </si>
  <si>
    <t>Area of Tank Shell             (As)</t>
    <phoneticPr fontId="17" type="noConversion"/>
  </si>
  <si>
    <t>Not Insulated Roof Case</t>
    <phoneticPr fontId="17" type="noConversion"/>
  </si>
  <si>
    <t>Insulated Roof Case</t>
    <phoneticPr fontId="17" type="noConversion"/>
  </si>
  <si>
    <t xml:space="preserve"> Fluid</t>
    <phoneticPr fontId="17" type="noConversion"/>
  </si>
  <si>
    <t xml:space="preserve"> Inlet Temp.</t>
    <phoneticPr fontId="17" type="noConversion"/>
  </si>
  <si>
    <t>ho</t>
    <phoneticPr fontId="17" type="noConversion"/>
  </si>
  <si>
    <t>Not Insulated Roof</t>
  </si>
  <si>
    <t>Not Insulated Roof</t>
    <phoneticPr fontId="17" type="noConversion"/>
  </si>
  <si>
    <t>Insulated Roof</t>
  </si>
  <si>
    <t>Insulated Roof</t>
    <phoneticPr fontId="17" type="noConversion"/>
  </si>
  <si>
    <t>℃</t>
    <phoneticPr fontId="17" type="noConversion"/>
  </si>
  <si>
    <t>Inlet Temp.</t>
    <phoneticPr fontId="17" type="noConversion"/>
  </si>
  <si>
    <t>Outlet Temp.</t>
    <phoneticPr fontId="17" type="noConversion"/>
  </si>
  <si>
    <t>tw</t>
    <phoneticPr fontId="17" type="noConversion"/>
  </si>
  <si>
    <t>Gr</t>
    <phoneticPr fontId="17" type="noConversion"/>
  </si>
  <si>
    <t>Pr</t>
    <phoneticPr fontId="17" type="noConversion"/>
  </si>
  <si>
    <t>Btu/ft2.ht.F</t>
    <phoneticPr fontId="17" type="noConversion"/>
  </si>
  <si>
    <t xml:space="preserve">lb/hr   </t>
    <phoneticPr fontId="17" type="noConversion"/>
  </si>
  <si>
    <t>Flow Rate</t>
  </si>
  <si>
    <t xml:space="preserve">  Heating Medium   :</t>
    <phoneticPr fontId="17" type="noConversion"/>
  </si>
  <si>
    <t>Overall U</t>
    <phoneticPr fontId="17" type="noConversion"/>
  </si>
  <si>
    <t>CASE</t>
    <phoneticPr fontId="17" type="noConversion"/>
  </si>
  <si>
    <t>Calculated</t>
    <phoneticPr fontId="17" type="noConversion"/>
  </si>
  <si>
    <t>Safty Fc.</t>
    <phoneticPr fontId="17" type="noConversion"/>
  </si>
  <si>
    <t>Heat Loss</t>
    <phoneticPr fontId="17" type="noConversion"/>
  </si>
  <si>
    <t xml:space="preserve">1.5   Total Heat Loss </t>
    <phoneticPr fontId="17" type="noConversion"/>
  </si>
  <si>
    <t>Ac  =</t>
    <phoneticPr fontId="17" type="noConversion"/>
  </si>
  <si>
    <t>Liquid</t>
    <phoneticPr fontId="17" type="noConversion"/>
  </si>
  <si>
    <t>Vapor</t>
    <phoneticPr fontId="17" type="noConversion"/>
  </si>
  <si>
    <t>cP</t>
    <phoneticPr fontId="17" type="noConversion"/>
  </si>
  <si>
    <t xml:space="preserve"> Viscocity</t>
    <phoneticPr fontId="17" type="noConversion"/>
  </si>
  <si>
    <t xml:space="preserve"> Fluid  Data</t>
    <phoneticPr fontId="17" type="noConversion"/>
  </si>
  <si>
    <t>Paints (Oil paints, various colors)</t>
    <phoneticPr fontId="17" type="noConversion"/>
  </si>
  <si>
    <t>Paints (Aluminum)</t>
    <phoneticPr fontId="17" type="noConversion"/>
  </si>
  <si>
    <t>Paints (Bronze)</t>
    <phoneticPr fontId="17" type="noConversion"/>
  </si>
  <si>
    <t>Commonly used</t>
    <phoneticPr fontId="37" type="noConversion"/>
  </si>
  <si>
    <t>Aluminum</t>
    <phoneticPr fontId="17" type="noConversion"/>
  </si>
  <si>
    <t>Steel(Oxidized)</t>
    <phoneticPr fontId="17" type="noConversion"/>
  </si>
  <si>
    <t>Asbestos cloth or paper</t>
    <phoneticPr fontId="17" type="noConversion"/>
  </si>
  <si>
    <t>Porcelain enamel(white)</t>
    <phoneticPr fontId="17" type="noConversion"/>
  </si>
  <si>
    <t>Wood</t>
    <phoneticPr fontId="17" type="noConversion"/>
  </si>
  <si>
    <t>Paints (Black, shiny)</t>
    <phoneticPr fontId="17" type="noConversion"/>
  </si>
  <si>
    <t>Paints (Black, flat)</t>
    <phoneticPr fontId="17" type="noConversion"/>
  </si>
  <si>
    <t>해당사항 없음.</t>
    <phoneticPr fontId="17" type="noConversion"/>
  </si>
  <si>
    <t xml:space="preserve"> Ground Temp.   (tg)</t>
    <phoneticPr fontId="17" type="noConversion"/>
  </si>
  <si>
    <t xml:space="preserve"> Ther. cond. of Ground  (kg)</t>
    <phoneticPr fontId="17" type="noConversion"/>
  </si>
  <si>
    <t xml:space="preserve"> Equipment   data</t>
    <phoneticPr fontId="17" type="noConversion"/>
  </si>
  <si>
    <t xml:space="preserve"> Diameter           </t>
    <phoneticPr fontId="17" type="noConversion"/>
  </si>
  <si>
    <t xml:space="preserve"> Stored Temp.(tl)</t>
    <phoneticPr fontId="17" type="noConversion"/>
  </si>
  <si>
    <t xml:space="preserve"> Pressure             </t>
    <phoneticPr fontId="17" type="noConversion"/>
  </si>
  <si>
    <t xml:space="preserve"> Type</t>
    <phoneticPr fontId="17" type="noConversion"/>
  </si>
  <si>
    <t xml:space="preserve"> Type of Body </t>
    <phoneticPr fontId="17" type="noConversion"/>
  </si>
  <si>
    <t xml:space="preserve"> Type of Head</t>
    <phoneticPr fontId="17" type="noConversion"/>
  </si>
  <si>
    <t>Heating Coil Length Calculation</t>
    <phoneticPr fontId="17" type="noConversion"/>
  </si>
  <si>
    <t xml:space="preserve"> PROJECT NO.</t>
    <phoneticPr fontId="37" type="noConversion"/>
  </si>
  <si>
    <t xml:space="preserve"> PROJECT NAME</t>
  </si>
  <si>
    <t xml:space="preserve"> LOCATION</t>
  </si>
  <si>
    <t xml:space="preserve"> SERVICE</t>
  </si>
  <si>
    <t xml:space="preserve"> ITEM.NO</t>
  </si>
  <si>
    <t>PAGE</t>
    <phoneticPr fontId="17" type="noConversion"/>
  </si>
  <si>
    <t xml:space="preserve">  OF  </t>
    <phoneticPr fontId="17" type="noConversion"/>
  </si>
  <si>
    <t>TANK</t>
  </si>
  <si>
    <t>Vertical Cyclinder</t>
  </si>
  <si>
    <t>ROOF</t>
  </si>
  <si>
    <t xml:space="preserve"> Density   (r)</t>
  </si>
  <si>
    <t>1/˚F</t>
    <phoneticPr fontId="17" type="noConversion"/>
  </si>
  <si>
    <t>1.2   Heat Loss of Body</t>
    <phoneticPr fontId="17" type="noConversion"/>
  </si>
  <si>
    <t>British</t>
    <phoneticPr fontId="17" type="noConversion"/>
  </si>
  <si>
    <t>Metric</t>
    <phoneticPr fontId="17" type="noConversion"/>
  </si>
  <si>
    <t>ft</t>
    <phoneticPr fontId="17" type="noConversion"/>
  </si>
  <si>
    <t xml:space="preserve"> Dry Wall</t>
    <phoneticPr fontId="37" type="noConversion"/>
  </si>
  <si>
    <t xml:space="preserve"> Wet Wall</t>
    <phoneticPr fontId="37" type="noConversion"/>
  </si>
  <si>
    <t xml:space="preserve"> Temperature </t>
    <phoneticPr fontId="17" type="noConversion"/>
  </si>
  <si>
    <t xml:space="preserve"> Roof</t>
    <phoneticPr fontId="37" type="noConversion"/>
  </si>
  <si>
    <t xml:space="preserve"> Bottom</t>
    <phoneticPr fontId="37" type="noConversion"/>
  </si>
  <si>
    <t xml:space="preserve"> Material</t>
    <phoneticPr fontId="17" type="noConversion"/>
  </si>
  <si>
    <t>inch</t>
    <phoneticPr fontId="17" type="noConversion"/>
  </si>
  <si>
    <t xml:space="preserve"> Height</t>
    <phoneticPr fontId="17" type="noConversion"/>
  </si>
  <si>
    <t xml:space="preserve"> Thickness</t>
    <phoneticPr fontId="17" type="noConversion"/>
  </si>
  <si>
    <t xml:space="preserve"> Thermal conductivity</t>
    <phoneticPr fontId="17" type="noConversion"/>
  </si>
  <si>
    <t>Btu/ft.hr.F</t>
    <phoneticPr fontId="17" type="noConversion"/>
  </si>
  <si>
    <t xml:space="preserve"> Liquid Level</t>
    <phoneticPr fontId="17" type="noConversion"/>
  </si>
  <si>
    <t>ft</t>
    <phoneticPr fontId="17" type="noConversion"/>
  </si>
  <si>
    <t>psia</t>
    <phoneticPr fontId="17" type="noConversion"/>
  </si>
  <si>
    <t xml:space="preserve"> Insulation data</t>
  </si>
  <si>
    <t xml:space="preserve"> Ther. Cond. (Kins)</t>
    <phoneticPr fontId="17" type="noConversion"/>
  </si>
  <si>
    <t xml:space="preserve"> Thickness    (Xins)</t>
    <phoneticPr fontId="17" type="noConversion"/>
  </si>
  <si>
    <t xml:space="preserve"> Resistant   (Rins)</t>
    <phoneticPr fontId="17" type="noConversion"/>
  </si>
  <si>
    <t xml:space="preserve"> Type of Surface</t>
    <phoneticPr fontId="17" type="noConversion"/>
  </si>
  <si>
    <t xml:space="preserve">Commonly used </t>
  </si>
  <si>
    <t xml:space="preserve"> Fouling factor (rf)</t>
    <phoneticPr fontId="17" type="noConversion"/>
  </si>
  <si>
    <t xml:space="preserve"> Coil</t>
    <phoneticPr fontId="17" type="noConversion"/>
  </si>
  <si>
    <t xml:space="preserve"> Ground Data</t>
    <phoneticPr fontId="17" type="noConversion"/>
  </si>
  <si>
    <t xml:space="preserve"> Gravity accelalation  (g)</t>
  </si>
  <si>
    <t>ft/hr2</t>
  </si>
  <si>
    <t xml:space="preserve"> Coil Size</t>
    <phoneticPr fontId="17" type="noConversion"/>
  </si>
  <si>
    <t>Drywall</t>
    <phoneticPr fontId="17" type="noConversion"/>
  </si>
  <si>
    <t>Wetwall</t>
    <phoneticPr fontId="17" type="noConversion"/>
  </si>
  <si>
    <t>ft2.hr.F/Btu</t>
    <phoneticPr fontId="17" type="noConversion"/>
  </si>
  <si>
    <t>ho = ( hc + hr )</t>
    <phoneticPr fontId="17" type="noConversion"/>
  </si>
  <si>
    <t xml:space="preserve">Rins </t>
    <phoneticPr fontId="17" type="noConversion"/>
  </si>
  <si>
    <t>(Xins/Kins)</t>
    <phoneticPr fontId="17" type="noConversion"/>
  </si>
  <si>
    <t>U</t>
    <phoneticPr fontId="17" type="noConversion"/>
  </si>
  <si>
    <t>304SS</t>
    <phoneticPr fontId="17" type="noConversion"/>
  </si>
  <si>
    <t>inch</t>
    <phoneticPr fontId="17" type="noConversion"/>
  </si>
  <si>
    <t>Btu/ft.hr.℉</t>
    <phoneticPr fontId="17" type="noConversion"/>
  </si>
  <si>
    <t>ft2.hr.℉/Btu</t>
    <phoneticPr fontId="17" type="noConversion"/>
  </si>
  <si>
    <t>1/℉</t>
    <phoneticPr fontId="17" type="noConversion"/>
  </si>
  <si>
    <t xml:space="preserve">Heat Loss of Shell              (Qs)  </t>
    <phoneticPr fontId="17" type="noConversion"/>
  </si>
  <si>
    <t>STEAM</t>
  </si>
  <si>
    <t>Drywall</t>
    <phoneticPr fontId="37" type="noConversion"/>
  </si>
  <si>
    <t>Wetwall</t>
    <phoneticPr fontId="37" type="noConversion"/>
  </si>
  <si>
    <t>Roof</t>
    <phoneticPr fontId="37" type="noConversion"/>
  </si>
  <si>
    <t>Bottom</t>
    <phoneticPr fontId="37" type="noConversion"/>
  </si>
  <si>
    <t xml:space="preserve"> Equipment on Leg</t>
    <phoneticPr fontId="37" type="noConversion"/>
  </si>
  <si>
    <t>No</t>
  </si>
  <si>
    <t>Area</t>
    <phoneticPr fontId="37" type="noConversion"/>
  </si>
  <si>
    <t>ft2</t>
    <phoneticPr fontId="37" type="noConversion"/>
  </si>
  <si>
    <t>Area of Bottom                   (As) =</t>
    <phoneticPr fontId="17" type="noConversion"/>
  </si>
  <si>
    <t>Bottom</t>
    <phoneticPr fontId="17" type="noConversion"/>
  </si>
  <si>
    <t>hg</t>
    <phoneticPr fontId="17" type="noConversion"/>
  </si>
  <si>
    <t>U</t>
    <phoneticPr fontId="37" type="noConversion"/>
  </si>
  <si>
    <t>tg</t>
    <phoneticPr fontId="17" type="noConversion"/>
  </si>
  <si>
    <t>Roof</t>
    <phoneticPr fontId="17" type="noConversion"/>
  </si>
  <si>
    <t xml:space="preserve"> </t>
    <phoneticPr fontId="37" type="noConversion"/>
  </si>
  <si>
    <t xml:space="preserve">Area of Bottom               (Ab) </t>
    <phoneticPr fontId="17" type="noConversion"/>
  </si>
  <si>
    <r>
      <t>Heat Loss of Bottom</t>
    </r>
    <r>
      <rPr>
        <sz val="10"/>
        <color rgb="FF0000FF"/>
        <rFont val="Century Gothic"/>
        <family val="2"/>
      </rPr>
      <t xml:space="preserve">       (</t>
    </r>
    <r>
      <rPr>
        <u/>
        <sz val="10"/>
        <color indexed="12"/>
        <rFont val="Century Gothic"/>
        <family val="2"/>
      </rPr>
      <t>Qb)</t>
    </r>
    <phoneticPr fontId="17" type="noConversion"/>
  </si>
  <si>
    <r>
      <t>Heat Loss of roof</t>
    </r>
    <r>
      <rPr>
        <sz val="10"/>
        <color rgb="FF0000FF"/>
        <rFont val="Century Gothic"/>
        <family val="2"/>
      </rPr>
      <t xml:space="preserve">             </t>
    </r>
    <r>
      <rPr>
        <u/>
        <sz val="10"/>
        <color indexed="12"/>
        <rFont val="Century Gothic"/>
        <family val="2"/>
      </rPr>
      <t>(Qr)</t>
    </r>
    <phoneticPr fontId="17" type="noConversion"/>
  </si>
  <si>
    <t>Not insulated</t>
    <phoneticPr fontId="17" type="noConversion"/>
  </si>
  <si>
    <t>Insulated</t>
    <phoneticPr fontId="17" type="noConversion"/>
  </si>
  <si>
    <t xml:space="preserve">Area of Tank Roof           (Ar)   </t>
    <phoneticPr fontId="17" type="noConversion"/>
  </si>
  <si>
    <t>ft3/hr</t>
    <phoneticPr fontId="17" type="noConversion"/>
  </si>
  <si>
    <r>
      <t xml:space="preserve"> Environment Data </t>
    </r>
    <r>
      <rPr>
        <sz val="10"/>
        <rFont val="Century Gothic"/>
        <family val="2"/>
      </rPr>
      <t xml:space="preserve"> </t>
    </r>
    <phoneticPr fontId="17" type="noConversion"/>
  </si>
  <si>
    <t xml:space="preserve"> Fouling coefficients </t>
    <phoneticPr fontId="17" type="noConversion"/>
  </si>
  <si>
    <t xml:space="preserve">inch        </t>
    <phoneticPr fontId="17" type="noConversion"/>
  </si>
  <si>
    <t>(</t>
    <phoneticPr fontId="17" type="noConversion"/>
  </si>
  <si>
    <t xml:space="preserve">ft)  </t>
    <phoneticPr fontId="17" type="noConversion"/>
  </si>
  <si>
    <t xml:space="preserve"> NOTES:</t>
    <phoneticPr fontId="17" type="noConversion"/>
  </si>
  <si>
    <t>ft)</t>
    <phoneticPr fontId="17" type="noConversion"/>
  </si>
  <si>
    <t>In film coff. referred to external area</t>
    <phoneticPr fontId="17" type="noConversion"/>
  </si>
  <si>
    <t xml:space="preserve">  (hio) =</t>
  </si>
  <si>
    <t>Gr x Pr</t>
    <phoneticPr fontId="17" type="noConversion"/>
  </si>
  <si>
    <t xml:space="preserve"> Viscocity,  cp </t>
    <phoneticPr fontId="17" type="noConversion"/>
  </si>
  <si>
    <t xml:space="preserve"> Viscocity,  cp (X 2.42)</t>
    <phoneticPr fontId="17" type="noConversion"/>
  </si>
  <si>
    <t xml:space="preserve"> ft           (</t>
    <phoneticPr fontId="17" type="noConversion"/>
  </si>
  <si>
    <t xml:space="preserve">    kcal/ m2.hr.K</t>
    <phoneticPr fontId="17" type="noConversion"/>
  </si>
  <si>
    <t xml:space="preserve"> Btu/ft2.ht.F</t>
    <phoneticPr fontId="17" type="noConversion"/>
  </si>
  <si>
    <t>Not Insulated Roof Case Out film coff</t>
    <phoneticPr fontId="17" type="noConversion"/>
  </si>
  <si>
    <t>(ho) =</t>
    <phoneticPr fontId="17" type="noConversion"/>
  </si>
  <si>
    <t xml:space="preserve">Insulated Roof Case Out film coff.      </t>
    <phoneticPr fontId="17" type="noConversion"/>
  </si>
  <si>
    <t>ft2</t>
    <phoneticPr fontId="17" type="noConversion"/>
  </si>
  <si>
    <r>
      <rPr>
        <sz val="10"/>
        <color rgb="FF000000"/>
        <rFont val="맑은 고딕"/>
        <family val="1"/>
        <charset val="129"/>
      </rPr>
      <t xml:space="preserve">  </t>
    </r>
    <r>
      <rPr>
        <sz val="10"/>
        <color rgb="FF000000"/>
        <rFont val="Segoe UI Symbol"/>
        <family val="1"/>
      </rPr>
      <t>℃</t>
    </r>
    <phoneticPr fontId="17" type="noConversion"/>
  </si>
  <si>
    <t xml:space="preserve">  m2</t>
    <phoneticPr fontId="17" type="noConversion"/>
  </si>
  <si>
    <t xml:space="preserve">  ℃</t>
    <phoneticPr fontId="17" type="noConversion"/>
  </si>
  <si>
    <t>British</t>
  </si>
  <si>
    <t>lb/ft3</t>
    <phoneticPr fontId="17" type="noConversion"/>
  </si>
  <si>
    <t>Btu/lb.F</t>
    <phoneticPr fontId="17" type="noConversion"/>
  </si>
  <si>
    <t>mile/hr</t>
    <phoneticPr fontId="17" type="noConversion"/>
  </si>
  <si>
    <t>Btu/lb.℉</t>
    <phoneticPr fontId="17" type="noConversion"/>
  </si>
  <si>
    <t>Btu/ft2.hr.℉</t>
    <phoneticPr fontId="17" type="noConversion"/>
  </si>
  <si>
    <t>Btu/hr</t>
    <phoneticPr fontId="17" type="noConversion"/>
  </si>
  <si>
    <t>lb/hr</t>
    <phoneticPr fontId="17" type="noConversion"/>
  </si>
  <si>
    <t xml:space="preserve">  kcal/m2.hr.℃</t>
    <phoneticPr fontId="17" type="noConversion"/>
  </si>
  <si>
    <t xml:space="preserve"> Viscocity,  cp (X 2.42)</t>
    <phoneticPr fontId="17" type="noConversion"/>
  </si>
  <si>
    <t xml:space="preserve"> Coil Schedule</t>
    <phoneticPr fontId="17" type="noConversion"/>
  </si>
  <si>
    <t>Sch 40</t>
  </si>
  <si>
    <t>0.125,</t>
  </si>
  <si>
    <t>0.25,</t>
  </si>
  <si>
    <t>0.375,</t>
  </si>
  <si>
    <t>0.5,</t>
  </si>
  <si>
    <t>0.75,</t>
  </si>
  <si>
    <t>1,</t>
  </si>
  <si>
    <t>1.25,</t>
  </si>
  <si>
    <t>1.5,</t>
  </si>
  <si>
    <t>2,</t>
  </si>
  <si>
    <t>2.5,</t>
  </si>
  <si>
    <t>3,</t>
  </si>
  <si>
    <t>3.5,</t>
  </si>
  <si>
    <t>4,</t>
  </si>
  <si>
    <t>5,</t>
  </si>
  <si>
    <t>6,</t>
  </si>
  <si>
    <t>8,</t>
  </si>
  <si>
    <t>10,</t>
  </si>
  <si>
    <t>0.269,</t>
  </si>
  <si>
    <t>0.364,</t>
  </si>
  <si>
    <t>0.493,</t>
  </si>
  <si>
    <t>0.622,</t>
  </si>
  <si>
    <t>0.824,</t>
  </si>
  <si>
    <t>1.049,</t>
  </si>
  <si>
    <t>1.38,</t>
  </si>
  <si>
    <t>1.61,</t>
  </si>
  <si>
    <t>2.067,</t>
  </si>
  <si>
    <t>2.469,</t>
  </si>
  <si>
    <t>3.068,</t>
  </si>
  <si>
    <t>3.548,</t>
  </si>
  <si>
    <t>4.026,</t>
  </si>
  <si>
    <t>5.047,</t>
  </si>
  <si>
    <t>6.065,</t>
  </si>
  <si>
    <t>7.981,</t>
  </si>
  <si>
    <t>10.02,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</si>
</sst>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76" formatCode="#."/>
    <numFmt numFmtId="177" formatCode="0.000"/>
    <numFmt numFmtId="178" formatCode="0.0"/>
    <numFmt numFmtId="179" formatCode="mm&quot;월&quot;\ dd&quot;일&quot;"/>
    <numFmt numFmtId="180" formatCode="0.00_ "/>
    <numFmt numFmtId="181" formatCode="0.0_ "/>
    <numFmt numFmtId="182" formatCode="#0.00&quot; ft&quot;"/>
    <numFmt numFmtId="183" formatCode="0.0000"/>
    <numFmt numFmtId="184" formatCode="&quot;℉   (&quot;##&quot; ℃)&quot;"/>
    <numFmt numFmtId="185" formatCode="##&quot; m&quot;"/>
    <numFmt numFmtId="186" formatCode="0.0000_ "/>
    <numFmt numFmtId="187" formatCode="0.00.E+00"/>
    <numFmt numFmtId="188" formatCode="0.00000"/>
    <numFmt numFmtId="189" formatCode="0.000000"/>
  </numFmts>
  <fonts count="46">
    <font>
      <sz val="12"/>
      <name val="바탕체"/>
      <family val="1"/>
      <charset val="129"/>
    </font>
    <font>
      <sz val="11"/>
      <color theme="1"/>
      <name val="맑은 고딕"/>
      <family val="2"/>
      <charset val="129"/>
      <scheme val="minor"/>
    </font>
    <font>
      <sz val="1"/>
      <color indexed="16"/>
      <name val="Courier"/>
      <family val="3"/>
    </font>
    <font>
      <b/>
      <sz val="1"/>
      <color indexed="16"/>
      <name val="Courier"/>
      <family val="3"/>
    </font>
    <font>
      <sz val="10"/>
      <name val="Century Gothic"/>
      <family val="2"/>
    </font>
    <font>
      <sz val="10"/>
      <color indexed="8"/>
      <name val="Century Gothic"/>
      <family val="2"/>
    </font>
    <font>
      <b/>
      <sz val="10"/>
      <color indexed="8"/>
      <name val="Century Gothic"/>
      <family val="2"/>
    </font>
    <font>
      <b/>
      <sz val="12"/>
      <color indexed="8"/>
      <name val="Century Gothic"/>
      <family val="2"/>
    </font>
    <font>
      <b/>
      <sz val="10"/>
      <name val="Century Gothic"/>
      <family val="2"/>
    </font>
    <font>
      <sz val="10"/>
      <color indexed="12"/>
      <name val="Century Gothic"/>
      <family val="2"/>
    </font>
    <font>
      <sz val="10"/>
      <color indexed="10"/>
      <name val="Century Gothic"/>
      <family val="2"/>
    </font>
    <font>
      <u/>
      <sz val="10"/>
      <color indexed="12"/>
      <name val="Century Gothic"/>
      <family val="2"/>
    </font>
    <font>
      <u/>
      <sz val="12"/>
      <color indexed="12"/>
      <name val="바탕체"/>
      <family val="1"/>
      <charset val="129"/>
    </font>
    <font>
      <b/>
      <sz val="12"/>
      <color indexed="12"/>
      <name val="Century Gothic"/>
      <family val="2"/>
    </font>
    <font>
      <b/>
      <sz val="12"/>
      <color indexed="8"/>
      <name val="Century Gothic"/>
      <family val="2"/>
    </font>
    <font>
      <sz val="10"/>
      <color indexed="8"/>
      <name val="Symbol"/>
      <family val="1"/>
      <charset val="2"/>
    </font>
    <font>
      <b/>
      <sz val="10"/>
      <name val="Univers (WN)"/>
      <family val="2"/>
    </font>
    <font>
      <sz val="8"/>
      <name val="바탕체"/>
      <family val="1"/>
      <charset val="129"/>
    </font>
    <font>
      <sz val="10"/>
      <name val="Segoe UI Symbol"/>
      <family val="2"/>
    </font>
    <font>
      <sz val="10"/>
      <name val="Arial Unicode MS"/>
      <family val="2"/>
      <charset val="129"/>
    </font>
    <font>
      <b/>
      <sz val="11"/>
      <color indexed="12"/>
      <name val="Century Gothic"/>
      <family val="2"/>
    </font>
    <font>
      <b/>
      <u/>
      <sz val="10"/>
      <color indexed="12"/>
      <name val="Century Gothic"/>
      <family val="2"/>
    </font>
    <font>
      <sz val="10"/>
      <color rgb="FF000000"/>
      <name val="Segoe UI Symbol"/>
      <family val="2"/>
    </font>
    <font>
      <sz val="10"/>
      <name val="Segoe UI Symbol"/>
      <family val="1"/>
    </font>
    <font>
      <sz val="10"/>
      <color rgb="FFFF0000"/>
      <name val="Century Gothic"/>
      <family val="2"/>
    </font>
    <font>
      <sz val="11"/>
      <name val="Century Gothic"/>
      <family val="2"/>
    </font>
    <font>
      <sz val="10"/>
      <name val="맑은 고딕"/>
      <family val="1"/>
      <charset val="129"/>
    </font>
    <font>
      <sz val="10"/>
      <name val="Century Gothic"/>
      <family val="1"/>
      <charset val="129"/>
    </font>
    <font>
      <sz val="10"/>
      <color rgb="FF0000FF"/>
      <name val="Century Gothic"/>
      <family val="2"/>
    </font>
    <font>
      <sz val="9"/>
      <name val="Century Gothic"/>
      <family val="2"/>
    </font>
    <font>
      <sz val="12"/>
      <name val="바탕체"/>
      <family val="1"/>
      <charset val="129"/>
    </font>
    <font>
      <sz val="10"/>
      <color rgb="FF000000"/>
      <name val="Segoe UI Symbol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Segoe UI Symbol"/>
      <family val="2"/>
    </font>
    <font>
      <b/>
      <sz val="8"/>
      <name val="Century Gothic"/>
      <family val="2"/>
    </font>
    <font>
      <sz val="10"/>
      <color theme="1"/>
      <name val="Arial"/>
      <family val="2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맑은 고딕"/>
      <family val="3"/>
      <charset val="129"/>
    </font>
    <font>
      <sz val="9.5"/>
      <name val="Segoe UI Symbol"/>
      <family val="2"/>
    </font>
    <font>
      <sz val="9.5"/>
      <name val="Century Gothic"/>
      <family val="2"/>
    </font>
    <font>
      <sz val="10"/>
      <color rgb="FF000000"/>
      <name val="맑은 고딕"/>
      <family val="1"/>
      <charset val="129"/>
    </font>
    <font>
      <sz val="10"/>
      <color rgb="FF000000"/>
      <name val="Century Gothic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</fills>
  <borders count="6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176" fontId="2" fillId="0" borderId="0">
      <alignment justifyLastLine="1"/>
      <protection locked="0"/>
    </xf>
    <xf numFmtId="176" fontId="2" fillId="0" borderId="0">
      <alignment justifyLastLine="1"/>
      <protection locked="0"/>
    </xf>
    <xf numFmtId="176" fontId="2" fillId="0" borderId="0">
      <alignment justifyLastLine="1"/>
      <protection locked="0"/>
    </xf>
    <xf numFmtId="176" fontId="2" fillId="0" borderId="0">
      <alignment justifyLastLine="1"/>
      <protection locked="0"/>
    </xf>
    <xf numFmtId="176" fontId="3" fillId="0" borderId="0">
      <alignment justifyLastLine="1"/>
      <protection locked="0"/>
    </xf>
    <xf numFmtId="176" fontId="3" fillId="0" borderId="0">
      <alignment justifyLastLine="1"/>
      <protection locked="0"/>
    </xf>
    <xf numFmtId="176" fontId="2" fillId="0" borderId="0">
      <alignment justifyLastLine="1"/>
      <protection locked="0"/>
    </xf>
    <xf numFmtId="176" fontId="2" fillId="0" borderId="1">
      <alignment justifyLastLine="1"/>
      <protection locked="0"/>
    </xf>
    <xf numFmtId="9" fontId="30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478">
    <xf numFmtId="0" fontId="0" fillId="0" borderId="0" xfId="0"/>
    <xf numFmtId="0" fontId="4" fillId="0" borderId="0" xfId="0" applyFont="1"/>
    <xf numFmtId="0" fontId="5" fillId="0" borderId="3" xfId="0" applyFont="1" applyFill="1" applyBorder="1" applyAlignment="1" applyProtection="1">
      <alignment horizontal="left"/>
    </xf>
    <xf numFmtId="0" fontId="4" fillId="0" borderId="3" xfId="0" applyFont="1" applyBorder="1"/>
    <xf numFmtId="0" fontId="5" fillId="0" borderId="4" xfId="0" applyFont="1" applyFill="1" applyBorder="1" applyAlignment="1" applyProtection="1">
      <alignment horizontal="left"/>
    </xf>
    <xf numFmtId="0" fontId="5" fillId="0" borderId="0" xfId="0" applyFont="1" applyFill="1" applyBorder="1" applyAlignment="1" applyProtection="1">
      <alignment horizontal="right"/>
    </xf>
    <xf numFmtId="0" fontId="5" fillId="0" borderId="0" xfId="0" applyFont="1" applyFill="1" applyBorder="1" applyAlignment="1" applyProtection="1">
      <alignment horizontal="left"/>
    </xf>
    <xf numFmtId="0" fontId="4" fillId="0" borderId="7" xfId="0" applyFont="1" applyBorder="1"/>
    <xf numFmtId="0" fontId="4" fillId="0" borderId="4" xfId="0" applyFont="1" applyBorder="1"/>
    <xf numFmtId="0" fontId="4" fillId="0" borderId="0" xfId="0" applyFont="1" applyBorder="1"/>
    <xf numFmtId="0" fontId="5" fillId="0" borderId="8" xfId="0" applyFont="1" applyFill="1" applyBorder="1" applyAlignment="1" applyProtection="1">
      <alignment horizontal="left"/>
    </xf>
    <xf numFmtId="0" fontId="5" fillId="0" borderId="7" xfId="0" applyFont="1" applyFill="1" applyBorder="1" applyAlignment="1" applyProtection="1">
      <alignment horizontal="left"/>
    </xf>
    <xf numFmtId="0" fontId="4" fillId="0" borderId="8" xfId="0" applyFont="1" applyBorder="1"/>
    <xf numFmtId="0" fontId="5" fillId="0" borderId="2" xfId="0" applyFont="1" applyFill="1" applyBorder="1" applyAlignment="1" applyProtection="1">
      <alignment horizontal="left"/>
    </xf>
    <xf numFmtId="0" fontId="4" fillId="0" borderId="12" xfId="0" applyFont="1" applyBorder="1"/>
    <xf numFmtId="0" fontId="0" fillId="0" borderId="12" xfId="0" applyBorder="1"/>
    <xf numFmtId="0" fontId="0" fillId="0" borderId="0" xfId="0" applyBorder="1"/>
    <xf numFmtId="0" fontId="0" fillId="0" borderId="3" xfId="0" applyBorder="1"/>
    <xf numFmtId="0" fontId="4" fillId="0" borderId="15" xfId="0" applyFont="1" applyBorder="1"/>
    <xf numFmtId="0" fontId="4" fillId="0" borderId="16" xfId="0" applyFont="1" applyBorder="1"/>
    <xf numFmtId="0" fontId="4" fillId="0" borderId="18" xfId="0" applyFont="1" applyBorder="1"/>
    <xf numFmtId="0" fontId="4" fillId="0" borderId="19" xfId="0" applyFont="1" applyBorder="1"/>
    <xf numFmtId="0" fontId="4" fillId="0" borderId="20" xfId="0" applyFont="1" applyBorder="1"/>
    <xf numFmtId="0" fontId="8" fillId="0" borderId="0" xfId="0" applyFont="1" applyBorder="1"/>
    <xf numFmtId="0" fontId="6" fillId="0" borderId="0" xfId="0" applyFont="1" applyFill="1" applyBorder="1" applyAlignment="1" applyProtection="1">
      <alignment horizontal="left"/>
    </xf>
    <xf numFmtId="2" fontId="4" fillId="0" borderId="0" xfId="0" applyNumberFormat="1" applyFont="1" applyBorder="1" applyProtection="1"/>
    <xf numFmtId="0" fontId="5" fillId="0" borderId="0" xfId="0" applyFont="1" applyFill="1" applyBorder="1" applyAlignment="1" applyProtection="1">
      <alignment horizontal="center"/>
    </xf>
    <xf numFmtId="0" fontId="11" fillId="2" borderId="0" xfId="0" applyFont="1" applyFill="1" applyBorder="1" applyAlignment="1" applyProtection="1">
      <alignment horizontal="left"/>
    </xf>
    <xf numFmtId="0" fontId="11" fillId="2" borderId="0" xfId="0" applyFont="1" applyFill="1" applyBorder="1"/>
    <xf numFmtId="0" fontId="11" fillId="2" borderId="0" xfId="0" applyFont="1" applyFill="1" applyBorder="1" applyAlignment="1" applyProtection="1">
      <alignment horizontal="center"/>
    </xf>
    <xf numFmtId="0" fontId="5" fillId="0" borderId="0" xfId="0" applyFont="1" applyFill="1" applyBorder="1" applyAlignment="1">
      <alignment horizontal="center"/>
    </xf>
    <xf numFmtId="0" fontId="4" fillId="0" borderId="22" xfId="0" applyFont="1" applyBorder="1"/>
    <xf numFmtId="0" fontId="4" fillId="0" borderId="23" xfId="0" applyFont="1" applyBorder="1"/>
    <xf numFmtId="0" fontId="4" fillId="0" borderId="25" xfId="0" applyFont="1" applyBorder="1"/>
    <xf numFmtId="0" fontId="12" fillId="2" borderId="0" xfId="0" applyFont="1" applyFill="1" applyBorder="1"/>
    <xf numFmtId="0" fontId="4" fillId="0" borderId="0" xfId="0" applyFont="1" applyBorder="1" applyAlignment="1">
      <alignment horizontal="right"/>
    </xf>
    <xf numFmtId="0" fontId="10" fillId="0" borderId="0" xfId="0" applyFont="1" applyFill="1" applyBorder="1" applyAlignment="1" applyProtection="1">
      <alignment horizontal="left"/>
    </xf>
    <xf numFmtId="0" fontId="11" fillId="2" borderId="0" xfId="0" applyFont="1" applyFill="1" applyBorder="1" applyAlignment="1" applyProtection="1">
      <alignment horizontal="right"/>
    </xf>
    <xf numFmtId="0" fontId="9" fillId="0" borderId="0" xfId="0" applyFont="1" applyFill="1" applyBorder="1" applyAlignment="1" applyProtection="1">
      <alignment horizontal="left"/>
    </xf>
    <xf numFmtId="0" fontId="5" fillId="0" borderId="19" xfId="0" applyFont="1" applyFill="1" applyBorder="1" applyAlignment="1" applyProtection="1">
      <alignment horizontal="left"/>
    </xf>
    <xf numFmtId="0" fontId="0" fillId="0" borderId="20" xfId="0" applyBorder="1"/>
    <xf numFmtId="0" fontId="9" fillId="0" borderId="0" xfId="0" applyFont="1" applyFill="1" applyBorder="1" applyAlignment="1" applyProtection="1">
      <alignment horizontal="right"/>
    </xf>
    <xf numFmtId="2" fontId="5" fillId="0" borderId="0" xfId="0" applyNumberFormat="1" applyFont="1" applyFill="1" applyBorder="1" applyAlignment="1" applyProtection="1">
      <alignment horizontal="left"/>
    </xf>
    <xf numFmtId="0" fontId="13" fillId="2" borderId="0" xfId="0" applyFont="1" applyFill="1" applyBorder="1" applyAlignment="1" applyProtection="1">
      <alignment horizontal="right"/>
    </xf>
    <xf numFmtId="2" fontId="13" fillId="2" borderId="0" xfId="0" applyNumberFormat="1" applyFont="1" applyFill="1" applyBorder="1" applyProtection="1"/>
    <xf numFmtId="2" fontId="13" fillId="2" borderId="0" xfId="0" applyNumberFormat="1" applyFont="1" applyFill="1" applyBorder="1" applyAlignment="1" applyProtection="1">
      <alignment horizontal="left"/>
    </xf>
    <xf numFmtId="0" fontId="13" fillId="2" borderId="0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4" fillId="0" borderId="15" xfId="0" applyFont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6" fillId="3" borderId="0" xfId="0" applyFont="1" applyFill="1" applyBorder="1" applyProtection="1">
      <protection locked="0"/>
    </xf>
    <xf numFmtId="177" fontId="6" fillId="3" borderId="0" xfId="0" applyNumberFormat="1" applyFont="1" applyFill="1" applyBorder="1" applyProtection="1">
      <protection locked="0"/>
    </xf>
    <xf numFmtId="2" fontId="8" fillId="3" borderId="0" xfId="0" applyNumberFormat="1" applyFont="1" applyFill="1" applyBorder="1" applyProtection="1">
      <protection locked="0"/>
    </xf>
    <xf numFmtId="2" fontId="8" fillId="3" borderId="0" xfId="0" applyNumberFormat="1" applyFont="1" applyFill="1" applyBorder="1" applyAlignment="1" applyProtection="1">
      <alignment horizontal="center"/>
      <protection locked="0"/>
    </xf>
    <xf numFmtId="178" fontId="8" fillId="3" borderId="0" xfId="0" applyNumberFormat="1" applyFont="1" applyFill="1" applyBorder="1" applyProtection="1">
      <protection locked="0"/>
    </xf>
    <xf numFmtId="0" fontId="4" fillId="0" borderId="27" xfId="0" applyFont="1" applyBorder="1"/>
    <xf numFmtId="178" fontId="6" fillId="3" borderId="0" xfId="0" applyNumberFormat="1" applyFont="1" applyFill="1" applyBorder="1" applyProtection="1">
      <protection locked="0"/>
    </xf>
    <xf numFmtId="0" fontId="4" fillId="0" borderId="0" xfId="0" applyFont="1" applyBorder="1" applyAlignment="1">
      <alignment horizontal="left"/>
    </xf>
    <xf numFmtId="2" fontId="4" fillId="3" borderId="0" xfId="0" applyNumberFormat="1" applyFont="1" applyFill="1" applyBorder="1" applyAlignment="1" applyProtection="1">
      <alignment horizontal="center"/>
      <protection locked="0"/>
    </xf>
    <xf numFmtId="1" fontId="8" fillId="3" borderId="0" xfId="0" applyNumberFormat="1" applyFont="1" applyFill="1" applyBorder="1" applyProtection="1">
      <protection locked="0"/>
    </xf>
    <xf numFmtId="0" fontId="4" fillId="0" borderId="0" xfId="0" applyFont="1" applyFill="1" applyBorder="1"/>
    <xf numFmtId="0" fontId="0" fillId="0" borderId="0" xfId="0" applyFill="1"/>
    <xf numFmtId="182" fontId="4" fillId="0" borderId="0" xfId="0" applyNumberFormat="1" applyFont="1" applyBorder="1"/>
    <xf numFmtId="0" fontId="4" fillId="0" borderId="0" xfId="0" quotePrefix="1" applyFont="1"/>
    <xf numFmtId="181" fontId="5" fillId="0" borderId="0" xfId="0" applyNumberFormat="1" applyFont="1" applyFill="1" applyBorder="1"/>
    <xf numFmtId="2" fontId="20" fillId="0" borderId="0" xfId="0" applyNumberFormat="1" applyFont="1" applyBorder="1" applyProtection="1"/>
    <xf numFmtId="180" fontId="5" fillId="0" borderId="0" xfId="0" quotePrefix="1" applyNumberFormat="1" applyFont="1" applyFill="1" applyBorder="1"/>
    <xf numFmtId="0" fontId="9" fillId="2" borderId="0" xfId="0" quotePrefix="1" applyFont="1" applyFill="1" applyBorder="1" applyAlignment="1" applyProtection="1">
      <alignment horizontal="left"/>
    </xf>
    <xf numFmtId="0" fontId="8" fillId="0" borderId="0" xfId="0" applyFont="1" applyBorder="1" applyProtection="1"/>
    <xf numFmtId="179" fontId="4" fillId="0" borderId="0" xfId="0" applyNumberFormat="1" applyFont="1" applyBorder="1"/>
    <xf numFmtId="178" fontId="4" fillId="0" borderId="0" xfId="0" applyNumberFormat="1" applyFont="1" applyBorder="1"/>
    <xf numFmtId="0" fontId="13" fillId="2" borderId="28" xfId="0" applyFont="1" applyFill="1" applyBorder="1" applyAlignment="1" applyProtection="1">
      <alignment horizontal="right"/>
    </xf>
    <xf numFmtId="2" fontId="13" fillId="2" borderId="30" xfId="0" applyNumberFormat="1" applyFont="1" applyFill="1" applyBorder="1" applyAlignment="1" applyProtection="1">
      <alignment horizontal="left"/>
    </xf>
    <xf numFmtId="2" fontId="13" fillId="2" borderId="29" xfId="0" applyNumberFormat="1" applyFont="1" applyFill="1" applyBorder="1" applyAlignment="1" applyProtection="1">
      <alignment horizontal="left"/>
    </xf>
    <xf numFmtId="185" fontId="4" fillId="0" borderId="0" xfId="0" applyNumberFormat="1" applyFont="1" applyBorder="1" applyAlignment="1">
      <alignment horizontal="left"/>
    </xf>
    <xf numFmtId="178" fontId="4" fillId="0" borderId="0" xfId="0" applyNumberFormat="1" applyFont="1" applyBorder="1" applyAlignment="1">
      <alignment horizontal="left"/>
    </xf>
    <xf numFmtId="9" fontId="5" fillId="0" borderId="0" xfId="0" applyNumberFormat="1" applyFont="1" applyFill="1" applyBorder="1" applyAlignment="1" applyProtection="1">
      <alignment horizontal="right"/>
    </xf>
    <xf numFmtId="9" fontId="4" fillId="0" borderId="0" xfId="0" applyNumberFormat="1" applyFont="1" applyBorder="1" applyAlignment="1">
      <alignment horizontal="right"/>
    </xf>
    <xf numFmtId="0" fontId="4" fillId="0" borderId="11" xfId="0" applyFont="1" applyBorder="1"/>
    <xf numFmtId="2" fontId="25" fillId="2" borderId="0" xfId="0" applyNumberFormat="1" applyFont="1" applyFill="1" applyBorder="1" applyAlignment="1" applyProtection="1">
      <alignment horizontal="right"/>
    </xf>
    <xf numFmtId="2" fontId="13" fillId="2" borderId="30" xfId="0" applyNumberFormat="1" applyFont="1" applyFill="1" applyBorder="1" applyAlignment="1" applyProtection="1">
      <alignment horizontal="right"/>
    </xf>
    <xf numFmtId="0" fontId="4" fillId="0" borderId="0" xfId="0" applyFont="1" applyAlignment="1">
      <alignment horizontal="right"/>
    </xf>
    <xf numFmtId="0" fontId="27" fillId="0" borderId="0" xfId="0" applyFont="1" applyBorder="1"/>
    <xf numFmtId="2" fontId="4" fillId="2" borderId="0" xfId="0" applyNumberFormat="1" applyFont="1" applyFill="1" applyBorder="1" applyAlignment="1" applyProtection="1">
      <alignment horizontal="right"/>
    </xf>
    <xf numFmtId="178" fontId="25" fillId="0" borderId="0" xfId="0" applyNumberFormat="1" applyFont="1" applyAlignment="1">
      <alignment horizontal="right"/>
    </xf>
    <xf numFmtId="183" fontId="25" fillId="0" borderId="0" xfId="0" applyNumberFormat="1" applyFont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18" fillId="0" borderId="5" xfId="0" applyFont="1" applyBorder="1" applyAlignment="1">
      <alignment horizontal="center" vertical="center"/>
    </xf>
    <xf numFmtId="2" fontId="8" fillId="2" borderId="27" xfId="0" applyNumberFormat="1" applyFont="1" applyFill="1" applyBorder="1" applyAlignment="1" applyProtection="1">
      <alignment horizontal="center"/>
    </xf>
    <xf numFmtId="2" fontId="4" fillId="0" borderId="0" xfId="0" applyNumberFormat="1" applyFont="1"/>
    <xf numFmtId="0" fontId="24" fillId="0" borderId="0" xfId="0" applyFont="1" applyBorder="1" applyAlignment="1">
      <alignment horizontal="center"/>
    </xf>
    <xf numFmtId="0" fontId="11" fillId="2" borderId="0" xfId="0" applyFont="1" applyFill="1" applyBorder="1" applyAlignment="1">
      <alignment horizontal="left"/>
    </xf>
    <xf numFmtId="0" fontId="31" fillId="0" borderId="0" xfId="0" applyFont="1" applyFill="1" applyBorder="1" applyAlignment="1" applyProtection="1">
      <alignment horizontal="left"/>
    </xf>
    <xf numFmtId="0" fontId="24" fillId="0" borderId="27" xfId="0" applyFont="1" applyBorder="1" applyAlignment="1"/>
    <xf numFmtId="2" fontId="4" fillId="0" borderId="27" xfId="0" applyNumberFormat="1" applyFont="1" applyBorder="1" applyAlignment="1">
      <alignment horizontal="center"/>
    </xf>
    <xf numFmtId="0" fontId="24" fillId="0" borderId="27" xfId="0" applyFont="1" applyBorder="1"/>
    <xf numFmtId="178" fontId="25" fillId="2" borderId="0" xfId="0" applyNumberFormat="1" applyFont="1" applyFill="1" applyBorder="1" applyAlignment="1" applyProtection="1">
      <alignment horizontal="right"/>
    </xf>
    <xf numFmtId="0" fontId="4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right"/>
      <protection locked="0"/>
    </xf>
    <xf numFmtId="2" fontId="13" fillId="0" borderId="0" xfId="0" applyNumberFormat="1" applyFont="1" applyFill="1" applyBorder="1" applyProtection="1">
      <protection locked="0"/>
    </xf>
    <xf numFmtId="2" fontId="13" fillId="0" borderId="0" xfId="0" applyNumberFormat="1" applyFont="1" applyFill="1" applyBorder="1" applyAlignment="1" applyProtection="1">
      <alignment horizontal="left"/>
      <protection locked="0"/>
    </xf>
    <xf numFmtId="0" fontId="4" fillId="0" borderId="0" xfId="0" applyFont="1" applyFill="1" applyBorder="1" applyProtection="1">
      <protection locked="0"/>
    </xf>
    <xf numFmtId="0" fontId="0" fillId="0" borderId="0" xfId="0" applyFill="1" applyAlignment="1">
      <alignment horizontal="center"/>
    </xf>
    <xf numFmtId="0" fontId="20" fillId="2" borderId="13" xfId="0" applyFont="1" applyFill="1" applyBorder="1" applyAlignment="1" applyProtection="1">
      <alignment horizontal="right"/>
    </xf>
    <xf numFmtId="9" fontId="4" fillId="0" borderId="11" xfId="9" applyFont="1" applyBorder="1" applyAlignment="1">
      <alignment horizontal="center"/>
    </xf>
    <xf numFmtId="0" fontId="20" fillId="2" borderId="33" xfId="0" applyFont="1" applyFill="1" applyBorder="1" applyAlignment="1" applyProtection="1">
      <alignment horizontal="right"/>
    </xf>
    <xf numFmtId="0" fontId="20" fillId="2" borderId="36" xfId="0" applyFont="1" applyFill="1" applyBorder="1" applyAlignment="1" applyProtection="1">
      <alignment horizontal="right"/>
    </xf>
    <xf numFmtId="0" fontId="20" fillId="2" borderId="35" xfId="0" applyFont="1" applyFill="1" applyBorder="1" applyAlignment="1" applyProtection="1">
      <alignment horizontal="right"/>
    </xf>
    <xf numFmtId="0" fontId="20" fillId="2" borderId="37" xfId="0" applyFont="1" applyFill="1" applyBorder="1" applyAlignment="1" applyProtection="1">
      <alignment horizontal="right"/>
    </xf>
    <xf numFmtId="178" fontId="11" fillId="2" borderId="0" xfId="0" applyNumberFormat="1" applyFont="1" applyFill="1" applyBorder="1" applyProtection="1"/>
    <xf numFmtId="1" fontId="11" fillId="2" borderId="0" xfId="0" applyNumberFormat="1" applyFont="1" applyFill="1" applyBorder="1" applyProtection="1"/>
    <xf numFmtId="178" fontId="21" fillId="2" borderId="0" xfId="0" applyNumberFormat="1" applyFont="1" applyFill="1" applyBorder="1" applyProtection="1"/>
    <xf numFmtId="0" fontId="34" fillId="0" borderId="6" xfId="0" applyFont="1" applyFill="1" applyBorder="1" applyAlignment="1" applyProtection="1">
      <alignment horizontal="center"/>
      <protection locked="0"/>
    </xf>
    <xf numFmtId="0" fontId="18" fillId="0" borderId="7" xfId="0" applyFont="1" applyBorder="1"/>
    <xf numFmtId="0" fontId="7" fillId="0" borderId="0" xfId="0" applyFont="1" applyFill="1" applyBorder="1" applyAlignment="1" applyProtection="1">
      <alignment horizontal="left"/>
    </xf>
    <xf numFmtId="0" fontId="14" fillId="0" borderId="0" xfId="0" applyFont="1" applyFill="1" applyBorder="1" applyAlignment="1" applyProtection="1">
      <alignment horizontal="left"/>
    </xf>
    <xf numFmtId="0" fontId="35" fillId="0" borderId="40" xfId="0" applyFont="1" applyBorder="1"/>
    <xf numFmtId="0" fontId="24" fillId="0" borderId="0" xfId="0" applyFont="1" applyBorder="1" applyAlignment="1"/>
    <xf numFmtId="0" fontId="20" fillId="2" borderId="0" xfId="0" applyFont="1" applyFill="1" applyBorder="1" applyAlignment="1" applyProtection="1">
      <alignment horizontal="right"/>
    </xf>
    <xf numFmtId="9" fontId="4" fillId="0" borderId="0" xfId="9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5" fillId="0" borderId="38" xfId="0" applyFont="1" applyFill="1" applyBorder="1" applyAlignment="1" applyProtection="1">
      <alignment horizontal="center"/>
    </xf>
    <xf numFmtId="0" fontId="4" fillId="0" borderId="39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/>
    <xf numFmtId="0" fontId="4" fillId="0" borderId="1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6" fillId="0" borderId="4" xfId="0" applyFont="1" applyFill="1" applyBorder="1" applyAlignment="1" applyProtection="1">
      <alignment horizontal="left"/>
    </xf>
    <xf numFmtId="0" fontId="6" fillId="3" borderId="8" xfId="0" applyFont="1" applyFill="1" applyBorder="1" applyProtection="1">
      <protection locked="0"/>
    </xf>
    <xf numFmtId="0" fontId="4" fillId="4" borderId="8" xfId="0" applyFont="1" applyFill="1" applyBorder="1"/>
    <xf numFmtId="0" fontId="8" fillId="0" borderId="12" xfId="0" applyFont="1" applyBorder="1"/>
    <xf numFmtId="178" fontId="8" fillId="0" borderId="0" xfId="0" applyNumberFormat="1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5" fillId="0" borderId="20" xfId="0" applyFont="1" applyFill="1" applyBorder="1" applyAlignment="1" applyProtection="1">
      <alignment horizontal="left"/>
    </xf>
    <xf numFmtId="0" fontId="18" fillId="0" borderId="20" xfId="0" applyFont="1" applyBorder="1"/>
    <xf numFmtId="0" fontId="4" fillId="0" borderId="35" xfId="0" applyFont="1" applyBorder="1"/>
    <xf numFmtId="0" fontId="6" fillId="0" borderId="33" xfId="0" applyFont="1" applyFill="1" applyBorder="1" applyAlignment="1" applyProtection="1">
      <alignment horizontal="left"/>
    </xf>
    <xf numFmtId="0" fontId="5" fillId="0" borderId="31" xfId="0" applyFont="1" applyFill="1" applyBorder="1" applyAlignment="1" applyProtection="1">
      <alignment horizontal="left"/>
    </xf>
    <xf numFmtId="0" fontId="5" fillId="0" borderId="22" xfId="0" applyFont="1" applyFill="1" applyBorder="1" applyAlignment="1" applyProtection="1">
      <alignment horizontal="center"/>
    </xf>
    <xf numFmtId="0" fontId="5" fillId="0" borderId="22" xfId="0" applyFont="1" applyFill="1" applyBorder="1" applyAlignment="1" applyProtection="1">
      <alignment horizontal="left"/>
    </xf>
    <xf numFmtId="0" fontId="0" fillId="0" borderId="22" xfId="0" applyBorder="1"/>
    <xf numFmtId="0" fontId="5" fillId="0" borderId="42" xfId="0" applyFont="1" applyFill="1" applyBorder="1" applyAlignment="1" applyProtection="1">
      <alignment horizontal="left"/>
    </xf>
    <xf numFmtId="0" fontId="5" fillId="0" borderId="23" xfId="0" applyFont="1" applyFill="1" applyBorder="1" applyAlignment="1" applyProtection="1">
      <alignment horizontal="left"/>
    </xf>
    <xf numFmtId="0" fontId="8" fillId="0" borderId="19" xfId="0" applyFont="1" applyBorder="1"/>
    <xf numFmtId="0" fontId="38" fillId="0" borderId="0" xfId="0" applyFont="1"/>
    <xf numFmtId="0" fontId="0" fillId="0" borderId="0" xfId="0" applyAlignment="1">
      <alignment vertical="center"/>
    </xf>
    <xf numFmtId="0" fontId="19" fillId="0" borderId="0" xfId="0" applyFont="1"/>
    <xf numFmtId="0" fontId="5" fillId="0" borderId="0" xfId="0" quotePrefix="1" applyFont="1" applyFill="1" applyBorder="1" applyAlignment="1" applyProtection="1">
      <alignment horizontal="center"/>
    </xf>
    <xf numFmtId="0" fontId="4" fillId="0" borderId="15" xfId="0" applyFont="1" applyFill="1" applyBorder="1"/>
    <xf numFmtId="0" fontId="4" fillId="0" borderId="15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right"/>
    </xf>
    <xf numFmtId="0" fontId="4" fillId="0" borderId="16" xfId="0" applyFont="1" applyFill="1" applyBorder="1"/>
    <xf numFmtId="0" fontId="4" fillId="0" borderId="18" xfId="0" applyFont="1" applyFill="1" applyBorder="1" applyProtection="1">
      <protection locked="0"/>
    </xf>
    <xf numFmtId="0" fontId="4" fillId="0" borderId="32" xfId="0" applyFont="1" applyFill="1" applyBorder="1"/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36" fillId="0" borderId="0" xfId="10" applyFont="1">
      <alignment vertical="center"/>
    </xf>
    <xf numFmtId="0" fontId="36" fillId="0" borderId="4" xfId="10" applyFont="1" applyBorder="1">
      <alignment vertical="center"/>
    </xf>
    <xf numFmtId="0" fontId="4" fillId="0" borderId="20" xfId="0" applyFont="1" applyFill="1" applyBorder="1" applyProtection="1">
      <protection locked="0"/>
    </xf>
    <xf numFmtId="0" fontId="40" fillId="0" borderId="33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vertical="center"/>
    </xf>
    <xf numFmtId="0" fontId="36" fillId="0" borderId="12" xfId="10" applyFont="1" applyBorder="1">
      <alignment vertical="center"/>
    </xf>
    <xf numFmtId="0" fontId="0" fillId="0" borderId="12" xfId="0" applyBorder="1" applyAlignment="1">
      <alignment vertical="center"/>
    </xf>
    <xf numFmtId="0" fontId="4" fillId="0" borderId="12" xfId="0" applyFont="1" applyFill="1" applyBorder="1"/>
    <xf numFmtId="0" fontId="4" fillId="0" borderId="12" xfId="0" applyFont="1" applyFill="1" applyBorder="1" applyAlignment="1">
      <alignment horizontal="center"/>
    </xf>
    <xf numFmtId="179" fontId="4" fillId="0" borderId="12" xfId="0" applyNumberFormat="1" applyFont="1" applyFill="1" applyBorder="1" applyProtection="1">
      <protection locked="0"/>
    </xf>
    <xf numFmtId="0" fontId="4" fillId="0" borderId="35" xfId="0" applyFont="1" applyFill="1" applyBorder="1" applyProtection="1">
      <protection locked="0"/>
    </xf>
    <xf numFmtId="0" fontId="20" fillId="2" borderId="12" xfId="0" applyFont="1" applyFill="1" applyBorder="1" applyAlignment="1" applyProtection="1">
      <alignment horizontal="right"/>
    </xf>
    <xf numFmtId="0" fontId="20" fillId="2" borderId="45" xfId="0" applyFont="1" applyFill="1" applyBorder="1" applyAlignment="1" applyProtection="1">
      <alignment horizontal="right"/>
    </xf>
    <xf numFmtId="0" fontId="4" fillId="0" borderId="20" xfId="0" applyFont="1" applyFill="1" applyBorder="1"/>
    <xf numFmtId="0" fontId="18" fillId="0" borderId="0" xfId="0" applyFont="1" applyBorder="1"/>
    <xf numFmtId="0" fontId="4" fillId="4" borderId="22" xfId="0" applyFont="1" applyFill="1" applyBorder="1"/>
    <xf numFmtId="0" fontId="5" fillId="0" borderId="17" xfId="0" applyFont="1" applyFill="1" applyBorder="1" applyAlignment="1" applyProtection="1">
      <alignment horizontal="left"/>
    </xf>
    <xf numFmtId="0" fontId="4" fillId="0" borderId="10" xfId="0" applyFont="1" applyBorder="1"/>
    <xf numFmtId="0" fontId="4" fillId="6" borderId="15" xfId="0" applyFont="1" applyFill="1" applyBorder="1" applyAlignment="1">
      <alignment horizontal="center"/>
    </xf>
    <xf numFmtId="0" fontId="4" fillId="0" borderId="0" xfId="0" applyFont="1" applyBorder="1" applyAlignment="1">
      <alignment horizontal="center" vertical="top"/>
    </xf>
    <xf numFmtId="0" fontId="39" fillId="0" borderId="0" xfId="0" applyFont="1" applyAlignment="1">
      <alignment vertical="center"/>
    </xf>
    <xf numFmtId="177" fontId="8" fillId="2" borderId="3" xfId="0" applyNumberFormat="1" applyFont="1" applyFill="1" applyBorder="1" applyProtection="1"/>
    <xf numFmtId="0" fontId="4" fillId="0" borderId="0" xfId="0" applyFont="1" applyAlignment="1"/>
    <xf numFmtId="184" fontId="22" fillId="0" borderId="0" xfId="0" applyNumberFormat="1" applyFont="1" applyFill="1" applyBorder="1" applyAlignment="1" applyProtection="1">
      <alignment horizontal="left"/>
    </xf>
    <xf numFmtId="0" fontId="4" fillId="0" borderId="2" xfId="0" applyFont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2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6" fillId="0" borderId="14" xfId="0" applyFont="1" applyFill="1" applyBorder="1" applyAlignment="1" applyProtection="1">
      <alignment horizontal="left"/>
    </xf>
    <xf numFmtId="0" fontId="4" fillId="0" borderId="31" xfId="0" applyFont="1" applyBorder="1"/>
    <xf numFmtId="0" fontId="4" fillId="0" borderId="11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2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4" fillId="0" borderId="1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5" fillId="0" borderId="0" xfId="0" applyFont="1" applyFill="1" applyBorder="1" applyAlignment="1" applyProtection="1"/>
    <xf numFmtId="2" fontId="4" fillId="3" borderId="3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Border="1" applyAlignment="1">
      <alignment horizontal="left"/>
    </xf>
    <xf numFmtId="0" fontId="6" fillId="0" borderId="11" xfId="0" applyFont="1" applyFill="1" applyBorder="1" applyAlignment="1" applyProtection="1">
      <alignment horizontal="left"/>
    </xf>
    <xf numFmtId="0" fontId="4" fillId="0" borderId="13" xfId="0" applyFont="1" applyBorder="1"/>
    <xf numFmtId="2" fontId="8" fillId="0" borderId="0" xfId="0" applyNumberFormat="1" applyFont="1" applyFill="1" applyBorder="1" applyAlignment="1" applyProtection="1">
      <alignment horizontal="center"/>
      <protection locked="0"/>
    </xf>
    <xf numFmtId="0" fontId="6" fillId="0" borderId="15" xfId="0" applyFont="1" applyFill="1" applyBorder="1" applyAlignment="1" applyProtection="1">
      <alignment horizontal="left"/>
    </xf>
    <xf numFmtId="0" fontId="8" fillId="0" borderId="33" xfId="0" applyFont="1" applyBorder="1"/>
    <xf numFmtId="0" fontId="8" fillId="4" borderId="0" xfId="0" applyFont="1" applyFill="1" applyBorder="1"/>
    <xf numFmtId="0" fontId="36" fillId="0" borderId="4" xfId="0" applyFont="1" applyBorder="1" applyAlignment="1">
      <alignment vertical="center"/>
    </xf>
    <xf numFmtId="0" fontId="8" fillId="0" borderId="10" xfId="0" applyFont="1" applyBorder="1"/>
    <xf numFmtId="0" fontId="8" fillId="0" borderId="8" xfId="0" applyFont="1" applyBorder="1"/>
    <xf numFmtId="187" fontId="8" fillId="0" borderId="0" xfId="0" applyNumberFormat="1" applyFont="1" applyAlignment="1">
      <alignment horizontal="right"/>
    </xf>
    <xf numFmtId="0" fontId="5" fillId="0" borderId="12" xfId="0" applyFont="1" applyFill="1" applyBorder="1" applyAlignment="1" applyProtection="1">
      <alignment horizontal="left"/>
    </xf>
    <xf numFmtId="0" fontId="6" fillId="0" borderId="12" xfId="0" applyFont="1" applyFill="1" applyBorder="1" applyAlignment="1" applyProtection="1">
      <alignment horizontal="left"/>
    </xf>
    <xf numFmtId="0" fontId="36" fillId="0" borderId="0" xfId="10" applyFont="1" applyBorder="1">
      <alignment vertical="center"/>
    </xf>
    <xf numFmtId="0" fontId="36" fillId="0" borderId="0" xfId="0" applyFont="1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5" fillId="0" borderId="2" xfId="0" applyFont="1" applyFill="1" applyBorder="1" applyAlignment="1" applyProtection="1"/>
    <xf numFmtId="0" fontId="5" fillId="0" borderId="3" xfId="0" applyFont="1" applyFill="1" applyBorder="1" applyAlignment="1" applyProtection="1"/>
    <xf numFmtId="0" fontId="5" fillId="0" borderId="6" xfId="0" applyFont="1" applyFill="1" applyBorder="1" applyAlignment="1" applyProtection="1"/>
    <xf numFmtId="0" fontId="5" fillId="0" borderId="10" xfId="0" applyFont="1" applyFill="1" applyBorder="1" applyAlignment="1" applyProtection="1"/>
    <xf numFmtId="0" fontId="5" fillId="0" borderId="8" xfId="0" applyFont="1" applyFill="1" applyBorder="1" applyAlignment="1" applyProtection="1"/>
    <xf numFmtId="0" fontId="5" fillId="0" borderId="9" xfId="0" applyFont="1" applyFill="1" applyBorder="1" applyAlignment="1" applyProtection="1"/>
    <xf numFmtId="0" fontId="4" fillId="0" borderId="46" xfId="0" applyFont="1" applyBorder="1" applyAlignment="1">
      <alignment horizontal="center"/>
    </xf>
    <xf numFmtId="0" fontId="5" fillId="0" borderId="7" xfId="0" applyFont="1" applyFill="1" applyBorder="1" applyAlignment="1" applyProtection="1"/>
    <xf numFmtId="0" fontId="5" fillId="0" borderId="4" xfId="0" applyFont="1" applyFill="1" applyBorder="1" applyAlignment="1" applyProtection="1"/>
    <xf numFmtId="186" fontId="8" fillId="2" borderId="34" xfId="0" applyNumberFormat="1" applyFont="1" applyFill="1" applyBorder="1" applyAlignment="1" applyProtection="1">
      <alignment horizontal="center"/>
    </xf>
    <xf numFmtId="183" fontId="8" fillId="3" borderId="0" xfId="0" applyNumberFormat="1" applyFont="1" applyFill="1" applyBorder="1" applyProtection="1">
      <protection locked="0"/>
    </xf>
    <xf numFmtId="177" fontId="8" fillId="0" borderId="8" xfId="0" applyNumberFormat="1" applyFont="1" applyFill="1" applyBorder="1" applyAlignment="1" applyProtection="1">
      <alignment horizontal="right"/>
      <protection locked="0"/>
    </xf>
    <xf numFmtId="187" fontId="8" fillId="4" borderId="0" xfId="0" applyNumberFormat="1" applyFont="1" applyFill="1" applyBorder="1"/>
    <xf numFmtId="183" fontId="8" fillId="2" borderId="27" xfId="0" quotePrefix="1" applyNumberFormat="1" applyFont="1" applyFill="1" applyBorder="1" applyAlignment="1" applyProtection="1">
      <alignment horizontal="center"/>
    </xf>
    <xf numFmtId="183" fontId="8" fillId="0" borderId="27" xfId="0" applyNumberFormat="1" applyFont="1" applyBorder="1" applyAlignment="1">
      <alignment horizontal="center"/>
    </xf>
    <xf numFmtId="0" fontId="5" fillId="0" borderId="15" xfId="0" applyFont="1" applyFill="1" applyBorder="1" applyAlignment="1" applyProtection="1">
      <alignment horizontal="left"/>
    </xf>
    <xf numFmtId="0" fontId="4" fillId="0" borderId="39" xfId="0" applyFont="1" applyBorder="1" applyAlignment="1">
      <alignment horizontal="center"/>
    </xf>
    <xf numFmtId="0" fontId="11" fillId="2" borderId="22" xfId="0" applyFont="1" applyFill="1" applyBorder="1" applyAlignment="1" applyProtection="1">
      <alignment horizontal="left"/>
    </xf>
    <xf numFmtId="0" fontId="11" fillId="2" borderId="22" xfId="0" applyFont="1" applyFill="1" applyBorder="1"/>
    <xf numFmtId="0" fontId="9" fillId="2" borderId="22" xfId="0" quotePrefix="1" applyFont="1" applyFill="1" applyBorder="1" applyAlignment="1" applyProtection="1">
      <alignment horizontal="left"/>
    </xf>
    <xf numFmtId="178" fontId="21" fillId="2" borderId="22" xfId="0" applyNumberFormat="1" applyFont="1" applyFill="1" applyBorder="1" applyProtection="1"/>
    <xf numFmtId="0" fontId="11" fillId="2" borderId="22" xfId="0" applyFont="1" applyFill="1" applyBorder="1" applyAlignment="1" applyProtection="1">
      <alignment horizontal="center"/>
    </xf>
    <xf numFmtId="0" fontId="4" fillId="0" borderId="0" xfId="0" applyFont="1" applyAlignment="1">
      <alignment horizontal="center"/>
    </xf>
    <xf numFmtId="0" fontId="4" fillId="0" borderId="51" xfId="0" applyFont="1" applyBorder="1" applyAlignment="1">
      <alignment horizontal="center"/>
    </xf>
    <xf numFmtId="0" fontId="4" fillId="0" borderId="5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47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0" fillId="0" borderId="50" xfId="0" applyBorder="1" applyAlignment="1">
      <alignment vertical="center"/>
    </xf>
    <xf numFmtId="0" fontId="36" fillId="0" borderId="52" xfId="0" applyFont="1" applyBorder="1" applyAlignment="1">
      <alignment vertical="center"/>
    </xf>
    <xf numFmtId="0" fontId="36" fillId="0" borderId="57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36" fillId="0" borderId="59" xfId="0" applyFont="1" applyBorder="1" applyAlignment="1">
      <alignment vertical="center"/>
    </xf>
    <xf numFmtId="183" fontId="4" fillId="0" borderId="4" xfId="0" applyNumberFormat="1" applyFont="1" applyBorder="1" applyAlignment="1">
      <alignment horizontal="center" vertical="center"/>
    </xf>
    <xf numFmtId="183" fontId="4" fillId="0" borderId="11" xfId="0" applyNumberFormat="1" applyFont="1" applyBorder="1" applyAlignment="1">
      <alignment horizontal="center" vertical="center"/>
    </xf>
    <xf numFmtId="2" fontId="20" fillId="0" borderId="15" xfId="0" applyNumberFormat="1" applyFont="1" applyBorder="1" applyProtection="1"/>
    <xf numFmtId="0" fontId="4" fillId="2" borderId="0" xfId="0" applyFont="1" applyFill="1" applyBorder="1" applyAlignment="1" applyProtection="1">
      <alignment horizontal="right"/>
    </xf>
    <xf numFmtId="183" fontId="8" fillId="0" borderId="0" xfId="0" applyNumberFormat="1" applyFont="1" applyBorder="1" applyProtection="1"/>
    <xf numFmtId="2" fontId="8" fillId="0" borderId="0" xfId="0" applyNumberFormat="1" applyFont="1" applyBorder="1" applyProtection="1"/>
    <xf numFmtId="2" fontId="21" fillId="2" borderId="0" xfId="0" applyNumberFormat="1" applyFont="1" applyFill="1" applyBorder="1" applyProtection="1"/>
    <xf numFmtId="2" fontId="8" fillId="2" borderId="27" xfId="0" quotePrefix="1" applyNumberFormat="1" applyFont="1" applyFill="1" applyBorder="1" applyAlignment="1" applyProtection="1">
      <alignment horizontal="center"/>
    </xf>
    <xf numFmtId="178" fontId="8" fillId="2" borderId="27" xfId="0" quotePrefix="1" applyNumberFormat="1" applyFont="1" applyFill="1" applyBorder="1" applyAlignment="1" applyProtection="1">
      <alignment horizontal="center"/>
    </xf>
    <xf numFmtId="2" fontId="8" fillId="0" borderId="0" xfId="0" applyNumberFormat="1" applyFont="1" applyFill="1" applyBorder="1" applyProtection="1">
      <protection locked="0"/>
    </xf>
    <xf numFmtId="2" fontId="11" fillId="2" borderId="0" xfId="0" applyNumberFormat="1" applyFont="1" applyFill="1" applyBorder="1" applyProtection="1"/>
    <xf numFmtId="177" fontId="4" fillId="0" borderId="0" xfId="0" applyNumberFormat="1" applyFont="1" applyBorder="1" applyProtection="1"/>
    <xf numFmtId="2" fontId="20" fillId="2" borderId="11" xfId="0" applyNumberFormat="1" applyFont="1" applyFill="1" applyBorder="1" applyAlignment="1" applyProtection="1">
      <alignment horizontal="right"/>
    </xf>
    <xf numFmtId="177" fontId="4" fillId="0" borderId="0" xfId="0" applyNumberFormat="1" applyFont="1"/>
    <xf numFmtId="2" fontId="8" fillId="2" borderId="0" xfId="0" quotePrefix="1" applyNumberFormat="1" applyFont="1" applyFill="1" applyBorder="1" applyAlignment="1" applyProtection="1">
      <alignment horizontal="center"/>
    </xf>
    <xf numFmtId="2" fontId="8" fillId="0" borderId="0" xfId="0" applyNumberFormat="1" applyFont="1" applyBorder="1" applyAlignment="1">
      <alignment horizontal="center"/>
    </xf>
    <xf numFmtId="186" fontId="8" fillId="0" borderId="0" xfId="0" applyNumberFormat="1" applyFont="1" applyFill="1" applyBorder="1" applyAlignment="1" applyProtection="1">
      <alignment horizontal="center"/>
      <protection locked="0"/>
    </xf>
    <xf numFmtId="186" fontId="8" fillId="2" borderId="0" xfId="0" applyNumberFormat="1" applyFont="1" applyFill="1" applyBorder="1" applyAlignment="1" applyProtection="1">
      <alignment horizontal="center"/>
    </xf>
    <xf numFmtId="1" fontId="8" fillId="0" borderId="0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center" vertical="center"/>
    </xf>
    <xf numFmtId="183" fontId="4" fillId="0" borderId="0" xfId="0" applyNumberFormat="1" applyFont="1" applyBorder="1" applyAlignment="1">
      <alignment horizontal="center" vertical="center"/>
    </xf>
    <xf numFmtId="183" fontId="8" fillId="2" borderId="0" xfId="0" quotePrefix="1" applyNumberFormat="1" applyFont="1" applyFill="1" applyBorder="1" applyAlignment="1" applyProtection="1">
      <alignment horizontal="center"/>
    </xf>
    <xf numFmtId="183" fontId="8" fillId="0" borderId="0" xfId="0" applyNumberFormat="1" applyFont="1" applyBorder="1" applyAlignment="1">
      <alignment horizontal="center"/>
    </xf>
    <xf numFmtId="2" fontId="20" fillId="2" borderId="0" xfId="0" applyNumberFormat="1" applyFont="1" applyFill="1" applyBorder="1" applyAlignment="1" applyProtection="1">
      <alignment horizontal="right"/>
    </xf>
    <xf numFmtId="0" fontId="4" fillId="0" borderId="13" xfId="0" applyFont="1" applyBorder="1" applyAlignment="1">
      <alignment vertical="center"/>
    </xf>
    <xf numFmtId="182" fontId="4" fillId="0" borderId="0" xfId="0" applyNumberFormat="1" applyFont="1" applyBorder="1" applyAlignment="1"/>
    <xf numFmtId="0" fontId="40" fillId="0" borderId="3" xfId="0" applyFont="1" applyBorder="1" applyAlignment="1">
      <alignment horizontal="center" vertical="center"/>
    </xf>
    <xf numFmtId="0" fontId="0" fillId="0" borderId="21" xfId="0" applyBorder="1"/>
    <xf numFmtId="0" fontId="10" fillId="0" borderId="22" xfId="0" applyFont="1" applyFill="1" applyBorder="1" applyAlignment="1" applyProtection="1">
      <alignment horizontal="left"/>
    </xf>
    <xf numFmtId="0" fontId="9" fillId="0" borderId="22" xfId="0" applyFont="1" applyFill="1" applyBorder="1" applyAlignment="1" applyProtection="1">
      <alignment horizontal="right"/>
    </xf>
    <xf numFmtId="0" fontId="9" fillId="0" borderId="22" xfId="0" applyFont="1" applyFill="1" applyBorder="1" applyAlignment="1" applyProtection="1">
      <alignment horizontal="left"/>
    </xf>
    <xf numFmtId="0" fontId="0" fillId="0" borderId="23" xfId="0" applyBorder="1"/>
    <xf numFmtId="0" fontId="4" fillId="0" borderId="14" xfId="0" applyFont="1" applyFill="1" applyBorder="1"/>
    <xf numFmtId="185" fontId="4" fillId="0" borderId="15" xfId="0" applyNumberFormat="1" applyFont="1" applyFill="1" applyBorder="1" applyAlignment="1">
      <alignment horizontal="left"/>
    </xf>
    <xf numFmtId="0" fontId="4" fillId="0" borderId="33" xfId="0" applyFont="1" applyFill="1" applyBorder="1"/>
    <xf numFmtId="0" fontId="4" fillId="0" borderId="33" xfId="0" applyFont="1" applyFill="1" applyBorder="1" applyProtection="1">
      <protection locked="0"/>
    </xf>
    <xf numFmtId="0" fontId="4" fillId="0" borderId="12" xfId="0" applyFont="1" applyFill="1" applyBorder="1" applyProtection="1">
      <protection locked="0"/>
    </xf>
    <xf numFmtId="0" fontId="4" fillId="0" borderId="12" xfId="0" applyFont="1" applyFill="1" applyBorder="1" applyAlignment="1" applyProtection="1">
      <alignment horizontal="center"/>
      <protection locked="0"/>
    </xf>
    <xf numFmtId="0" fontId="13" fillId="0" borderId="12" xfId="0" applyFont="1" applyFill="1" applyBorder="1" applyAlignment="1" applyProtection="1">
      <alignment horizontal="right"/>
      <protection locked="0"/>
    </xf>
    <xf numFmtId="2" fontId="13" fillId="0" borderId="12" xfId="0" applyNumberFormat="1" applyFont="1" applyFill="1" applyBorder="1" applyProtection="1">
      <protection locked="0"/>
    </xf>
    <xf numFmtId="2" fontId="13" fillId="0" borderId="12" xfId="0" applyNumberFormat="1" applyFont="1" applyFill="1" applyBorder="1" applyAlignment="1" applyProtection="1">
      <alignment horizontal="left"/>
      <protection locked="0"/>
    </xf>
    <xf numFmtId="0" fontId="13" fillId="0" borderId="12" xfId="0" applyFont="1" applyFill="1" applyBorder="1" applyAlignment="1" applyProtection="1">
      <alignment horizontal="right"/>
    </xf>
    <xf numFmtId="2" fontId="13" fillId="0" borderId="12" xfId="0" applyNumberFormat="1" applyFont="1" applyFill="1" applyBorder="1" applyProtection="1"/>
    <xf numFmtId="2" fontId="13" fillId="0" borderId="12" xfId="0" applyNumberFormat="1" applyFont="1" applyFill="1" applyBorder="1" applyAlignment="1" applyProtection="1">
      <alignment horizontal="left"/>
    </xf>
    <xf numFmtId="0" fontId="13" fillId="0" borderId="12" xfId="0" applyFont="1" applyFill="1" applyBorder="1" applyAlignment="1">
      <alignment horizontal="right"/>
    </xf>
    <xf numFmtId="0" fontId="8" fillId="0" borderId="12" xfId="0" quotePrefix="1" applyFont="1" applyFill="1" applyBorder="1"/>
    <xf numFmtId="0" fontId="0" fillId="0" borderId="12" xfId="0" applyFill="1" applyBorder="1" applyAlignment="1">
      <alignment horizontal="center"/>
    </xf>
    <xf numFmtId="0" fontId="0" fillId="0" borderId="12" xfId="0" applyFill="1" applyBorder="1"/>
    <xf numFmtId="0" fontId="16" fillId="0" borderId="35" xfId="0" applyFont="1" applyFill="1" applyBorder="1" applyAlignment="1">
      <alignment horizontal="right"/>
    </xf>
    <xf numFmtId="0" fontId="0" fillId="0" borderId="35" xfId="0" applyFill="1" applyBorder="1"/>
    <xf numFmtId="0" fontId="0" fillId="0" borderId="33" xfId="0" applyFill="1" applyBorder="1"/>
    <xf numFmtId="0" fontId="10" fillId="0" borderId="12" xfId="0" applyFont="1" applyFill="1" applyBorder="1" applyAlignment="1" applyProtection="1">
      <alignment horizontal="left"/>
    </xf>
    <xf numFmtId="0" fontId="4" fillId="0" borderId="17" xfId="0" applyFont="1" applyFill="1" applyBorder="1"/>
    <xf numFmtId="0" fontId="4" fillId="0" borderId="8" xfId="0" applyFont="1" applyFill="1" applyBorder="1"/>
    <xf numFmtId="185" fontId="4" fillId="0" borderId="8" xfId="0" applyNumberFormat="1" applyFont="1" applyFill="1" applyBorder="1" applyAlignment="1">
      <alignment horizontal="left"/>
    </xf>
    <xf numFmtId="0" fontId="4" fillId="0" borderId="18" xfId="0" applyFont="1" applyFill="1" applyBorder="1"/>
    <xf numFmtId="2" fontId="20" fillId="0" borderId="22" xfId="0" applyNumberFormat="1" applyFont="1" applyBorder="1" applyProtection="1"/>
    <xf numFmtId="0" fontId="8" fillId="0" borderId="0" xfId="0" applyNumberFormat="1" applyFont="1" applyFill="1" applyBorder="1" applyAlignment="1"/>
    <xf numFmtId="183" fontId="4" fillId="0" borderId="27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right"/>
    </xf>
    <xf numFmtId="2" fontId="25" fillId="0" borderId="0" xfId="0" applyNumberFormat="1" applyFont="1" applyBorder="1" applyAlignment="1" applyProtection="1">
      <alignment horizontal="right"/>
    </xf>
    <xf numFmtId="2" fontId="13" fillId="0" borderId="2" xfId="0" applyNumberFormat="1" applyFont="1" applyBorder="1" applyAlignment="1" applyProtection="1">
      <alignment vertical="center"/>
    </xf>
    <xf numFmtId="2" fontId="13" fillId="0" borderId="3" xfId="0" applyNumberFormat="1" applyFont="1" applyBorder="1" applyAlignment="1" applyProtection="1">
      <alignment vertical="center"/>
    </xf>
    <xf numFmtId="0" fontId="4" fillId="0" borderId="8" xfId="0" applyFont="1" applyBorder="1" applyAlignment="1">
      <alignment vertical="center"/>
    </xf>
    <xf numFmtId="178" fontId="13" fillId="2" borderId="3" xfId="0" applyNumberFormat="1" applyFont="1" applyFill="1" applyBorder="1" applyAlignment="1" applyProtection="1">
      <alignment vertical="center"/>
    </xf>
    <xf numFmtId="178" fontId="13" fillId="2" borderId="13" xfId="0" applyNumberFormat="1" applyFont="1" applyFill="1" applyBorder="1" applyAlignment="1" applyProtection="1">
      <alignment vertical="center"/>
    </xf>
    <xf numFmtId="2" fontId="13" fillId="0" borderId="11" xfId="0" applyNumberFormat="1" applyFont="1" applyBorder="1" applyAlignment="1" applyProtection="1">
      <alignment vertical="center"/>
    </xf>
    <xf numFmtId="2" fontId="13" fillId="0" borderId="12" xfId="0" applyNumberFormat="1" applyFont="1" applyBorder="1" applyAlignment="1" applyProtection="1">
      <alignment vertical="center"/>
    </xf>
    <xf numFmtId="0" fontId="4" fillId="0" borderId="12" xfId="0" applyFont="1" applyBorder="1" applyAlignment="1">
      <alignment vertical="center"/>
    </xf>
    <xf numFmtId="178" fontId="13" fillId="2" borderId="12" xfId="0" applyNumberFormat="1" applyFont="1" applyFill="1" applyBorder="1" applyAlignment="1" applyProtection="1">
      <alignment vertical="center"/>
    </xf>
    <xf numFmtId="177" fontId="13" fillId="0" borderId="11" xfId="0" applyNumberFormat="1" applyFont="1" applyBorder="1" applyAlignment="1" applyProtection="1">
      <alignment vertical="center"/>
    </xf>
    <xf numFmtId="177" fontId="13" fillId="0" borderId="12" xfId="0" applyNumberFormat="1" applyFont="1" applyBorder="1" applyAlignment="1" applyProtection="1">
      <alignment vertical="center"/>
    </xf>
    <xf numFmtId="1" fontId="20" fillId="0" borderId="0" xfId="0" applyNumberFormat="1" applyFont="1" applyBorder="1" applyAlignment="1" applyProtection="1"/>
    <xf numFmtId="2" fontId="20" fillId="0" borderId="11" xfId="0" applyNumberFormat="1" applyFont="1" applyBorder="1" applyAlignment="1" applyProtection="1">
      <alignment horizontal="center"/>
    </xf>
    <xf numFmtId="0" fontId="13" fillId="2" borderId="22" xfId="0" applyFont="1" applyFill="1" applyBorder="1" applyAlignment="1" applyProtection="1">
      <alignment horizontal="right"/>
    </xf>
    <xf numFmtId="2" fontId="13" fillId="2" borderId="22" xfId="0" applyNumberFormat="1" applyFont="1" applyFill="1" applyBorder="1" applyProtection="1"/>
    <xf numFmtId="2" fontId="13" fillId="2" borderId="22" xfId="0" applyNumberFormat="1" applyFont="1" applyFill="1" applyBorder="1" applyAlignment="1" applyProtection="1">
      <alignment horizontal="left"/>
    </xf>
    <xf numFmtId="0" fontId="13" fillId="2" borderId="22" xfId="0" applyFont="1" applyFill="1" applyBorder="1" applyAlignment="1">
      <alignment horizontal="right"/>
    </xf>
    <xf numFmtId="9" fontId="4" fillId="0" borderId="22" xfId="0" applyNumberFormat="1" applyFont="1" applyBorder="1" applyAlignment="1">
      <alignment horizontal="right"/>
    </xf>
    <xf numFmtId="185" fontId="4" fillId="0" borderId="22" xfId="0" applyNumberFormat="1" applyFont="1" applyBorder="1" applyAlignment="1">
      <alignment horizontal="left"/>
    </xf>
    <xf numFmtId="178" fontId="4" fillId="0" borderId="22" xfId="0" applyNumberFormat="1" applyFont="1" applyBorder="1" applyAlignment="1">
      <alignment horizontal="left"/>
    </xf>
    <xf numFmtId="189" fontId="6" fillId="3" borderId="0" xfId="0" applyNumberFormat="1" applyFont="1" applyFill="1" applyBorder="1" applyProtection="1">
      <protection locked="0"/>
    </xf>
    <xf numFmtId="177" fontId="4" fillId="0" borderId="12" xfId="0" applyNumberFormat="1" applyFont="1" applyBorder="1"/>
    <xf numFmtId="0" fontId="41" fillId="0" borderId="0" xfId="0" applyFont="1" applyBorder="1"/>
    <xf numFmtId="0" fontId="42" fillId="0" borderId="5" xfId="0" applyFont="1" applyBorder="1" applyAlignment="1">
      <alignment horizontal="center" vertical="center"/>
    </xf>
    <xf numFmtId="0" fontId="11" fillId="2" borderId="0" xfId="0" applyFont="1" applyFill="1" applyBorder="1" applyAlignment="1"/>
    <xf numFmtId="0" fontId="11" fillId="2" borderId="0" xfId="0" applyFont="1" applyFill="1" applyBorder="1" applyAlignment="1" applyProtection="1"/>
    <xf numFmtId="0" fontId="23" fillId="0" borderId="0" xfId="0" applyFont="1" applyBorder="1"/>
    <xf numFmtId="0" fontId="45" fillId="0" borderId="0" xfId="0" applyFont="1" applyFill="1" applyBorder="1" applyAlignment="1" applyProtection="1">
      <alignment horizontal="left"/>
    </xf>
    <xf numFmtId="2" fontId="20" fillId="0" borderId="0" xfId="0" applyNumberFormat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0" fontId="8" fillId="4" borderId="0" xfId="0" applyFont="1" applyFill="1" applyBorder="1" applyProtection="1"/>
    <xf numFmtId="0" fontId="4" fillId="0" borderId="21" xfId="0" applyFont="1" applyBorder="1"/>
    <xf numFmtId="0" fontId="4" fillId="0" borderId="43" xfId="0" applyFont="1" applyBorder="1"/>
    <xf numFmtId="0" fontId="8" fillId="4" borderId="22" xfId="0" applyFont="1" applyFill="1" applyBorder="1" applyAlignment="1">
      <alignment horizontal="right" vertical="center"/>
    </xf>
    <xf numFmtId="0" fontId="8" fillId="4" borderId="22" xfId="0" applyFont="1" applyFill="1" applyBorder="1" applyAlignment="1">
      <alignment horizontal="right" vertical="top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2" fontId="4" fillId="0" borderId="11" xfId="0" applyNumberFormat="1" applyFont="1" applyBorder="1" applyAlignment="1">
      <alignment horizontal="center" vertical="center"/>
    </xf>
    <xf numFmtId="183" fontId="4" fillId="0" borderId="11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2" fontId="4" fillId="0" borderId="12" xfId="0" applyNumberFormat="1" applyFont="1" applyBorder="1" applyAlignment="1">
      <alignment horizontal="center" vertical="center"/>
    </xf>
    <xf numFmtId="2" fontId="4" fillId="0" borderId="13" xfId="0" applyNumberFormat="1" applyFont="1" applyBorder="1" applyAlignment="1">
      <alignment horizontal="center" vertical="center"/>
    </xf>
    <xf numFmtId="177" fontId="4" fillId="0" borderId="0" xfId="0" applyNumberFormat="1" applyFont="1" applyBorder="1" applyAlignment="1">
      <alignment horizontal="right"/>
    </xf>
    <xf numFmtId="0" fontId="5" fillId="2" borderId="11" xfId="0" applyNumberFormat="1" applyFont="1" applyFill="1" applyBorder="1" applyAlignment="1" applyProtection="1">
      <alignment horizontal="center"/>
    </xf>
    <xf numFmtId="0" fontId="5" fillId="2" borderId="12" xfId="0" applyNumberFormat="1" applyFont="1" applyFill="1" applyBorder="1" applyAlignment="1" applyProtection="1">
      <alignment horizontal="center"/>
    </xf>
    <xf numFmtId="0" fontId="5" fillId="2" borderId="13" xfId="0" applyNumberFormat="1" applyFont="1" applyFill="1" applyBorder="1" applyAlignment="1" applyProtection="1">
      <alignment horizontal="center"/>
    </xf>
    <xf numFmtId="0" fontId="4" fillId="0" borderId="11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2" fontId="4" fillId="0" borderId="11" xfId="0" quotePrefix="1" applyNumberFormat="1" applyFont="1" applyBorder="1" applyAlignment="1">
      <alignment horizontal="center" vertical="center"/>
    </xf>
    <xf numFmtId="178" fontId="18" fillId="0" borderId="11" xfId="0" applyNumberFormat="1" applyFont="1" applyBorder="1" applyAlignment="1">
      <alignment horizontal="center" vertical="center"/>
    </xf>
    <xf numFmtId="178" fontId="18" fillId="0" borderId="13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18" fillId="0" borderId="27" xfId="0" applyFont="1" applyBorder="1" applyAlignment="1">
      <alignment horizontal="center" vertical="center"/>
    </xf>
    <xf numFmtId="178" fontId="18" fillId="0" borderId="10" xfId="0" applyNumberFormat="1" applyFont="1" applyBorder="1" applyAlignment="1">
      <alignment horizontal="center" vertical="center"/>
    </xf>
    <xf numFmtId="178" fontId="18" fillId="0" borderId="9" xfId="0" applyNumberFormat="1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/>
    </xf>
    <xf numFmtId="183" fontId="4" fillId="0" borderId="27" xfId="0" applyNumberFormat="1" applyFont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186" fontId="8" fillId="0" borderId="11" xfId="0" applyNumberFormat="1" applyFont="1" applyFill="1" applyBorder="1" applyAlignment="1" applyProtection="1">
      <alignment horizontal="center"/>
      <protection locked="0"/>
    </xf>
    <xf numFmtId="186" fontId="8" fillId="0" borderId="13" xfId="0" applyNumberFormat="1" applyFont="1" applyFill="1" applyBorder="1" applyAlignment="1" applyProtection="1">
      <alignment horizontal="center"/>
      <protection locked="0"/>
    </xf>
    <xf numFmtId="177" fontId="8" fillId="0" borderId="27" xfId="0" applyNumberFormat="1" applyFont="1" applyBorder="1" applyAlignment="1">
      <alignment horizontal="center" vertical="center"/>
    </xf>
    <xf numFmtId="177" fontId="4" fillId="0" borderId="27" xfId="0" applyNumberFormat="1" applyFont="1" applyBorder="1" applyAlignment="1">
      <alignment horizontal="center" vertical="center"/>
    </xf>
    <xf numFmtId="0" fontId="4" fillId="0" borderId="34" xfId="0" applyFont="1" applyBorder="1" applyAlignment="1">
      <alignment horizontal="center" vertical="top"/>
    </xf>
    <xf numFmtId="0" fontId="29" fillId="0" borderId="11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1" fontId="8" fillId="0" borderId="27" xfId="0" applyNumberFormat="1" applyFont="1" applyBorder="1" applyAlignment="1">
      <alignment horizontal="center" vertical="center"/>
    </xf>
    <xf numFmtId="0" fontId="5" fillId="0" borderId="2" xfId="0" applyFont="1" applyFill="1" applyBorder="1" applyAlignment="1" applyProtection="1">
      <alignment horizontal="center"/>
    </xf>
    <xf numFmtId="0" fontId="5" fillId="0" borderId="3" xfId="0" applyFont="1" applyFill="1" applyBorder="1" applyAlignment="1" applyProtection="1">
      <alignment horizontal="center"/>
    </xf>
    <xf numFmtId="0" fontId="5" fillId="0" borderId="6" xfId="0" applyFont="1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5" fillId="0" borderId="7" xfId="0" applyFont="1" applyFill="1" applyBorder="1" applyAlignment="1" applyProtection="1">
      <alignment horizontal="center"/>
    </xf>
    <xf numFmtId="0" fontId="5" fillId="0" borderId="10" xfId="0" applyFont="1" applyFill="1" applyBorder="1" applyAlignment="1" applyProtection="1">
      <alignment horizontal="center"/>
    </xf>
    <xf numFmtId="0" fontId="5" fillId="0" borderId="8" xfId="0" applyFont="1" applyFill="1" applyBorder="1" applyAlignment="1" applyProtection="1">
      <alignment horizontal="center"/>
    </xf>
    <xf numFmtId="0" fontId="5" fillId="0" borderId="9" xfId="0" applyFont="1" applyFill="1" applyBorder="1" applyAlignment="1" applyProtection="1">
      <alignment horizontal="center"/>
    </xf>
    <xf numFmtId="0" fontId="4" fillId="0" borderId="27" xfId="0" quotePrefix="1" applyFont="1" applyBorder="1" applyAlignment="1">
      <alignment horizontal="center" vertical="center"/>
    </xf>
    <xf numFmtId="183" fontId="8" fillId="0" borderId="27" xfId="0" applyNumberFormat="1" applyFont="1" applyBorder="1" applyAlignment="1">
      <alignment horizontal="center" vertical="center"/>
    </xf>
    <xf numFmtId="177" fontId="4" fillId="0" borderId="11" xfId="0" applyNumberFormat="1" applyFont="1" applyBorder="1" applyAlignment="1">
      <alignment horizontal="center" vertical="center"/>
    </xf>
    <xf numFmtId="177" fontId="4" fillId="0" borderId="13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86" fontId="8" fillId="2" borderId="11" xfId="0" applyNumberFormat="1" applyFont="1" applyFill="1" applyBorder="1" applyAlignment="1" applyProtection="1">
      <alignment horizontal="center"/>
    </xf>
    <xf numFmtId="186" fontId="8" fillId="2" borderId="13" xfId="0" applyNumberFormat="1" applyFont="1" applyFill="1" applyBorder="1" applyAlignment="1" applyProtection="1">
      <alignment horizontal="center"/>
    </xf>
    <xf numFmtId="189" fontId="4" fillId="0" borderId="7" xfId="0" applyNumberFormat="1" applyFont="1" applyBorder="1" applyAlignment="1">
      <alignment horizontal="center" vertical="center"/>
    </xf>
    <xf numFmtId="189" fontId="4" fillId="0" borderId="58" xfId="0" applyNumberFormat="1" applyFont="1" applyBorder="1" applyAlignment="1">
      <alignment horizontal="center" vertical="center"/>
    </xf>
    <xf numFmtId="189" fontId="4" fillId="0" borderId="4" xfId="0" applyNumberFormat="1" applyFont="1" applyBorder="1" applyAlignment="1">
      <alignment horizontal="center" vertical="center"/>
    </xf>
    <xf numFmtId="0" fontId="4" fillId="0" borderId="2" xfId="0" quotePrefix="1" applyFont="1" applyBorder="1" applyAlignment="1">
      <alignment horizontal="center" vertical="center"/>
    </xf>
    <xf numFmtId="0" fontId="4" fillId="0" borderId="6" xfId="0" quotePrefix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58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4" fillId="0" borderId="48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/>
    </xf>
    <xf numFmtId="183" fontId="4" fillId="0" borderId="4" xfId="0" applyNumberFormat="1" applyFont="1" applyBorder="1" applyAlignment="1">
      <alignment horizontal="center" vertical="center"/>
    </xf>
    <xf numFmtId="183" fontId="4" fillId="0" borderId="7" xfId="0" applyNumberFormat="1" applyFont="1" applyBorder="1" applyAlignment="1">
      <alignment horizontal="center" vertical="center"/>
    </xf>
    <xf numFmtId="183" fontId="4" fillId="0" borderId="13" xfId="0" applyNumberFormat="1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0" borderId="56" xfId="0" applyFont="1" applyBorder="1" applyAlignment="1">
      <alignment horizontal="center" vertical="center"/>
    </xf>
    <xf numFmtId="0" fontId="4" fillId="5" borderId="12" xfId="0" applyFont="1" applyFill="1" applyBorder="1" applyAlignment="1">
      <alignment horizontal="center"/>
    </xf>
    <xf numFmtId="178" fontId="4" fillId="0" borderId="10" xfId="0" applyNumberFormat="1" applyFont="1" applyBorder="1" applyAlignment="1">
      <alignment horizontal="center" vertical="center"/>
    </xf>
    <xf numFmtId="178" fontId="4" fillId="0" borderId="9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40" fillId="0" borderId="19" xfId="0" applyFont="1" applyBorder="1" applyAlignment="1">
      <alignment horizontal="center" vertical="center"/>
    </xf>
    <xf numFmtId="0" fontId="40" fillId="0" borderId="0" xfId="0" applyFont="1" applyBorder="1" applyAlignment="1">
      <alignment horizontal="center" vertical="center"/>
    </xf>
    <xf numFmtId="0" fontId="40" fillId="0" borderId="7" xfId="0" applyFont="1" applyBorder="1" applyAlignment="1">
      <alignment horizontal="center" vertical="center"/>
    </xf>
    <xf numFmtId="2" fontId="8" fillId="3" borderId="3" xfId="0" applyNumberFormat="1" applyFont="1" applyFill="1" applyBorder="1" applyAlignment="1" applyProtection="1">
      <alignment horizontal="center"/>
      <protection locked="0"/>
    </xf>
    <xf numFmtId="2" fontId="8" fillId="3" borderId="6" xfId="0" applyNumberFormat="1" applyFont="1" applyFill="1" applyBorder="1" applyAlignment="1" applyProtection="1">
      <alignment horizontal="center"/>
      <protection locked="0"/>
    </xf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8" fillId="3" borderId="7" xfId="0" applyNumberFormat="1" applyFont="1" applyFill="1" applyBorder="1" applyAlignment="1" applyProtection="1">
      <alignment horizontal="center"/>
      <protection locked="0"/>
    </xf>
    <xf numFmtId="177" fontId="8" fillId="3" borderId="3" xfId="0" applyNumberFormat="1" applyFont="1" applyFill="1" applyBorder="1" applyAlignment="1" applyProtection="1">
      <alignment horizontal="center"/>
      <protection locked="0"/>
    </xf>
    <xf numFmtId="0" fontId="43" fillId="0" borderId="11" xfId="0" applyFont="1" applyBorder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1" fontId="8" fillId="3" borderId="0" xfId="0" applyNumberFormat="1" applyFont="1" applyFill="1" applyBorder="1" applyAlignment="1" applyProtection="1">
      <alignment horizontal="right"/>
      <protection locked="0"/>
    </xf>
    <xf numFmtId="177" fontId="8" fillId="3" borderId="3" xfId="0" applyNumberFormat="1" applyFont="1" applyFill="1" applyBorder="1" applyAlignment="1" applyProtection="1">
      <alignment horizontal="right"/>
      <protection locked="0"/>
    </xf>
    <xf numFmtId="2" fontId="8" fillId="3" borderId="0" xfId="0" applyNumberFormat="1" applyFont="1" applyFill="1" applyBorder="1" applyAlignment="1" applyProtection="1">
      <alignment horizontal="right"/>
      <protection locked="0"/>
    </xf>
    <xf numFmtId="183" fontId="8" fillId="3" borderId="0" xfId="0" applyNumberFormat="1" applyFont="1" applyFill="1" applyBorder="1" applyAlignment="1" applyProtection="1">
      <alignment horizontal="right"/>
      <protection locked="0"/>
    </xf>
    <xf numFmtId="0" fontId="8" fillId="4" borderId="3" xfId="0" applyFont="1" applyFill="1" applyBorder="1" applyAlignment="1">
      <alignment horizontal="center" shrinkToFit="1"/>
    </xf>
    <xf numFmtId="0" fontId="8" fillId="4" borderId="41" xfId="0" applyFont="1" applyFill="1" applyBorder="1" applyAlignment="1">
      <alignment horizontal="center" shrinkToFit="1"/>
    </xf>
    <xf numFmtId="177" fontId="8" fillId="3" borderId="0" xfId="0" applyNumberFormat="1" applyFont="1" applyFill="1" applyBorder="1" applyAlignment="1" applyProtection="1">
      <alignment horizontal="right"/>
      <protection locked="0"/>
    </xf>
    <xf numFmtId="177" fontId="8" fillId="0" borderId="0" xfId="0" applyNumberFormat="1" applyFont="1" applyFill="1" applyBorder="1" applyAlignment="1" applyProtection="1">
      <alignment horizontal="right"/>
      <protection locked="0"/>
    </xf>
    <xf numFmtId="0" fontId="43" fillId="0" borderId="27" xfId="0" applyFont="1" applyBorder="1" applyAlignment="1">
      <alignment horizontal="center" vertical="center"/>
    </xf>
    <xf numFmtId="2" fontId="8" fillId="4" borderId="22" xfId="0" applyNumberFormat="1" applyFont="1" applyFill="1" applyBorder="1" applyAlignment="1" applyProtection="1">
      <alignment horizontal="right"/>
      <protection locked="0"/>
    </xf>
    <xf numFmtId="0" fontId="0" fillId="0" borderId="22" xfId="0" applyBorder="1" applyAlignment="1">
      <alignment horizontal="right"/>
    </xf>
    <xf numFmtId="1" fontId="6" fillId="3" borderId="0" xfId="0" applyNumberFormat="1" applyFont="1" applyFill="1" applyBorder="1" applyAlignment="1" applyProtection="1">
      <alignment horizontal="right"/>
      <protection locked="0"/>
    </xf>
    <xf numFmtId="188" fontId="8" fillId="3" borderId="0" xfId="0" applyNumberFormat="1" applyFont="1" applyFill="1" applyBorder="1" applyAlignment="1" applyProtection="1">
      <alignment horizontal="right"/>
      <protection locked="0"/>
    </xf>
    <xf numFmtId="177" fontId="8" fillId="3" borderId="8" xfId="0" applyNumberFormat="1" applyFont="1" applyFill="1" applyBorder="1" applyAlignment="1" applyProtection="1">
      <alignment horizontal="right"/>
      <protection locked="0"/>
    </xf>
    <xf numFmtId="178" fontId="6" fillId="3" borderId="3" xfId="0" applyNumberFormat="1" applyFont="1" applyFill="1" applyBorder="1" applyAlignment="1" applyProtection="1">
      <alignment horizontal="right"/>
      <protection locked="0"/>
    </xf>
    <xf numFmtId="2" fontId="6" fillId="3" borderId="8" xfId="0" applyNumberFormat="1" applyFont="1" applyFill="1" applyBorder="1" applyAlignment="1" applyProtection="1">
      <alignment horizontal="right"/>
      <protection locked="0"/>
    </xf>
    <xf numFmtId="2" fontId="8" fillId="3" borderId="3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78" fontId="8" fillId="3" borderId="0" xfId="0" applyNumberFormat="1" applyFont="1" applyFill="1" applyBorder="1" applyAlignment="1" applyProtection="1">
      <alignment horizontal="right"/>
      <protection locked="0"/>
    </xf>
    <xf numFmtId="0" fontId="8" fillId="4" borderId="3" xfId="0" applyFont="1" applyFill="1" applyBorder="1" applyAlignment="1">
      <alignment horizontal="center"/>
    </xf>
    <xf numFmtId="0" fontId="8" fillId="4" borderId="41" xfId="0" applyFont="1" applyFill="1" applyBorder="1" applyAlignment="1">
      <alignment horizontal="center"/>
    </xf>
    <xf numFmtId="177" fontId="6" fillId="3" borderId="0" xfId="0" applyNumberFormat="1" applyFont="1" applyFill="1" applyBorder="1" applyAlignment="1" applyProtection="1">
      <alignment horizontal="right"/>
      <protection locked="0"/>
    </xf>
    <xf numFmtId="183" fontId="6" fillId="3" borderId="0" xfId="0" applyNumberFormat="1" applyFont="1" applyFill="1" applyBorder="1" applyAlignment="1" applyProtection="1">
      <alignment horizontal="right"/>
      <protection locked="0"/>
    </xf>
    <xf numFmtId="177" fontId="6" fillId="3" borderId="8" xfId="0" applyNumberFormat="1" applyFont="1" applyFill="1" applyBorder="1" applyAlignment="1" applyProtection="1">
      <alignment horizontal="right"/>
      <protection locked="0"/>
    </xf>
    <xf numFmtId="188" fontId="4" fillId="0" borderId="27" xfId="0" applyNumberFormat="1" applyFont="1" applyBorder="1" applyAlignment="1">
      <alignment horizontal="center" vertical="center"/>
    </xf>
  </cellXfs>
  <cellStyles count="11">
    <cellStyle name="Comma" xfId="1" xr:uid="{00000000-0005-0000-0000-000000000000}"/>
    <cellStyle name="Currency" xfId="2" xr:uid="{00000000-0005-0000-0000-000001000000}"/>
    <cellStyle name="Date" xfId="3" xr:uid="{00000000-0005-0000-0000-000002000000}"/>
    <cellStyle name="Fixed" xfId="4" xr:uid="{00000000-0005-0000-0000-000003000000}"/>
    <cellStyle name="Heading1" xfId="5" xr:uid="{00000000-0005-0000-0000-000004000000}"/>
    <cellStyle name="Heading2" xfId="6" xr:uid="{00000000-0005-0000-0000-000005000000}"/>
    <cellStyle name="Percent" xfId="7" xr:uid="{00000000-0005-0000-0000-000006000000}"/>
    <cellStyle name="Total" xfId="8" xr:uid="{00000000-0005-0000-0000-000007000000}"/>
    <cellStyle name="백분율" xfId="9" builtinId="5"/>
    <cellStyle name="표준" xfId="0" builtinId="0"/>
    <cellStyle name="표준 3" xfId="10" xr:uid="{2ED7F5E4-84EC-4C56-8FAC-613BD13DC10D}"/>
  </cellStyles>
  <dxfs count="2">
    <dxf>
      <fill>
        <patternFill patternType="none">
          <bgColor auto="1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124240</xdr:colOff>
      <xdr:row>2</xdr:row>
      <xdr:rowOff>4554</xdr:rowOff>
    </xdr:from>
    <xdr:to>
      <xdr:col>11</xdr:col>
      <xdr:colOff>289503</xdr:colOff>
      <xdr:row>4</xdr:row>
      <xdr:rowOff>66261</xdr:rowOff>
    </xdr:to>
    <xdr:grpSp>
      <xdr:nvGrpSpPr>
        <xdr:cNvPr id="5" name="그룹 1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>
          <a:grpSpLocks/>
        </xdr:cNvGrpSpPr>
      </xdr:nvGrpSpPr>
      <xdr:grpSpPr bwMode="auto">
        <a:xfrm>
          <a:off x="1087946" y="396760"/>
          <a:ext cx="3000351" cy="465119"/>
          <a:chOff x="8613040" y="2332547"/>
          <a:chExt cx="2152822" cy="413488"/>
        </a:xfrm>
      </xdr:grpSpPr>
      <xdr:pic>
        <xdr:nvPicPr>
          <xdr:cNvPr id="6" name="Picture 7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8986367" y="2581883"/>
            <a:ext cx="1779495" cy="115586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  <xdr:pic>
        <xdr:nvPicPr>
          <xdr:cNvPr id="7" name="Picture 1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/>
          <a:stretch>
            <a:fillRect/>
          </a:stretch>
        </xdr:blipFill>
        <xdr:spPr bwMode="auto">
          <a:xfrm>
            <a:off x="8613040" y="2332547"/>
            <a:ext cx="368831" cy="413488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161925</xdr:rowOff>
        </xdr:from>
        <xdr:to>
          <xdr:col>20</xdr:col>
          <xdr:colOff>142875</xdr:colOff>
          <xdr:row>11</xdr:row>
          <xdr:rowOff>47625</xdr:rowOff>
        </xdr:to>
        <xdr:sp macro="" textlink="">
          <xdr:nvSpPr>
            <xdr:cNvPr id="1046" name="ComboBox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86140</xdr:colOff>
      <xdr:row>63</xdr:row>
      <xdr:rowOff>61704</xdr:rowOff>
    </xdr:from>
    <xdr:to>
      <xdr:col>11</xdr:col>
      <xdr:colOff>251403</xdr:colOff>
      <xdr:row>65</xdr:row>
      <xdr:rowOff>123411</xdr:rowOff>
    </xdr:to>
    <xdr:grpSp>
      <xdr:nvGrpSpPr>
        <xdr:cNvPr id="11" name="그룹 14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>
          <a:grpSpLocks/>
        </xdr:cNvGrpSpPr>
      </xdr:nvGrpSpPr>
      <xdr:grpSpPr bwMode="auto">
        <a:xfrm>
          <a:off x="1049846" y="12018380"/>
          <a:ext cx="3000351" cy="465119"/>
          <a:chOff x="8613040" y="2332547"/>
          <a:chExt cx="2152822" cy="413488"/>
        </a:xfrm>
      </xdr:grpSpPr>
      <xdr:pic>
        <xdr:nvPicPr>
          <xdr:cNvPr id="12" name="Picture 7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8986367" y="2581883"/>
            <a:ext cx="1779495" cy="115586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  <xdr:pic>
        <xdr:nvPicPr>
          <xdr:cNvPr id="13" name="Picture 1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/>
          <a:stretch>
            <a:fillRect/>
          </a:stretch>
        </xdr:blipFill>
        <xdr:spPr bwMode="auto">
          <a:xfrm>
            <a:off x="8613040" y="2332547"/>
            <a:ext cx="368831" cy="413488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</xdr:grpSp>
    <xdr:clientData/>
  </xdr:twoCellAnchor>
  <xdr:twoCellAnchor>
    <xdr:from>
      <xdr:col>4</xdr:col>
      <xdr:colOff>86140</xdr:colOff>
      <xdr:row>124</xdr:row>
      <xdr:rowOff>61704</xdr:rowOff>
    </xdr:from>
    <xdr:to>
      <xdr:col>11</xdr:col>
      <xdr:colOff>251403</xdr:colOff>
      <xdr:row>126</xdr:row>
      <xdr:rowOff>123411</xdr:rowOff>
    </xdr:to>
    <xdr:grpSp>
      <xdr:nvGrpSpPr>
        <xdr:cNvPr id="9" name="그룹 14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049846" y="23470792"/>
          <a:ext cx="3000351" cy="465119"/>
          <a:chOff x="8613040" y="2332547"/>
          <a:chExt cx="2152822" cy="413488"/>
        </a:xfrm>
      </xdr:grpSpPr>
      <xdr:pic>
        <xdr:nvPicPr>
          <xdr:cNvPr id="10" name="Picture 7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8986367" y="2581883"/>
            <a:ext cx="1779495" cy="115586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  <xdr:pic>
        <xdr:nvPicPr>
          <xdr:cNvPr id="14" name="Picture 1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/>
          <a:srcRect/>
          <a:stretch>
            <a:fillRect/>
          </a:stretch>
        </xdr:blipFill>
        <xdr:spPr bwMode="auto">
          <a:xfrm>
            <a:off x="8613040" y="2332547"/>
            <a:ext cx="368831" cy="413488"/>
          </a:xfrm>
          <a:prstGeom prst="rect">
            <a:avLst/>
          </a:prstGeom>
          <a:noFill/>
          <a:ln w="1">
            <a:noFill/>
            <a:miter lim="800000"/>
            <a:headEnd/>
            <a:tailEnd/>
          </a:ln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syncVertical="1" syncRef="A1" transitionEvaluation="1" codeName="Sheet1">
    <pageSetUpPr fitToPage="1"/>
  </sheetPr>
  <dimension ref="A1:AZ195"/>
  <sheetViews>
    <sheetView showGridLines="0" tabSelected="1" view="pageBreakPreview" zoomScale="85" zoomScaleNormal="70" zoomScaleSheetLayoutView="85" workbookViewId="0">
      <selection activeCell="T78" sqref="T78"/>
    </sheetView>
  </sheetViews>
  <sheetFormatPr defaultColWidth="9.625" defaultRowHeight="14.25"/>
  <cols>
    <col min="1" max="2" width="3.625" customWidth="1"/>
    <col min="3" max="4" width="2.625" customWidth="1"/>
    <col min="5" max="6" width="3.125" customWidth="1"/>
    <col min="7" max="7" width="1.375" style="47" customWidth="1"/>
    <col min="8" max="8" width="7.625" customWidth="1"/>
    <col min="10" max="10" width="11.125" customWidth="1"/>
    <col min="11" max="11" width="1.375" customWidth="1"/>
    <col min="12" max="12" width="10.625" customWidth="1"/>
    <col min="13" max="14" width="8.625" customWidth="1"/>
    <col min="15" max="16" width="5.625" customWidth="1"/>
    <col min="17" max="17" width="7.125" customWidth="1"/>
    <col min="18" max="18" width="4.625" customWidth="1"/>
    <col min="19" max="19" width="1.375" style="47" customWidth="1"/>
    <col min="20" max="20" width="3.125" style="47" customWidth="1"/>
    <col min="21" max="21" width="4.625" customWidth="1"/>
    <col min="22" max="22" width="4.125" customWidth="1"/>
    <col min="23" max="24" width="2.625" customWidth="1"/>
    <col min="25" max="25" width="3.625" customWidth="1"/>
    <col min="26" max="26" width="9.625" hidden="1" customWidth="1"/>
    <col min="27" max="27" width="5.625" customWidth="1"/>
    <col min="28" max="28" width="3.625" customWidth="1"/>
    <col min="29" max="30" width="2.625" customWidth="1"/>
    <col min="31" max="32" width="3.125" customWidth="1"/>
    <col min="33" max="33" width="1.375" customWidth="1"/>
    <col min="34" max="34" width="7.625" customWidth="1"/>
    <col min="36" max="36" width="10.625" customWidth="1"/>
    <col min="37" max="37" width="1.375" customWidth="1"/>
    <col min="39" max="40" width="8.625" customWidth="1"/>
    <col min="41" max="42" width="5.625" customWidth="1"/>
    <col min="43" max="43" width="6.625" customWidth="1"/>
    <col min="44" max="44" width="4.625" customWidth="1"/>
    <col min="45" max="45" width="1.375" customWidth="1"/>
    <col min="46" max="46" width="3.125" customWidth="1"/>
    <col min="47" max="47" width="4.625" customWidth="1"/>
    <col min="48" max="48" width="3.125" customWidth="1"/>
    <col min="49" max="50" width="2.625" customWidth="1"/>
    <col min="51" max="51" width="3.625" customWidth="1"/>
  </cols>
  <sheetData>
    <row r="1" spans="2:50" ht="15" thickBot="1"/>
    <row r="2" spans="2:50" s="1" customFormat="1" ht="15.75" customHeight="1">
      <c r="C2" s="436"/>
      <c r="D2" s="437"/>
      <c r="E2" s="437"/>
      <c r="F2" s="437"/>
      <c r="G2" s="437"/>
      <c r="H2" s="437"/>
      <c r="I2" s="437"/>
      <c r="J2" s="437"/>
      <c r="K2" s="437"/>
      <c r="L2" s="438"/>
      <c r="M2" s="159"/>
      <c r="N2" s="154"/>
      <c r="O2" s="154"/>
      <c r="P2" s="154"/>
      <c r="Q2" s="154" t="s">
        <v>114</v>
      </c>
      <c r="R2" s="154"/>
      <c r="S2" s="155"/>
      <c r="T2" s="181">
        <v>1</v>
      </c>
      <c r="U2" s="155" t="s">
        <v>115</v>
      </c>
      <c r="V2" s="181">
        <v>3</v>
      </c>
      <c r="W2" s="156"/>
      <c r="X2" s="157"/>
    </row>
    <row r="3" spans="2:50" s="1" customFormat="1" ht="15.75" customHeight="1">
      <c r="C3" s="439"/>
      <c r="D3" s="440"/>
      <c r="E3" s="440"/>
      <c r="F3" s="440"/>
      <c r="G3" s="440"/>
      <c r="H3" s="440"/>
      <c r="I3" s="440"/>
      <c r="J3" s="440"/>
      <c r="K3" s="440"/>
      <c r="L3" s="441"/>
      <c r="M3" s="163" t="s">
        <v>109</v>
      </c>
      <c r="N3" s="163"/>
      <c r="O3" s="433"/>
      <c r="P3" s="433"/>
      <c r="Q3" s="433"/>
      <c r="R3" s="433"/>
      <c r="S3" s="433"/>
      <c r="T3" s="433"/>
      <c r="U3" s="433"/>
      <c r="V3" s="433"/>
      <c r="W3" s="433"/>
      <c r="X3" s="176"/>
    </row>
    <row r="4" spans="2:50" s="1" customFormat="1" ht="15.75" customHeight="1">
      <c r="C4" s="439"/>
      <c r="D4" s="440"/>
      <c r="E4" s="440"/>
      <c r="F4" s="440"/>
      <c r="G4" s="440"/>
      <c r="H4" s="440"/>
      <c r="I4" s="440"/>
      <c r="J4" s="440"/>
      <c r="K4" s="440"/>
      <c r="L4" s="441"/>
      <c r="M4" s="163" t="s">
        <v>110</v>
      </c>
      <c r="N4" s="163"/>
      <c r="O4" s="433"/>
      <c r="P4" s="433"/>
      <c r="Q4" s="433"/>
      <c r="R4" s="433"/>
      <c r="S4" s="433"/>
      <c r="T4" s="433"/>
      <c r="U4" s="433"/>
      <c r="V4" s="433"/>
      <c r="W4" s="433"/>
      <c r="X4" s="165"/>
    </row>
    <row r="5" spans="2:50" s="1" customFormat="1" ht="15.75" customHeight="1">
      <c r="C5" s="160"/>
      <c r="D5" s="161"/>
      <c r="E5" s="161"/>
      <c r="F5" s="190"/>
      <c r="G5" s="161"/>
      <c r="H5" s="161"/>
      <c r="I5" s="161"/>
      <c r="J5" s="161"/>
      <c r="K5" s="161"/>
      <c r="L5" s="162"/>
      <c r="M5" s="163" t="s">
        <v>111</v>
      </c>
      <c r="N5" s="163"/>
      <c r="O5" s="433"/>
      <c r="P5" s="433"/>
      <c r="Q5" s="433"/>
      <c r="R5" s="433"/>
      <c r="S5" s="433"/>
      <c r="T5" s="433"/>
      <c r="U5" s="433"/>
      <c r="V5" s="433"/>
      <c r="W5" s="433"/>
      <c r="X5" s="165"/>
    </row>
    <row r="6" spans="2:50" s="1" customFormat="1" ht="15.75" customHeight="1">
      <c r="C6" s="442" t="s">
        <v>108</v>
      </c>
      <c r="D6" s="443"/>
      <c r="E6" s="443"/>
      <c r="F6" s="443"/>
      <c r="G6" s="443"/>
      <c r="H6" s="443"/>
      <c r="I6" s="443"/>
      <c r="J6" s="443"/>
      <c r="K6" s="443"/>
      <c r="L6" s="444"/>
      <c r="M6" s="164" t="s">
        <v>112</v>
      </c>
      <c r="N6" s="222"/>
      <c r="O6" s="433"/>
      <c r="P6" s="433"/>
      <c r="Q6" s="433"/>
      <c r="R6" s="433"/>
      <c r="S6" s="433"/>
      <c r="T6" s="433"/>
      <c r="U6" s="433"/>
      <c r="V6" s="433"/>
      <c r="W6" s="433"/>
      <c r="X6" s="165"/>
    </row>
    <row r="7" spans="2:50" s="1" customFormat="1" ht="16.5" customHeight="1">
      <c r="C7" s="442"/>
      <c r="D7" s="443"/>
      <c r="E7" s="443"/>
      <c r="F7" s="443"/>
      <c r="G7" s="443"/>
      <c r="H7" s="443"/>
      <c r="I7" s="443"/>
      <c r="J7" s="443"/>
      <c r="K7" s="443"/>
      <c r="L7" s="444"/>
      <c r="M7" s="164" t="s">
        <v>113</v>
      </c>
      <c r="N7" s="222"/>
      <c r="O7" s="433"/>
      <c r="P7" s="433"/>
      <c r="Q7" s="433"/>
      <c r="R7" s="433"/>
      <c r="S7" s="433"/>
      <c r="T7" s="433"/>
      <c r="U7" s="433"/>
      <c r="V7" s="433"/>
      <c r="W7" s="433"/>
      <c r="X7" s="158"/>
    </row>
    <row r="8" spans="2:50" s="1" customFormat="1" ht="5.0999999999999996" customHeight="1">
      <c r="C8" s="166"/>
      <c r="D8" s="167"/>
      <c r="E8" s="167"/>
      <c r="F8" s="167"/>
      <c r="G8" s="167"/>
      <c r="H8" s="167"/>
      <c r="I8" s="167"/>
      <c r="J8" s="167"/>
      <c r="K8" s="167"/>
      <c r="L8" s="167"/>
      <c r="M8" s="168"/>
      <c r="N8" s="168"/>
      <c r="O8" s="169"/>
      <c r="P8" s="169"/>
      <c r="Q8" s="170"/>
      <c r="R8" s="170"/>
      <c r="S8" s="171"/>
      <c r="T8" s="171"/>
      <c r="U8" s="172"/>
      <c r="V8" s="172"/>
      <c r="W8" s="172"/>
      <c r="X8" s="173"/>
      <c r="AC8" s="166"/>
      <c r="AD8" s="167"/>
      <c r="AE8" s="167"/>
      <c r="AF8" s="167"/>
      <c r="AG8" s="167"/>
      <c r="AH8" s="167"/>
      <c r="AI8" s="167"/>
      <c r="AJ8" s="167"/>
      <c r="AK8" s="167"/>
      <c r="AL8" s="167"/>
      <c r="AM8" s="168"/>
      <c r="AN8" s="168"/>
      <c r="AO8" s="169"/>
      <c r="AP8" s="169"/>
      <c r="AQ8" s="170"/>
      <c r="AR8" s="170"/>
      <c r="AS8" s="171"/>
      <c r="AT8" s="171"/>
      <c r="AU8" s="172"/>
      <c r="AV8" s="172"/>
      <c r="AW8" s="172"/>
      <c r="AX8" s="173"/>
    </row>
    <row r="9" spans="2:50" s="1" customFormat="1" ht="15" customHeight="1">
      <c r="B9" s="150">
        <v>1</v>
      </c>
      <c r="C9" s="122"/>
      <c r="D9" s="9"/>
      <c r="E9" s="9"/>
      <c r="F9" s="9"/>
      <c r="G9" s="50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50"/>
      <c r="T9" s="50"/>
      <c r="U9" s="9"/>
      <c r="V9" s="9"/>
      <c r="W9" s="9"/>
      <c r="X9" s="122"/>
      <c r="AB9" s="150">
        <v>1</v>
      </c>
      <c r="AC9" s="122"/>
      <c r="AD9" s="9"/>
      <c r="AE9" s="9"/>
      <c r="AF9" s="9"/>
      <c r="AG9" s="50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50"/>
      <c r="AT9" s="50"/>
      <c r="AU9" s="9"/>
      <c r="AV9" s="9"/>
      <c r="AW9" s="9"/>
      <c r="AX9" s="122"/>
    </row>
    <row r="10" spans="2:50" s="1" customFormat="1" ht="15" customHeight="1">
      <c r="B10" s="150">
        <v>2</v>
      </c>
      <c r="C10" s="127"/>
      <c r="D10" s="120" t="s">
        <v>51</v>
      </c>
      <c r="E10" s="9"/>
      <c r="F10" s="9"/>
      <c r="G10" s="50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50"/>
      <c r="T10" s="182"/>
      <c r="U10" s="9"/>
      <c r="V10" s="9"/>
      <c r="W10" s="9"/>
      <c r="X10" s="127"/>
      <c r="AB10" s="150">
        <v>2</v>
      </c>
      <c r="AC10" s="127"/>
      <c r="AD10" s="120" t="s">
        <v>51</v>
      </c>
      <c r="AE10" s="9"/>
      <c r="AF10" s="9"/>
      <c r="AG10" s="50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50"/>
      <c r="AT10" s="182"/>
      <c r="AU10" s="9"/>
      <c r="AV10" s="9"/>
      <c r="AW10" s="9"/>
      <c r="AX10" s="127"/>
    </row>
    <row r="11" spans="2:50" s="1" customFormat="1" ht="15" customHeight="1">
      <c r="B11" s="150">
        <v>3</v>
      </c>
      <c r="C11" s="127"/>
      <c r="D11" s="120"/>
      <c r="E11" s="9"/>
      <c r="F11" s="9"/>
      <c r="G11" s="50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50"/>
      <c r="T11" s="50" t="s">
        <v>209</v>
      </c>
      <c r="U11" s="9"/>
      <c r="V11" s="9"/>
      <c r="W11" s="9"/>
      <c r="X11" s="127"/>
      <c r="Z11" s="183" t="s">
        <v>122</v>
      </c>
      <c r="AA11" s="183"/>
      <c r="AB11" s="150">
        <v>3</v>
      </c>
      <c r="AC11" s="127"/>
      <c r="AD11" s="120"/>
      <c r="AE11" s="9"/>
      <c r="AF11" s="9"/>
      <c r="AG11" s="50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50"/>
      <c r="AT11" s="50"/>
      <c r="AU11" s="9"/>
      <c r="AV11" s="9"/>
      <c r="AW11" s="9"/>
      <c r="AX11" s="127"/>
    </row>
    <row r="12" spans="2:50" s="1" customFormat="1" ht="15" customHeight="1">
      <c r="B12" s="150">
        <v>4</v>
      </c>
      <c r="C12" s="126"/>
      <c r="D12" s="9"/>
      <c r="E12" s="23" t="s">
        <v>0</v>
      </c>
      <c r="F12" s="23"/>
      <c r="G12" s="51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50"/>
      <c r="T12" s="50"/>
      <c r="U12" s="9"/>
      <c r="V12" s="9"/>
      <c r="W12" s="9"/>
      <c r="X12" s="126"/>
      <c r="Z12" s="183" t="s">
        <v>123</v>
      </c>
      <c r="AA12" s="183"/>
      <c r="AB12" s="150">
        <v>4</v>
      </c>
      <c r="AC12" s="126"/>
      <c r="AD12" s="9"/>
      <c r="AE12" s="23" t="s">
        <v>0</v>
      </c>
      <c r="AF12" s="23"/>
      <c r="AG12" s="51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50"/>
      <c r="AT12" s="50"/>
      <c r="AU12" s="9"/>
      <c r="AV12" s="9"/>
      <c r="AW12" s="9"/>
      <c r="AX12" s="126"/>
    </row>
    <row r="13" spans="2:50" s="1" customFormat="1" ht="15" customHeight="1" thickBot="1">
      <c r="B13" s="150">
        <v>5</v>
      </c>
      <c r="C13" s="126"/>
      <c r="D13" s="9"/>
      <c r="W13" s="22"/>
      <c r="X13" s="126"/>
      <c r="AB13" s="150">
        <v>5</v>
      </c>
      <c r="AC13" s="126"/>
      <c r="AD13" s="9"/>
      <c r="AW13" s="22"/>
      <c r="AX13" s="126"/>
    </row>
    <row r="14" spans="2:50" s="1" customFormat="1" ht="15" customHeight="1">
      <c r="B14" s="150">
        <v>6</v>
      </c>
      <c r="C14" s="126"/>
      <c r="D14" s="9"/>
      <c r="E14" s="195" t="s">
        <v>101</v>
      </c>
      <c r="F14" s="213"/>
      <c r="G14" s="48"/>
      <c r="H14" s="33"/>
      <c r="I14" s="33"/>
      <c r="J14" s="33"/>
      <c r="K14" s="33"/>
      <c r="L14" s="33"/>
      <c r="M14" s="213"/>
      <c r="N14" s="213"/>
      <c r="O14" s="18"/>
      <c r="P14" s="18"/>
      <c r="Q14" s="18"/>
      <c r="R14" s="18"/>
      <c r="S14" s="54"/>
      <c r="T14" s="54"/>
      <c r="U14" s="18"/>
      <c r="V14" s="19"/>
      <c r="W14" s="22"/>
      <c r="X14" s="126"/>
      <c r="AB14" s="150">
        <v>6</v>
      </c>
      <c r="AC14" s="126"/>
      <c r="AD14" s="9"/>
      <c r="AE14" s="195" t="s">
        <v>101</v>
      </c>
      <c r="AF14" s="213"/>
      <c r="AG14" s="194"/>
      <c r="AH14" s="33"/>
      <c r="AI14" s="33"/>
      <c r="AJ14" s="33"/>
      <c r="AK14" s="33"/>
      <c r="AL14" s="33"/>
      <c r="AM14" s="213"/>
      <c r="AN14" s="213"/>
      <c r="AO14" s="18"/>
      <c r="AP14" s="18"/>
      <c r="AQ14" s="18"/>
      <c r="AR14" s="18"/>
      <c r="AS14" s="54"/>
      <c r="AT14" s="54"/>
      <c r="AU14" s="18"/>
      <c r="AV14" s="19"/>
      <c r="AW14" s="22"/>
      <c r="AX14" s="126"/>
    </row>
    <row r="15" spans="2:50" s="1" customFormat="1" ht="15" customHeight="1">
      <c r="B15" s="150">
        <v>7</v>
      </c>
      <c r="C15" s="126"/>
      <c r="D15" s="9"/>
      <c r="E15" s="196" t="s">
        <v>105</v>
      </c>
      <c r="F15" s="3"/>
      <c r="G15" s="206"/>
      <c r="H15" s="9"/>
      <c r="I15" s="9"/>
      <c r="J15" s="445" t="s">
        <v>116</v>
      </c>
      <c r="K15" s="445"/>
      <c r="L15" s="446"/>
      <c r="M15" s="187" t="s">
        <v>143</v>
      </c>
      <c r="N15" s="3"/>
      <c r="O15" s="3"/>
      <c r="P15" s="3"/>
      <c r="Q15" s="456" t="s">
        <v>144</v>
      </c>
      <c r="R15" s="456"/>
      <c r="S15" s="456"/>
      <c r="T15" s="456"/>
      <c r="U15" s="456"/>
      <c r="V15" s="457"/>
      <c r="W15" s="22"/>
      <c r="X15" s="126"/>
      <c r="AB15" s="150">
        <v>7</v>
      </c>
      <c r="AC15" s="126"/>
      <c r="AD15" s="9"/>
      <c r="AE15" s="196" t="s">
        <v>105</v>
      </c>
      <c r="AF15" s="3"/>
      <c r="AG15" s="206"/>
      <c r="AH15" s="9"/>
      <c r="AI15" s="9"/>
      <c r="AJ15" s="445" t="str">
        <f>J15</f>
        <v>TANK</v>
      </c>
      <c r="AK15" s="445"/>
      <c r="AL15" s="446"/>
      <c r="AM15" s="187" t="s">
        <v>143</v>
      </c>
      <c r="AN15" s="3"/>
      <c r="AO15" s="3"/>
      <c r="AP15" s="3"/>
      <c r="AQ15" s="472" t="str">
        <f>Q15</f>
        <v xml:space="preserve">Commonly used </v>
      </c>
      <c r="AR15" s="472"/>
      <c r="AS15" s="472"/>
      <c r="AT15" s="472"/>
      <c r="AU15" s="472"/>
      <c r="AV15" s="473"/>
      <c r="AW15" s="22"/>
      <c r="AX15" s="126"/>
    </row>
    <row r="16" spans="2:50" s="1" customFormat="1" ht="15" customHeight="1">
      <c r="B16" s="150">
        <v>8</v>
      </c>
      <c r="C16" s="126"/>
      <c r="D16" s="9"/>
      <c r="E16" s="21" t="s">
        <v>106</v>
      </c>
      <c r="F16" s="9"/>
      <c r="G16" s="9"/>
      <c r="J16" s="447" t="s">
        <v>117</v>
      </c>
      <c r="K16" s="447"/>
      <c r="L16" s="447"/>
      <c r="M16" s="4" t="s">
        <v>103</v>
      </c>
      <c r="N16" s="6"/>
      <c r="O16" s="9"/>
      <c r="P16" s="9"/>
      <c r="Q16" s="452">
        <v>55</v>
      </c>
      <c r="R16" s="452"/>
      <c r="S16" s="64"/>
      <c r="T16" s="177" t="s">
        <v>36</v>
      </c>
      <c r="U16" s="9"/>
      <c r="V16" s="139"/>
      <c r="W16" s="22"/>
      <c r="X16" s="126"/>
      <c r="AB16" s="150">
        <v>8</v>
      </c>
      <c r="AC16" s="126"/>
      <c r="AD16" s="9"/>
      <c r="AE16" s="21" t="s">
        <v>106</v>
      </c>
      <c r="AF16" s="9"/>
      <c r="AG16" s="9"/>
      <c r="AJ16" s="447">
        <f>tb(J16)</f>
        <v>2</v>
      </c>
      <c r="AK16" s="447"/>
      <c r="AL16" s="447"/>
      <c r="AM16" s="4" t="s">
        <v>103</v>
      </c>
      <c r="AN16" s="6"/>
      <c r="AO16" s="9"/>
      <c r="AP16" s="9"/>
      <c r="AQ16" s="471">
        <f>IF(T11="British",Q16,Q16*9/5+32)</f>
        <v>55</v>
      </c>
      <c r="AR16" s="471"/>
      <c r="AS16" s="64"/>
      <c r="AT16" s="177" t="s">
        <v>36</v>
      </c>
      <c r="AU16" s="9"/>
      <c r="AV16" s="139"/>
      <c r="AW16" s="22"/>
      <c r="AX16" s="126"/>
    </row>
    <row r="17" spans="2:50" s="1" customFormat="1" ht="15" customHeight="1">
      <c r="B17" s="150">
        <v>9</v>
      </c>
      <c r="C17" s="126"/>
      <c r="D17" s="9"/>
      <c r="E17" s="21" t="s">
        <v>107</v>
      </c>
      <c r="F17" s="9"/>
      <c r="G17" s="9"/>
      <c r="J17" s="447" t="s">
        <v>118</v>
      </c>
      <c r="K17" s="447"/>
      <c r="L17" s="448"/>
      <c r="M17" s="4" t="s">
        <v>104</v>
      </c>
      <c r="N17" s="6"/>
      <c r="O17" s="9"/>
      <c r="P17" s="9"/>
      <c r="Q17" s="452">
        <v>20</v>
      </c>
      <c r="R17" s="452"/>
      <c r="S17" s="59"/>
      <c r="T17" s="6" t="s">
        <v>138</v>
      </c>
      <c r="U17" s="9"/>
      <c r="V17" s="22"/>
      <c r="W17" s="22"/>
      <c r="X17" s="126"/>
      <c r="AB17" s="150">
        <v>9</v>
      </c>
      <c r="AC17" s="126"/>
      <c r="AD17" s="9"/>
      <c r="AE17" s="21" t="s">
        <v>107</v>
      </c>
      <c r="AF17" s="9"/>
      <c r="AG17" s="9"/>
      <c r="AJ17" s="447">
        <f>Th(J17)</f>
        <v>1</v>
      </c>
      <c r="AK17" s="447"/>
      <c r="AL17" s="448"/>
      <c r="AM17" s="4" t="s">
        <v>104</v>
      </c>
      <c r="AN17" s="6"/>
      <c r="AO17" s="9"/>
      <c r="AP17" s="9"/>
      <c r="AQ17" s="471">
        <f>IF(T11="British",Q17,Q17*14.22334)</f>
        <v>20</v>
      </c>
      <c r="AR17" s="471"/>
      <c r="AS17" s="188"/>
      <c r="AT17" s="6" t="s">
        <v>138</v>
      </c>
      <c r="AU17" s="9"/>
      <c r="AV17" s="22"/>
      <c r="AW17" s="22"/>
      <c r="AX17" s="126"/>
    </row>
    <row r="18" spans="2:50" s="1" customFormat="1" ht="15" customHeight="1">
      <c r="B18" s="150">
        <v>10</v>
      </c>
      <c r="C18" s="126"/>
      <c r="D18" s="9"/>
      <c r="E18" s="21" t="s">
        <v>169</v>
      </c>
      <c r="J18" s="447" t="s">
        <v>170</v>
      </c>
      <c r="K18" s="447"/>
      <c r="L18" s="448"/>
      <c r="M18" s="4" t="s">
        <v>136</v>
      </c>
      <c r="N18" s="6"/>
      <c r="O18" s="9"/>
      <c r="P18" s="9"/>
      <c r="Q18" s="452">
        <v>24</v>
      </c>
      <c r="R18" s="452"/>
      <c r="S18" s="188"/>
      <c r="T18" s="209" t="s">
        <v>124</v>
      </c>
      <c r="U18" s="9"/>
      <c r="V18" s="22"/>
      <c r="W18" s="22"/>
      <c r="X18" s="126"/>
      <c r="AB18" s="150">
        <v>10</v>
      </c>
      <c r="AC18" s="126"/>
      <c r="AD18" s="9"/>
      <c r="AE18" s="21" t="s">
        <v>169</v>
      </c>
      <c r="AJ18" s="447" t="str">
        <f>J18</f>
        <v>No</v>
      </c>
      <c r="AK18" s="447"/>
      <c r="AL18" s="448"/>
      <c r="AM18" s="4" t="s">
        <v>136</v>
      </c>
      <c r="AN18" s="6"/>
      <c r="AO18" s="9"/>
      <c r="AP18" s="9"/>
      <c r="AQ18" s="471">
        <f>IF(T11="British",Q18,Q18/0.3048)</f>
        <v>24</v>
      </c>
      <c r="AR18" s="471"/>
      <c r="AS18" s="188"/>
      <c r="AT18" s="209" t="s">
        <v>137</v>
      </c>
      <c r="AU18" s="9"/>
      <c r="AV18" s="22"/>
      <c r="AW18" s="22"/>
      <c r="AX18" s="126"/>
    </row>
    <row r="19" spans="2:50" s="1" customFormat="1" ht="15" customHeight="1">
      <c r="B19" s="150">
        <v>11</v>
      </c>
      <c r="C19" s="126"/>
      <c r="D19" s="9"/>
      <c r="E19" s="39" t="s">
        <v>132</v>
      </c>
      <c r="F19" s="6"/>
      <c r="G19" s="153"/>
      <c r="J19" s="65">
        <v>48</v>
      </c>
      <c r="K19" s="129"/>
      <c r="L19" s="9" t="s">
        <v>124</v>
      </c>
      <c r="M19" s="210" t="s">
        <v>139</v>
      </c>
      <c r="N19" s="221"/>
      <c r="O19" s="14"/>
      <c r="P19" s="14"/>
      <c r="Q19" s="14"/>
      <c r="R19" s="14"/>
      <c r="S19" s="193"/>
      <c r="T19" s="193"/>
      <c r="U19" s="14"/>
      <c r="V19" s="141"/>
      <c r="W19" s="22"/>
      <c r="X19" s="126"/>
      <c r="AB19" s="150">
        <v>11</v>
      </c>
      <c r="AC19" s="126"/>
      <c r="AD19" s="9"/>
      <c r="AE19" s="39" t="s">
        <v>132</v>
      </c>
      <c r="AF19" s="6"/>
      <c r="AG19" s="153"/>
      <c r="AJ19" s="58">
        <f>IF(T11="British",J19,J19/0.3048)</f>
        <v>48</v>
      </c>
      <c r="AK19" s="129"/>
      <c r="AL19" s="9" t="s">
        <v>124</v>
      </c>
      <c r="AM19" s="210" t="s">
        <v>139</v>
      </c>
      <c r="AN19" s="221"/>
      <c r="AO19" s="14"/>
      <c r="AP19" s="14"/>
      <c r="AQ19" s="14"/>
      <c r="AR19" s="14"/>
      <c r="AS19" s="193"/>
      <c r="AT19" s="193"/>
      <c r="AU19" s="14"/>
      <c r="AV19" s="141"/>
      <c r="AW19" s="22"/>
      <c r="AX19" s="126"/>
    </row>
    <row r="20" spans="2:50" s="1" customFormat="1" ht="15" customHeight="1">
      <c r="B20" s="150">
        <v>12</v>
      </c>
      <c r="C20" s="126"/>
      <c r="D20" s="9"/>
      <c r="E20" s="39" t="s">
        <v>102</v>
      </c>
      <c r="F20" s="6"/>
      <c r="G20" s="50"/>
      <c r="H20" s="9"/>
      <c r="I20" s="9"/>
      <c r="J20" s="65">
        <v>20</v>
      </c>
      <c r="K20" s="129"/>
      <c r="L20" s="9" t="s">
        <v>124</v>
      </c>
      <c r="M20" s="4" t="s">
        <v>140</v>
      </c>
      <c r="N20" s="6"/>
      <c r="O20" s="9"/>
      <c r="P20" s="9"/>
      <c r="Q20" s="453">
        <v>2.8000000000000001E-2</v>
      </c>
      <c r="R20" s="453"/>
      <c r="S20" s="208"/>
      <c r="T20" s="6" t="s">
        <v>160</v>
      </c>
      <c r="U20" s="9"/>
      <c r="V20" s="22"/>
      <c r="W20" s="22"/>
      <c r="X20" s="126"/>
      <c r="AB20" s="150">
        <v>12</v>
      </c>
      <c r="AC20" s="126"/>
      <c r="AD20" s="9"/>
      <c r="AE20" s="39" t="s">
        <v>102</v>
      </c>
      <c r="AF20" s="6"/>
      <c r="AG20" s="50"/>
      <c r="AH20" s="9"/>
      <c r="AI20" s="9"/>
      <c r="AJ20" s="58">
        <f>IF(T11="British",J20,J20/0.3048)</f>
        <v>20</v>
      </c>
      <c r="AK20" s="129"/>
      <c r="AL20" s="9" t="s">
        <v>124</v>
      </c>
      <c r="AM20" s="4" t="s">
        <v>140</v>
      </c>
      <c r="AN20" s="6"/>
      <c r="AO20" s="9"/>
      <c r="AP20" s="9"/>
      <c r="AQ20" s="453">
        <f>IF(T11="British",Q20,Q20/1.488164)</f>
        <v>2.8000000000000001E-2</v>
      </c>
      <c r="AR20" s="453"/>
      <c r="AS20" s="208"/>
      <c r="AT20" s="6" t="s">
        <v>160</v>
      </c>
      <c r="AU20" s="9"/>
      <c r="AV20" s="22"/>
      <c r="AW20" s="22"/>
      <c r="AX20" s="126"/>
    </row>
    <row r="21" spans="2:50" s="1" customFormat="1" ht="15" customHeight="1">
      <c r="B21" s="150">
        <v>13</v>
      </c>
      <c r="C21" s="126"/>
      <c r="D21" s="9"/>
      <c r="E21" s="21" t="s">
        <v>130</v>
      </c>
      <c r="F21" s="9"/>
      <c r="G21" s="9"/>
      <c r="H21" s="9"/>
      <c r="I21" s="9"/>
      <c r="J21" s="447" t="s">
        <v>158</v>
      </c>
      <c r="K21" s="447"/>
      <c r="L21" s="448"/>
      <c r="M21" s="4" t="s">
        <v>141</v>
      </c>
      <c r="N21" s="6"/>
      <c r="O21" s="9"/>
      <c r="P21" s="9"/>
      <c r="Q21" s="454">
        <v>1.5</v>
      </c>
      <c r="R21" s="454"/>
      <c r="S21" s="188"/>
      <c r="T21" s="6" t="s">
        <v>131</v>
      </c>
      <c r="U21" s="9"/>
      <c r="V21" s="22"/>
      <c r="W21" s="22"/>
      <c r="X21" s="126"/>
      <c r="AB21" s="150">
        <v>13</v>
      </c>
      <c r="AC21" s="126"/>
      <c r="AD21" s="9"/>
      <c r="AE21" s="21" t="s">
        <v>130</v>
      </c>
      <c r="AF21" s="9"/>
      <c r="AG21" s="9"/>
      <c r="AH21" s="9"/>
      <c r="AI21" s="9"/>
      <c r="AJ21" s="447" t="str">
        <f>J21</f>
        <v>304SS</v>
      </c>
      <c r="AK21" s="447"/>
      <c r="AL21" s="448"/>
      <c r="AM21" s="4" t="s">
        <v>141</v>
      </c>
      <c r="AN21" s="6"/>
      <c r="AO21" s="9"/>
      <c r="AP21" s="9"/>
      <c r="AQ21" s="454">
        <f>IF(T11="British",Q21,Q21/25.4)</f>
        <v>1.5</v>
      </c>
      <c r="AR21" s="454"/>
      <c r="AS21" s="188"/>
      <c r="AT21" s="6" t="s">
        <v>159</v>
      </c>
      <c r="AU21" s="9"/>
      <c r="AV21" s="22"/>
      <c r="AW21" s="22"/>
      <c r="AX21" s="126"/>
    </row>
    <row r="22" spans="2:50" s="1" customFormat="1" ht="15" customHeight="1">
      <c r="B22" s="150">
        <v>14</v>
      </c>
      <c r="C22" s="126"/>
      <c r="D22" s="9"/>
      <c r="E22" s="21" t="s">
        <v>133</v>
      </c>
      <c r="F22" s="9"/>
      <c r="J22" s="236">
        <v>0.1875</v>
      </c>
      <c r="K22" s="129"/>
      <c r="L22" s="6" t="s">
        <v>131</v>
      </c>
      <c r="M22" s="4" t="s">
        <v>142</v>
      </c>
      <c r="N22" s="6"/>
      <c r="O22" s="9"/>
      <c r="P22" s="9"/>
      <c r="Q22" s="459">
        <f>(Q21/12)/Q20</f>
        <v>4.4642857142857144</v>
      </c>
      <c r="R22" s="459"/>
      <c r="S22" s="212"/>
      <c r="T22" s="6" t="s">
        <v>161</v>
      </c>
      <c r="U22" s="9"/>
      <c r="V22" s="22"/>
      <c r="W22" s="22"/>
      <c r="X22" s="126"/>
      <c r="AB22" s="150">
        <v>14</v>
      </c>
      <c r="AC22" s="126"/>
      <c r="AD22" s="9"/>
      <c r="AE22" s="21" t="s">
        <v>133</v>
      </c>
      <c r="AF22" s="9"/>
      <c r="AJ22" s="236">
        <f>IF(T11="British",J22,J22/25.4)</f>
        <v>0.1875</v>
      </c>
      <c r="AK22" s="129"/>
      <c r="AL22" s="6" t="s">
        <v>131</v>
      </c>
      <c r="AM22" s="4" t="s">
        <v>142</v>
      </c>
      <c r="AN22" s="6"/>
      <c r="AO22" s="9"/>
      <c r="AP22" s="9"/>
      <c r="AQ22" s="459">
        <f>IF(T11="British",Q22,Q22*4.882431)</f>
        <v>4.4642857142857144</v>
      </c>
      <c r="AR22" s="459"/>
      <c r="AS22" s="212"/>
      <c r="AT22" s="6" t="s">
        <v>161</v>
      </c>
      <c r="AU22" s="9"/>
      <c r="AV22" s="22"/>
      <c r="AW22" s="22"/>
      <c r="AX22" s="126"/>
    </row>
    <row r="23" spans="2:50" s="1" customFormat="1" ht="15" customHeight="1">
      <c r="B23" s="150">
        <v>15</v>
      </c>
      <c r="C23" s="126"/>
      <c r="D23" s="9"/>
      <c r="E23" s="21" t="s">
        <v>134</v>
      </c>
      <c r="F23" s="9"/>
      <c r="G23" s="9"/>
      <c r="H23" s="9"/>
      <c r="I23" s="9"/>
      <c r="J23" s="58">
        <v>10</v>
      </c>
      <c r="K23" s="129"/>
      <c r="L23" s="9" t="s">
        <v>135</v>
      </c>
      <c r="M23" s="4"/>
      <c r="N23" s="6"/>
      <c r="O23" s="9"/>
      <c r="P23" s="9"/>
      <c r="Q23" s="237"/>
      <c r="R23" s="237"/>
      <c r="S23" s="212"/>
      <c r="T23" s="6"/>
      <c r="U23" s="9"/>
      <c r="V23" s="22"/>
      <c r="W23" s="22"/>
      <c r="X23" s="126"/>
      <c r="AB23" s="150">
        <v>15</v>
      </c>
      <c r="AC23" s="126"/>
      <c r="AD23" s="9"/>
      <c r="AE23" s="21" t="s">
        <v>134</v>
      </c>
      <c r="AF23" s="9"/>
      <c r="AG23" s="9"/>
      <c r="AH23" s="9"/>
      <c r="AI23" s="9"/>
      <c r="AJ23" s="58">
        <f>IF(T11="British",J23,J23/1.488164)</f>
        <v>10</v>
      </c>
      <c r="AK23" s="129"/>
      <c r="AL23" s="9" t="s">
        <v>135</v>
      </c>
      <c r="AM23" s="4"/>
      <c r="AN23" s="6"/>
      <c r="AO23" s="9"/>
      <c r="AP23" s="9"/>
      <c r="AQ23" s="237"/>
      <c r="AR23" s="237"/>
      <c r="AS23" s="212"/>
      <c r="AT23" s="6"/>
      <c r="AU23" s="9"/>
      <c r="AV23" s="22"/>
      <c r="AW23" s="22"/>
      <c r="AX23" s="126"/>
    </row>
    <row r="24" spans="2:50" s="1" customFormat="1" ht="15" customHeight="1">
      <c r="B24" s="150">
        <v>16</v>
      </c>
      <c r="C24" s="126"/>
      <c r="D24" s="9"/>
      <c r="E24" s="142" t="s">
        <v>86</v>
      </c>
      <c r="F24" s="221"/>
      <c r="G24" s="193"/>
      <c r="H24" s="14"/>
      <c r="I24" s="14"/>
      <c r="J24" s="14"/>
      <c r="K24" s="14"/>
      <c r="L24" s="211"/>
      <c r="M24" s="210"/>
      <c r="N24" s="221"/>
      <c r="O24" s="14"/>
      <c r="P24" s="14"/>
      <c r="Q24" s="14"/>
      <c r="R24" s="14"/>
      <c r="S24" s="193"/>
      <c r="T24" s="193"/>
      <c r="U24" s="14"/>
      <c r="V24" s="141"/>
      <c r="W24" s="22"/>
      <c r="X24" s="126"/>
      <c r="AB24" s="150">
        <v>16</v>
      </c>
      <c r="AC24" s="126"/>
      <c r="AD24" s="9"/>
      <c r="AE24" s="142" t="s">
        <v>86</v>
      </c>
      <c r="AF24" s="221"/>
      <c r="AG24" s="193"/>
      <c r="AH24" s="14"/>
      <c r="AI24" s="14"/>
      <c r="AJ24" s="14"/>
      <c r="AK24" s="14"/>
      <c r="AL24" s="211"/>
      <c r="AM24" s="210"/>
      <c r="AN24" s="221"/>
      <c r="AO24" s="14"/>
      <c r="AP24" s="14"/>
      <c r="AQ24" s="14"/>
      <c r="AR24" s="14"/>
      <c r="AS24" s="193"/>
      <c r="AT24" s="193"/>
      <c r="AU24" s="14"/>
      <c r="AV24" s="141"/>
      <c r="AW24" s="22"/>
      <c r="AX24" s="126"/>
    </row>
    <row r="25" spans="2:50" s="1" customFormat="1" ht="15" customHeight="1">
      <c r="B25" s="150">
        <v>17</v>
      </c>
      <c r="C25" s="126"/>
      <c r="D25" s="9"/>
      <c r="E25" s="149" t="s">
        <v>82</v>
      </c>
      <c r="F25" s="23"/>
      <c r="G25" s="9"/>
      <c r="H25" s="9"/>
      <c r="I25" s="9"/>
      <c r="J25" s="3"/>
      <c r="K25" s="9"/>
      <c r="L25" s="7"/>
      <c r="M25" s="133" t="s">
        <v>83</v>
      </c>
      <c r="N25" s="24"/>
      <c r="O25" s="9"/>
      <c r="P25" s="9"/>
      <c r="Q25" s="184"/>
      <c r="R25" s="184"/>
      <c r="S25" s="3"/>
      <c r="V25" s="139"/>
      <c r="W25" s="22"/>
      <c r="X25" s="126"/>
      <c r="AB25" s="150">
        <v>17</v>
      </c>
      <c r="AC25" s="126"/>
      <c r="AD25" s="9"/>
      <c r="AE25" s="149" t="s">
        <v>82</v>
      </c>
      <c r="AF25" s="23"/>
      <c r="AG25" s="9"/>
      <c r="AH25" s="9"/>
      <c r="AI25" s="9"/>
      <c r="AJ25" s="3"/>
      <c r="AK25" s="9"/>
      <c r="AL25" s="7"/>
      <c r="AM25" s="133" t="s">
        <v>83</v>
      </c>
      <c r="AN25" s="24"/>
      <c r="AO25" s="9"/>
      <c r="AP25" s="9"/>
      <c r="AQ25" s="184"/>
      <c r="AR25" s="184"/>
      <c r="AS25" s="3"/>
      <c r="AV25" s="139"/>
      <c r="AW25" s="22"/>
      <c r="AX25" s="126"/>
    </row>
    <row r="26" spans="2:50" s="1" customFormat="1" ht="15" customHeight="1">
      <c r="B26" s="150">
        <v>18</v>
      </c>
      <c r="C26" s="126"/>
      <c r="D26" s="9"/>
      <c r="E26" s="39" t="s">
        <v>127</v>
      </c>
      <c r="F26" s="6"/>
      <c r="G26" s="9"/>
      <c r="H26" s="9"/>
      <c r="I26" s="9"/>
      <c r="J26" s="62">
        <f>Q16</f>
        <v>55</v>
      </c>
      <c r="K26" s="62"/>
      <c r="L26" s="186" t="s">
        <v>36</v>
      </c>
      <c r="M26" s="4" t="s">
        <v>127</v>
      </c>
      <c r="N26" s="6"/>
      <c r="O26" s="9"/>
      <c r="P26" s="9"/>
      <c r="Q26" s="463">
        <v>50</v>
      </c>
      <c r="R26" s="463"/>
      <c r="S26" s="129"/>
      <c r="T26" s="177" t="s">
        <v>36</v>
      </c>
      <c r="V26" s="139"/>
      <c r="W26" s="22"/>
      <c r="X26" s="126"/>
      <c r="AB26" s="150">
        <v>18</v>
      </c>
      <c r="AC26" s="126"/>
      <c r="AD26" s="9"/>
      <c r="AE26" s="39" t="s">
        <v>127</v>
      </c>
      <c r="AF26" s="6"/>
      <c r="AG26" s="9"/>
      <c r="AH26" s="9"/>
      <c r="AI26" s="9"/>
      <c r="AJ26" s="62">
        <f>IF(T11="British",J26,J26*9/5+32)</f>
        <v>55</v>
      </c>
      <c r="AK26" s="62"/>
      <c r="AL26" s="186" t="s">
        <v>36</v>
      </c>
      <c r="AM26" s="4" t="s">
        <v>127</v>
      </c>
      <c r="AN26" s="6"/>
      <c r="AO26" s="9"/>
      <c r="AP26" s="9"/>
      <c r="AQ26" s="463">
        <f>IF($T$11="British",Q26,Q26*9/5+32)</f>
        <v>50</v>
      </c>
      <c r="AR26" s="463"/>
      <c r="AS26" s="129"/>
      <c r="AT26" s="177" t="s">
        <v>36</v>
      </c>
      <c r="AV26" s="139"/>
      <c r="AW26" s="22"/>
      <c r="AX26" s="126"/>
    </row>
    <row r="27" spans="2:50" s="1" customFormat="1" ht="15" customHeight="1">
      <c r="B27" s="150">
        <v>19</v>
      </c>
      <c r="C27" s="126"/>
      <c r="D27" s="9"/>
      <c r="E27" s="39" t="s">
        <v>6</v>
      </c>
      <c r="F27" s="6"/>
      <c r="G27" s="9"/>
      <c r="H27" s="9"/>
      <c r="I27" s="66"/>
      <c r="J27" s="62">
        <v>46.8</v>
      </c>
      <c r="K27" s="62"/>
      <c r="L27" s="11" t="s">
        <v>210</v>
      </c>
      <c r="M27" s="4" t="s">
        <v>6</v>
      </c>
      <c r="N27" s="6"/>
      <c r="O27" s="9"/>
      <c r="P27" s="9"/>
      <c r="Q27" s="454">
        <v>0.08</v>
      </c>
      <c r="R27" s="454"/>
      <c r="S27" s="129"/>
      <c r="T27" s="6" t="s">
        <v>210</v>
      </c>
      <c r="V27" s="139"/>
      <c r="W27" s="22"/>
      <c r="X27" s="126"/>
      <c r="AB27" s="150">
        <v>19</v>
      </c>
      <c r="AC27" s="126"/>
      <c r="AD27" s="9"/>
      <c r="AE27" s="39" t="s">
        <v>119</v>
      </c>
      <c r="AF27" s="6"/>
      <c r="AG27" s="9"/>
      <c r="AH27" s="9"/>
      <c r="AI27" s="66"/>
      <c r="AJ27" s="62">
        <f>IF(T11="British",J27,J27*(0.3048)^3/0.4536)</f>
        <v>46.8</v>
      </c>
      <c r="AK27" s="62"/>
      <c r="AL27" s="11" t="s">
        <v>3</v>
      </c>
      <c r="AM27" s="4" t="s">
        <v>119</v>
      </c>
      <c r="AN27" s="6"/>
      <c r="AO27" s="9"/>
      <c r="AP27" s="9"/>
      <c r="AQ27" s="474">
        <f>IF($T$11="British",Q27,Q27*(0.3048)^3/0.4536)</f>
        <v>0.08</v>
      </c>
      <c r="AR27" s="474"/>
      <c r="AS27" s="129"/>
      <c r="AT27" s="6" t="s">
        <v>3</v>
      </c>
      <c r="AV27" s="139"/>
      <c r="AW27" s="22"/>
      <c r="AX27" s="126"/>
    </row>
    <row r="28" spans="2:50" s="1" customFormat="1" ht="15" customHeight="1">
      <c r="B28" s="150">
        <v>20</v>
      </c>
      <c r="C28" s="126"/>
      <c r="D28" s="9"/>
      <c r="E28" s="39" t="s">
        <v>7</v>
      </c>
      <c r="F28" s="6"/>
      <c r="G28" s="9"/>
      <c r="H28" s="9"/>
      <c r="I28" s="66"/>
      <c r="J28" s="57">
        <v>0.12</v>
      </c>
      <c r="K28" s="57"/>
      <c r="L28" s="11" t="s">
        <v>160</v>
      </c>
      <c r="M28" s="4" t="s">
        <v>7</v>
      </c>
      <c r="N28" s="6"/>
      <c r="O28" s="9"/>
      <c r="P28" s="9"/>
      <c r="Q28" s="455">
        <v>1.5100000000000001E-2</v>
      </c>
      <c r="R28" s="455"/>
      <c r="S28" s="129"/>
      <c r="T28" s="6" t="s">
        <v>135</v>
      </c>
      <c r="V28" s="139"/>
      <c r="W28" s="22"/>
      <c r="X28" s="126"/>
      <c r="AB28" s="150">
        <v>20</v>
      </c>
      <c r="AC28" s="126"/>
      <c r="AD28" s="9"/>
      <c r="AE28" s="39" t="s">
        <v>7</v>
      </c>
      <c r="AF28" s="6"/>
      <c r="AG28" s="9"/>
      <c r="AH28" s="9"/>
      <c r="AI28" s="66"/>
      <c r="AJ28" s="57">
        <f>IF(T11="British",J28,J28/1.488164)</f>
        <v>0.12</v>
      </c>
      <c r="AK28" s="57"/>
      <c r="AL28" s="11" t="s">
        <v>1</v>
      </c>
      <c r="AM28" s="4" t="s">
        <v>7</v>
      </c>
      <c r="AN28" s="6"/>
      <c r="AO28" s="9"/>
      <c r="AP28" s="9"/>
      <c r="AQ28" s="475">
        <f>IF($T$11="British",Q28,Q28/1.488164)</f>
        <v>1.5100000000000001E-2</v>
      </c>
      <c r="AR28" s="475"/>
      <c r="AS28" s="129"/>
      <c r="AT28" s="6" t="s">
        <v>1</v>
      </c>
      <c r="AV28" s="139"/>
      <c r="AW28" s="22"/>
      <c r="AX28" s="126"/>
    </row>
    <row r="29" spans="2:50" s="1" customFormat="1" ht="15" customHeight="1">
      <c r="B29" s="150">
        <v>21</v>
      </c>
      <c r="C29" s="126"/>
      <c r="D29" s="9"/>
      <c r="E29" s="39" t="s">
        <v>8</v>
      </c>
      <c r="F29" s="6"/>
      <c r="G29" s="9"/>
      <c r="H29" s="9"/>
      <c r="I29" s="66"/>
      <c r="J29" s="56">
        <v>0.6</v>
      </c>
      <c r="K29" s="56"/>
      <c r="L29" s="11" t="s">
        <v>211</v>
      </c>
      <c r="M29" s="4" t="s">
        <v>8</v>
      </c>
      <c r="N29" s="6"/>
      <c r="O29" s="9"/>
      <c r="P29" s="9"/>
      <c r="Q29" s="454">
        <v>0.25</v>
      </c>
      <c r="R29" s="454"/>
      <c r="S29" s="129"/>
      <c r="T29" s="6" t="s">
        <v>211</v>
      </c>
      <c r="V29" s="139"/>
      <c r="W29" s="22"/>
      <c r="X29" s="126"/>
      <c r="AB29" s="150">
        <v>21</v>
      </c>
      <c r="AC29" s="126"/>
      <c r="AD29" s="9"/>
      <c r="AE29" s="39" t="s">
        <v>8</v>
      </c>
      <c r="AF29" s="6"/>
      <c r="AG29" s="9"/>
      <c r="AH29" s="9"/>
      <c r="AI29" s="66"/>
      <c r="AJ29" s="57">
        <f>IF(T11="British",J29,J29)</f>
        <v>0.6</v>
      </c>
      <c r="AK29" s="56"/>
      <c r="AL29" s="11" t="s">
        <v>9</v>
      </c>
      <c r="AM29" s="4" t="s">
        <v>8</v>
      </c>
      <c r="AN29" s="6"/>
      <c r="AO29" s="9"/>
      <c r="AP29" s="9"/>
      <c r="AQ29" s="474">
        <f t="shared" ref="AQ29:AQ30" si="0">IF($T$11="British",Q29,Q29)</f>
        <v>0.25</v>
      </c>
      <c r="AR29" s="474"/>
      <c r="AS29" s="129"/>
      <c r="AT29" s="6" t="s">
        <v>9</v>
      </c>
      <c r="AV29" s="139"/>
      <c r="AW29" s="22"/>
      <c r="AX29" s="126"/>
    </row>
    <row r="30" spans="2:50" s="1" customFormat="1" ht="15" customHeight="1">
      <c r="B30" s="150">
        <v>22</v>
      </c>
      <c r="C30" s="126"/>
      <c r="D30" s="9"/>
      <c r="E30" s="39" t="s">
        <v>197</v>
      </c>
      <c r="F30" s="6"/>
      <c r="G30" s="9"/>
      <c r="H30" s="9"/>
      <c r="I30" s="66"/>
      <c r="J30" s="62">
        <v>40</v>
      </c>
      <c r="K30" s="57"/>
      <c r="L30" s="11" t="s">
        <v>84</v>
      </c>
      <c r="M30" s="4" t="s">
        <v>10</v>
      </c>
      <c r="N30" s="6"/>
      <c r="O30" s="9"/>
      <c r="P30" s="9"/>
      <c r="Q30" s="458">
        <v>7.0000000000000001E-3</v>
      </c>
      <c r="R30" s="458"/>
      <c r="S30" s="129"/>
      <c r="T30" s="6" t="s">
        <v>84</v>
      </c>
      <c r="V30" s="139"/>
      <c r="W30" s="22"/>
      <c r="X30" s="126"/>
      <c r="AB30" s="150">
        <v>22</v>
      </c>
      <c r="AC30" s="126"/>
      <c r="AD30" s="9"/>
      <c r="AE30" s="39" t="s">
        <v>198</v>
      </c>
      <c r="AF30" s="6"/>
      <c r="AG30" s="9"/>
      <c r="AH30" s="9"/>
      <c r="AI30" s="66"/>
      <c r="AJ30" s="57">
        <f>IF(T11="British",J30,J30)</f>
        <v>40</v>
      </c>
      <c r="AK30" s="57"/>
      <c r="AL30" s="11" t="s">
        <v>84</v>
      </c>
      <c r="AM30" s="4" t="s">
        <v>218</v>
      </c>
      <c r="AN30" s="6"/>
      <c r="AO30" s="9"/>
      <c r="AP30" s="9"/>
      <c r="AQ30" s="474">
        <f t="shared" si="0"/>
        <v>7.0000000000000001E-3</v>
      </c>
      <c r="AR30" s="474"/>
      <c r="AS30" s="129"/>
      <c r="AT30" s="6" t="s">
        <v>11</v>
      </c>
      <c r="AV30" s="139"/>
      <c r="AW30" s="22"/>
      <c r="AX30" s="126"/>
    </row>
    <row r="31" spans="2:50" s="1" customFormat="1" ht="15" customHeight="1">
      <c r="B31" s="150">
        <v>23</v>
      </c>
      <c r="C31" s="126"/>
      <c r="D31" s="9"/>
      <c r="E31" s="39" t="s">
        <v>13</v>
      </c>
      <c r="F31" s="6"/>
      <c r="G31" s="9"/>
      <c r="H31" s="9"/>
      <c r="I31" s="66"/>
      <c r="J31" s="56">
        <v>9.9999999999999995E-7</v>
      </c>
      <c r="K31" s="56"/>
      <c r="L31" s="11" t="s">
        <v>162</v>
      </c>
      <c r="M31" s="4" t="s">
        <v>13</v>
      </c>
      <c r="N31" s="6"/>
      <c r="O31" s="9"/>
      <c r="P31" s="9"/>
      <c r="Q31" s="458">
        <v>2E-3</v>
      </c>
      <c r="R31" s="458"/>
      <c r="S31" s="129"/>
      <c r="T31" s="6" t="s">
        <v>162</v>
      </c>
      <c r="V31" s="139"/>
      <c r="W31" s="22"/>
      <c r="X31" s="126"/>
      <c r="AB31" s="150">
        <v>23</v>
      </c>
      <c r="AC31" s="126"/>
      <c r="AD31" s="9"/>
      <c r="AE31" s="39" t="s">
        <v>13</v>
      </c>
      <c r="AF31" s="6"/>
      <c r="AG31" s="9"/>
      <c r="AH31" s="9"/>
      <c r="AI31" s="66"/>
      <c r="AJ31" s="342">
        <f>IF(T11="British",J31,J31/1.8)</f>
        <v>9.9999999999999995E-7</v>
      </c>
      <c r="AK31" s="56"/>
      <c r="AL31" s="11" t="s">
        <v>162</v>
      </c>
      <c r="AM31" s="4" t="s">
        <v>13</v>
      </c>
      <c r="AN31" s="6"/>
      <c r="AO31" s="9"/>
      <c r="AP31" s="9"/>
      <c r="AQ31" s="474">
        <f>IF($T$11="British",Q31,Q31/1.8)</f>
        <v>2E-3</v>
      </c>
      <c r="AR31" s="474"/>
      <c r="AS31" s="129"/>
      <c r="AT31" s="6" t="s">
        <v>14</v>
      </c>
      <c r="AV31" s="139"/>
      <c r="AW31" s="22"/>
      <c r="AX31" s="126"/>
    </row>
    <row r="32" spans="2:50" s="1" customFormat="1" ht="15" customHeight="1">
      <c r="B32" s="150">
        <v>24</v>
      </c>
      <c r="C32" s="126"/>
      <c r="D32" s="9"/>
      <c r="E32" s="214" t="s">
        <v>187</v>
      </c>
      <c r="F32" s="136"/>
      <c r="G32" s="193"/>
      <c r="H32" s="14"/>
      <c r="I32" s="14"/>
      <c r="J32" s="14"/>
      <c r="K32" s="14"/>
      <c r="L32" s="211"/>
      <c r="M32" s="210" t="s">
        <v>188</v>
      </c>
      <c r="N32" s="221"/>
      <c r="O32" s="14"/>
      <c r="P32" s="14"/>
      <c r="Q32" s="14"/>
      <c r="R32" s="14"/>
      <c r="S32" s="193"/>
      <c r="T32" s="193"/>
      <c r="U32" s="14"/>
      <c r="V32" s="141"/>
      <c r="W32" s="22"/>
      <c r="X32" s="126"/>
      <c r="AB32" s="150">
        <v>24</v>
      </c>
      <c r="AC32" s="126"/>
      <c r="AD32" s="9"/>
      <c r="AE32" s="214" t="s">
        <v>187</v>
      </c>
      <c r="AF32" s="136"/>
      <c r="AG32" s="200"/>
      <c r="AH32" s="14"/>
      <c r="AI32" s="14"/>
      <c r="AJ32" s="14"/>
      <c r="AK32" s="14"/>
      <c r="AL32" s="211"/>
      <c r="AM32" s="210" t="s">
        <v>188</v>
      </c>
      <c r="AN32" s="221"/>
      <c r="AO32" s="14"/>
      <c r="AP32" s="14"/>
      <c r="AQ32" s="343"/>
      <c r="AR32" s="343"/>
      <c r="AS32" s="200"/>
      <c r="AT32" s="200"/>
      <c r="AU32" s="14"/>
      <c r="AV32" s="141"/>
      <c r="AW32" s="22"/>
      <c r="AX32" s="126"/>
    </row>
    <row r="33" spans="2:50" s="1" customFormat="1" ht="15" customHeight="1">
      <c r="B33" s="150">
        <v>25</v>
      </c>
      <c r="C33" s="126"/>
      <c r="D33" s="9"/>
      <c r="E33" s="39" t="s">
        <v>4</v>
      </c>
      <c r="F33" s="6"/>
      <c r="G33" s="26"/>
      <c r="H33" s="6"/>
      <c r="I33" s="16"/>
      <c r="J33" s="56">
        <v>10</v>
      </c>
      <c r="K33" s="56"/>
      <c r="L33" s="11" t="s">
        <v>212</v>
      </c>
      <c r="M33" s="8" t="s">
        <v>145</v>
      </c>
      <c r="N33" s="9"/>
      <c r="O33" s="9"/>
      <c r="P33" s="9"/>
      <c r="Q33" s="453"/>
      <c r="R33" s="453"/>
      <c r="S33" s="129"/>
      <c r="T33" s="6" t="s">
        <v>161</v>
      </c>
      <c r="U33" s="9"/>
      <c r="V33" s="22"/>
      <c r="W33" s="139"/>
      <c r="X33" s="126"/>
      <c r="AB33" s="150">
        <v>25</v>
      </c>
      <c r="AC33" s="126"/>
      <c r="AD33" s="9"/>
      <c r="AE33" s="39" t="s">
        <v>4</v>
      </c>
      <c r="AF33" s="6"/>
      <c r="AG33" s="26"/>
      <c r="AH33" s="6"/>
      <c r="AI33" s="16"/>
      <c r="AJ33" s="56">
        <f>IF(T11="British",J33,J33/0.44704)</f>
        <v>10</v>
      </c>
      <c r="AK33" s="56"/>
      <c r="AL33" s="11" t="s">
        <v>5</v>
      </c>
      <c r="AM33" s="8" t="s">
        <v>145</v>
      </c>
      <c r="AN33" s="9"/>
      <c r="AO33" s="9"/>
      <c r="AP33" s="9"/>
      <c r="AQ33" s="453">
        <f t="shared" ref="AQ33" si="1">IF(T11="British",Q33,Q33*4.882431)</f>
        <v>0</v>
      </c>
      <c r="AR33" s="453"/>
      <c r="AS33" s="129"/>
      <c r="AT33" s="6" t="s">
        <v>161</v>
      </c>
      <c r="AU33" s="9"/>
      <c r="AV33" s="22"/>
      <c r="AW33" s="139"/>
      <c r="AX33" s="126"/>
    </row>
    <row r="34" spans="2:50" s="1" customFormat="1" ht="15" customHeight="1">
      <c r="B34" s="150">
        <v>26</v>
      </c>
      <c r="C34" s="126"/>
      <c r="D34" s="9"/>
      <c r="E34" s="39" t="s">
        <v>2</v>
      </c>
      <c r="F34" s="6"/>
      <c r="G34" s="26"/>
      <c r="H34" s="6"/>
      <c r="I34" s="16"/>
      <c r="J34" s="56">
        <v>35</v>
      </c>
      <c r="K34" s="56"/>
      <c r="L34" s="186" t="s">
        <v>36</v>
      </c>
      <c r="M34" s="216" t="s">
        <v>125</v>
      </c>
      <c r="N34" s="223"/>
      <c r="O34" s="5"/>
      <c r="Q34" s="458">
        <v>1E-3</v>
      </c>
      <c r="R34" s="458"/>
      <c r="S34" s="129"/>
      <c r="T34" s="6" t="s">
        <v>161</v>
      </c>
      <c r="U34" s="9"/>
      <c r="V34" s="22"/>
      <c r="W34" s="22"/>
      <c r="X34" s="126"/>
      <c r="Z34" s="151" t="s">
        <v>90</v>
      </c>
      <c r="AA34" s="151"/>
      <c r="AB34" s="150">
        <v>26</v>
      </c>
      <c r="AC34" s="126"/>
      <c r="AD34" s="9"/>
      <c r="AE34" s="39" t="s">
        <v>2</v>
      </c>
      <c r="AF34" s="6"/>
      <c r="AG34" s="26"/>
      <c r="AH34" s="6"/>
      <c r="AI34" s="16"/>
      <c r="AJ34" s="56">
        <f>IF(T11="British",J34,J34*9/5+32)</f>
        <v>35</v>
      </c>
      <c r="AK34" s="56"/>
      <c r="AL34" s="186" t="s">
        <v>36</v>
      </c>
      <c r="AM34" s="216" t="s">
        <v>125</v>
      </c>
      <c r="AN34" s="223"/>
      <c r="AO34" s="5"/>
      <c r="AQ34" s="458">
        <f>IF(T11="British",Q34,Q34*4.882431)</f>
        <v>1E-3</v>
      </c>
      <c r="AR34" s="458"/>
      <c r="AS34" s="129"/>
      <c r="AT34" s="6" t="s">
        <v>161</v>
      </c>
      <c r="AU34" s="9"/>
      <c r="AV34" s="22"/>
      <c r="AW34" s="22"/>
      <c r="AX34" s="126"/>
    </row>
    <row r="35" spans="2:50" s="1" customFormat="1" ht="15" customHeight="1">
      <c r="B35" s="150">
        <v>27</v>
      </c>
      <c r="C35" s="126"/>
      <c r="D35" s="9"/>
      <c r="E35" s="39" t="s">
        <v>6</v>
      </c>
      <c r="F35" s="6"/>
      <c r="G35" s="9"/>
      <c r="H35" s="9"/>
      <c r="I35" s="9"/>
      <c r="J35" s="215">
        <v>0.08</v>
      </c>
      <c r="K35" s="129"/>
      <c r="L35" s="6" t="s">
        <v>210</v>
      </c>
      <c r="M35" s="216" t="s">
        <v>126</v>
      </c>
      <c r="N35" s="223"/>
      <c r="O35" s="5"/>
      <c r="P35" s="9"/>
      <c r="Q35" s="464">
        <v>1.25E-3</v>
      </c>
      <c r="R35" s="464"/>
      <c r="S35" s="129"/>
      <c r="T35" s="6" t="s">
        <v>161</v>
      </c>
      <c r="U35" s="9"/>
      <c r="V35" s="22"/>
      <c r="W35" s="139"/>
      <c r="X35" s="126"/>
      <c r="Z35" s="151" t="s">
        <v>91</v>
      </c>
      <c r="AA35" s="151"/>
      <c r="AB35" s="150">
        <v>27</v>
      </c>
      <c r="AC35" s="126"/>
      <c r="AD35" s="9"/>
      <c r="AE35" s="39" t="s">
        <v>119</v>
      </c>
      <c r="AF35" s="6"/>
      <c r="AG35" s="9"/>
      <c r="AH35" s="9"/>
      <c r="AI35" s="9"/>
      <c r="AJ35" s="56">
        <f>IF(T11="British",J35,J35*(0.3048)^3/0.4536)</f>
        <v>0.08</v>
      </c>
      <c r="AK35" s="129"/>
      <c r="AL35" s="6" t="s">
        <v>3</v>
      </c>
      <c r="AM35" s="216" t="s">
        <v>126</v>
      </c>
      <c r="AN35" s="223"/>
      <c r="AO35" s="5"/>
      <c r="AP35" s="9"/>
      <c r="AQ35" s="464">
        <f>IF(T11="British",Q35,Q35*4.882431)</f>
        <v>1.25E-3</v>
      </c>
      <c r="AR35" s="464"/>
      <c r="AS35" s="129"/>
      <c r="AT35" s="6" t="s">
        <v>161</v>
      </c>
      <c r="AU35" s="9"/>
      <c r="AV35" s="22"/>
      <c r="AW35" s="139"/>
      <c r="AX35" s="126"/>
    </row>
    <row r="36" spans="2:50" s="1" customFormat="1" ht="15" customHeight="1">
      <c r="B36" s="150">
        <v>28</v>
      </c>
      <c r="C36" s="126"/>
      <c r="D36" s="9"/>
      <c r="E36" s="39" t="s">
        <v>7</v>
      </c>
      <c r="F36" s="6"/>
      <c r="G36" s="9"/>
      <c r="H36" s="9"/>
      <c r="I36" s="9"/>
      <c r="J36" s="57">
        <v>1.4999999999999999E-2</v>
      </c>
      <c r="K36" s="57"/>
      <c r="L36" s="6" t="s">
        <v>160</v>
      </c>
      <c r="M36" s="216" t="s">
        <v>128</v>
      </c>
      <c r="N36" s="223"/>
      <c r="O36" s="9"/>
      <c r="P36" s="9"/>
      <c r="Q36" s="458">
        <v>1E-3</v>
      </c>
      <c r="R36" s="458"/>
      <c r="S36" s="129"/>
      <c r="T36" s="6" t="s">
        <v>161</v>
      </c>
      <c r="U36" s="9"/>
      <c r="V36" s="22"/>
      <c r="W36" s="140"/>
      <c r="X36" s="126"/>
      <c r="Z36" s="151" t="s">
        <v>92</v>
      </c>
      <c r="AA36" s="151"/>
      <c r="AB36" s="150">
        <v>28</v>
      </c>
      <c r="AC36" s="126"/>
      <c r="AD36" s="9"/>
      <c r="AE36" s="39" t="s">
        <v>7</v>
      </c>
      <c r="AF36" s="6"/>
      <c r="AG36" s="9"/>
      <c r="AH36" s="9"/>
      <c r="AI36" s="9"/>
      <c r="AJ36" s="56">
        <f>IF(T11="British",J36,J36/1.488164)</f>
        <v>1.4999999999999999E-2</v>
      </c>
      <c r="AK36" s="57"/>
      <c r="AL36" s="6" t="s">
        <v>1</v>
      </c>
      <c r="AM36" s="216" t="s">
        <v>128</v>
      </c>
      <c r="AN36" s="223"/>
      <c r="AO36" s="9"/>
      <c r="AP36" s="9"/>
      <c r="AQ36" s="458">
        <f>IF(T11="British",Q36,Q36*4.882431)</f>
        <v>1E-3</v>
      </c>
      <c r="AR36" s="458"/>
      <c r="AS36" s="129"/>
      <c r="AT36" s="6" t="s">
        <v>161</v>
      </c>
      <c r="AU36" s="9"/>
      <c r="AV36" s="22"/>
      <c r="AW36" s="140"/>
      <c r="AX36" s="126"/>
    </row>
    <row r="37" spans="2:50" s="1" customFormat="1" ht="15" customHeight="1">
      <c r="B37" s="150">
        <v>29</v>
      </c>
      <c r="C37" s="126"/>
      <c r="D37" s="9"/>
      <c r="E37" s="39" t="s">
        <v>8</v>
      </c>
      <c r="F37" s="6"/>
      <c r="G37" s="9"/>
      <c r="H37" s="9"/>
      <c r="I37" s="9"/>
      <c r="J37" s="215">
        <v>0.25</v>
      </c>
      <c r="K37" s="129"/>
      <c r="L37" s="6" t="s">
        <v>213</v>
      </c>
      <c r="M37" s="216" t="s">
        <v>129</v>
      </c>
      <c r="N37" s="223"/>
      <c r="O37" s="153"/>
      <c r="P37" s="153"/>
      <c r="Q37" s="458">
        <v>2E-3</v>
      </c>
      <c r="R37" s="458"/>
      <c r="S37" s="129"/>
      <c r="T37" s="6" t="s">
        <v>161</v>
      </c>
      <c r="U37" s="9"/>
      <c r="V37" s="22"/>
      <c r="W37" s="139"/>
      <c r="X37" s="126"/>
      <c r="Z37" s="151" t="s">
        <v>93</v>
      </c>
      <c r="AA37" s="151"/>
      <c r="AB37" s="150">
        <v>29</v>
      </c>
      <c r="AC37" s="126"/>
      <c r="AD37" s="9"/>
      <c r="AE37" s="39" t="s">
        <v>8</v>
      </c>
      <c r="AF37" s="6"/>
      <c r="AG37" s="9"/>
      <c r="AH37" s="9"/>
      <c r="AI37" s="9"/>
      <c r="AJ37" s="56">
        <f>IF(T11="British",J37,J37)</f>
        <v>0.25</v>
      </c>
      <c r="AK37" s="129"/>
      <c r="AL37" s="6" t="s">
        <v>9</v>
      </c>
      <c r="AM37" s="216" t="s">
        <v>129</v>
      </c>
      <c r="AN37" s="223"/>
      <c r="AO37" s="153"/>
      <c r="AP37" s="153"/>
      <c r="AQ37" s="458">
        <f>IF(T11="British",Q37,Q37*4.882431)</f>
        <v>2E-3</v>
      </c>
      <c r="AR37" s="458"/>
      <c r="AS37" s="129"/>
      <c r="AT37" s="6" t="s">
        <v>161</v>
      </c>
      <c r="AU37" s="9"/>
      <c r="AV37" s="22"/>
      <c r="AW37" s="139"/>
      <c r="AX37" s="126"/>
    </row>
    <row r="38" spans="2:50" s="1" customFormat="1" ht="15" customHeight="1">
      <c r="B38" s="150">
        <v>30</v>
      </c>
      <c r="C38" s="126"/>
      <c r="D38" s="9"/>
      <c r="E38" s="39" t="s">
        <v>85</v>
      </c>
      <c r="F38" s="6"/>
      <c r="G38" s="9"/>
      <c r="H38" s="9"/>
      <c r="I38" s="9"/>
      <c r="J38" s="215">
        <v>7.0000000000000001E-3</v>
      </c>
      <c r="K38" s="129"/>
      <c r="L38" s="6" t="s">
        <v>84</v>
      </c>
      <c r="M38" s="180" t="s">
        <v>146</v>
      </c>
      <c r="N38" s="12"/>
      <c r="O38" s="12"/>
      <c r="P38" s="12"/>
      <c r="Q38" s="465">
        <v>5.0000000000000001E-3</v>
      </c>
      <c r="R38" s="465"/>
      <c r="S38" s="135"/>
      <c r="T38" s="10" t="s">
        <v>161</v>
      </c>
      <c r="U38" s="12"/>
      <c r="V38" s="20"/>
      <c r="X38" s="126"/>
      <c r="Z38" s="151" t="s">
        <v>94</v>
      </c>
      <c r="AA38" s="151"/>
      <c r="AB38" s="150">
        <v>30</v>
      </c>
      <c r="AC38" s="126"/>
      <c r="AD38" s="9"/>
      <c r="AE38" s="39" t="s">
        <v>85</v>
      </c>
      <c r="AF38" s="6"/>
      <c r="AG38" s="9"/>
      <c r="AH38" s="9"/>
      <c r="AI38" s="9"/>
      <c r="AJ38" s="56">
        <f>IF(T11="British",J38,J38)</f>
        <v>7.0000000000000001E-3</v>
      </c>
      <c r="AK38" s="129"/>
      <c r="AL38" s="6" t="s">
        <v>84</v>
      </c>
      <c r="AM38" s="180" t="s">
        <v>146</v>
      </c>
      <c r="AN38" s="12"/>
      <c r="AO38" s="12"/>
      <c r="AP38" s="12"/>
      <c r="AQ38" s="465">
        <f>IF(T11="British",Q38,Q38*4.882431)</f>
        <v>5.0000000000000001E-3</v>
      </c>
      <c r="AR38" s="465"/>
      <c r="AS38" s="135"/>
      <c r="AT38" s="10" t="s">
        <v>161</v>
      </c>
      <c r="AU38" s="12"/>
      <c r="AV38" s="20"/>
      <c r="AX38" s="126"/>
    </row>
    <row r="39" spans="2:50" s="1" customFormat="1" ht="15" customHeight="1">
      <c r="B39" s="150">
        <v>31</v>
      </c>
      <c r="C39" s="126"/>
      <c r="D39" s="9"/>
      <c r="E39" s="39" t="s">
        <v>13</v>
      </c>
      <c r="F39" s="6"/>
      <c r="G39" s="9"/>
      <c r="H39" s="9"/>
      <c r="I39" s="9"/>
      <c r="J39" s="215">
        <v>2E-3</v>
      </c>
      <c r="K39" s="129"/>
      <c r="L39" s="6" t="s">
        <v>162</v>
      </c>
      <c r="M39" s="217" t="s">
        <v>147</v>
      </c>
      <c r="N39" s="218"/>
      <c r="O39" s="218"/>
      <c r="P39" s="218"/>
      <c r="Q39" s="12"/>
      <c r="R39" s="12"/>
      <c r="S39" s="12"/>
      <c r="T39" s="12"/>
      <c r="U39" s="12"/>
      <c r="V39" s="141"/>
      <c r="W39" s="139"/>
      <c r="X39" s="126"/>
      <c r="Z39" s="151" t="s">
        <v>95</v>
      </c>
      <c r="AA39" s="151"/>
      <c r="AB39" s="150">
        <v>31</v>
      </c>
      <c r="AC39" s="126"/>
      <c r="AD39" s="9"/>
      <c r="AE39" s="39" t="s">
        <v>13</v>
      </c>
      <c r="AF39" s="6"/>
      <c r="AG39" s="9"/>
      <c r="AH39" s="9"/>
      <c r="AI39" s="9"/>
      <c r="AJ39" s="56">
        <f>IF(T11="British",J39,J39/1.8)</f>
        <v>2E-3</v>
      </c>
      <c r="AK39" s="129"/>
      <c r="AL39" s="6" t="s">
        <v>120</v>
      </c>
      <c r="AM39" s="217" t="s">
        <v>147</v>
      </c>
      <c r="AN39" s="218"/>
      <c r="AO39" s="218"/>
      <c r="AP39" s="218"/>
      <c r="AQ39" s="12"/>
      <c r="AR39" s="12"/>
      <c r="AS39" s="12"/>
      <c r="AT39" s="12"/>
      <c r="AU39" s="12"/>
      <c r="AV39" s="141"/>
      <c r="AW39" s="139"/>
      <c r="AX39" s="126"/>
    </row>
    <row r="40" spans="2:50" s="1" customFormat="1" ht="15" customHeight="1">
      <c r="B40" s="150">
        <v>32</v>
      </c>
      <c r="C40" s="126"/>
      <c r="D40" s="9"/>
      <c r="E40" s="39" t="s">
        <v>148</v>
      </c>
      <c r="F40" s="6"/>
      <c r="J40" s="219">
        <f>IF(T11="British",4.18*100000000,9.8)</f>
        <v>418000000</v>
      </c>
      <c r="K40" s="185"/>
      <c r="L40" s="11" t="str">
        <f>IF(T11="British","ft/hr2","m/s2")</f>
        <v>ft/hr2</v>
      </c>
      <c r="M40" s="13" t="s">
        <v>99</v>
      </c>
      <c r="N40" s="6"/>
      <c r="O40" s="9"/>
      <c r="P40" s="9"/>
      <c r="Q40" s="466">
        <v>40</v>
      </c>
      <c r="R40" s="466"/>
      <c r="S40" s="129"/>
      <c r="T40" s="177" t="s">
        <v>36</v>
      </c>
      <c r="V40" s="139"/>
      <c r="W40" s="139"/>
      <c r="X40" s="126"/>
      <c r="Z40" s="151" t="s">
        <v>96</v>
      </c>
      <c r="AA40" s="151"/>
      <c r="AB40" s="150">
        <v>32</v>
      </c>
      <c r="AC40" s="126"/>
      <c r="AD40" s="9"/>
      <c r="AE40" s="39" t="s">
        <v>148</v>
      </c>
      <c r="AF40" s="6"/>
      <c r="AJ40" s="238">
        <f t="shared" ref="AJ40:AJ41" si="2">J40</f>
        <v>418000000</v>
      </c>
      <c r="AK40" s="185"/>
      <c r="AL40" s="11" t="s">
        <v>149</v>
      </c>
      <c r="AM40" s="13" t="s">
        <v>99</v>
      </c>
      <c r="AN40" s="6"/>
      <c r="AO40" s="9"/>
      <c r="AP40" s="9"/>
      <c r="AQ40" s="466">
        <f>IF(T11="British",Q40,Q40*9/5+32)</f>
        <v>40</v>
      </c>
      <c r="AR40" s="466"/>
      <c r="AS40" s="129"/>
      <c r="AT40" s="177" t="s">
        <v>36</v>
      </c>
      <c r="AV40" s="139"/>
      <c r="AW40" s="139"/>
      <c r="AX40" s="126"/>
    </row>
    <row r="41" spans="2:50" s="1" customFormat="1" ht="15" customHeight="1">
      <c r="B41" s="150">
        <v>33</v>
      </c>
      <c r="C41" s="126"/>
      <c r="D41" s="9"/>
      <c r="E41" s="179" t="s">
        <v>16</v>
      </c>
      <c r="F41" s="10"/>
      <c r="G41" s="12"/>
      <c r="H41" s="12"/>
      <c r="I41" s="12"/>
      <c r="J41" s="134">
        <v>0.9</v>
      </c>
      <c r="K41" s="134"/>
      <c r="L41" s="12"/>
      <c r="M41" s="4" t="s">
        <v>100</v>
      </c>
      <c r="N41" s="6"/>
      <c r="O41" s="26"/>
      <c r="P41" s="9"/>
      <c r="Q41" s="467">
        <v>0.8</v>
      </c>
      <c r="R41" s="467"/>
      <c r="S41" s="129"/>
      <c r="T41" s="6" t="s">
        <v>160</v>
      </c>
      <c r="V41" s="139"/>
      <c r="W41" s="6"/>
      <c r="X41" s="126"/>
      <c r="Z41" s="151" t="s">
        <v>97</v>
      </c>
      <c r="AA41" s="151"/>
      <c r="AB41" s="150">
        <v>33</v>
      </c>
      <c r="AC41" s="126"/>
      <c r="AD41" s="9"/>
      <c r="AE41" s="179" t="s">
        <v>16</v>
      </c>
      <c r="AF41" s="10"/>
      <c r="AG41" s="12"/>
      <c r="AH41" s="12"/>
      <c r="AI41" s="12"/>
      <c r="AJ41" s="215">
        <f t="shared" si="2"/>
        <v>0.9</v>
      </c>
      <c r="AK41" s="134"/>
      <c r="AL41" s="12"/>
      <c r="AM41" s="4" t="s">
        <v>100</v>
      </c>
      <c r="AN41" s="6"/>
      <c r="AO41" s="26"/>
      <c r="AP41" s="9"/>
      <c r="AQ41" s="476">
        <f>IF(T11="British",Q41,Q41/1.488164)</f>
        <v>0.8</v>
      </c>
      <c r="AR41" s="476"/>
      <c r="AS41" s="129"/>
      <c r="AT41" s="6" t="s">
        <v>1</v>
      </c>
      <c r="AV41" s="139"/>
      <c r="AW41" s="6"/>
      <c r="AX41" s="126"/>
    </row>
    <row r="42" spans="2:50" s="1" customFormat="1" ht="15" customHeight="1">
      <c r="B42" s="150">
        <v>34</v>
      </c>
      <c r="C42" s="126"/>
      <c r="D42" s="9"/>
      <c r="E42" s="142" t="s">
        <v>15</v>
      </c>
      <c r="F42" s="221"/>
      <c r="G42" s="15"/>
      <c r="H42" s="14"/>
      <c r="I42" s="193"/>
      <c r="J42" s="14"/>
      <c r="K42" s="14"/>
      <c r="L42" s="220"/>
      <c r="M42" s="136"/>
      <c r="N42" s="136"/>
      <c r="O42" s="136"/>
      <c r="P42" s="136"/>
      <c r="Q42" s="14"/>
      <c r="R42" s="14"/>
      <c r="S42" s="14"/>
      <c r="T42" s="14"/>
      <c r="U42" s="14"/>
      <c r="V42" s="141"/>
      <c r="W42" s="139"/>
      <c r="X42" s="126"/>
      <c r="Z42" s="151" t="s">
        <v>87</v>
      </c>
      <c r="AA42" s="151"/>
      <c r="AB42" s="150">
        <v>34</v>
      </c>
      <c r="AC42" s="126"/>
      <c r="AD42" s="9"/>
      <c r="AE42" s="142" t="s">
        <v>15</v>
      </c>
      <c r="AF42" s="221"/>
      <c r="AG42" s="15"/>
      <c r="AH42" s="14"/>
      <c r="AI42" s="193"/>
      <c r="AJ42" s="14"/>
      <c r="AK42" s="14"/>
      <c r="AL42" s="220"/>
      <c r="AM42" s="136"/>
      <c r="AN42" s="136"/>
      <c r="AO42" s="136"/>
      <c r="AP42" s="136"/>
      <c r="AQ42" s="14"/>
      <c r="AR42" s="14"/>
      <c r="AS42" s="14"/>
      <c r="AT42" s="14"/>
      <c r="AU42" s="14"/>
      <c r="AV42" s="141"/>
      <c r="AW42" s="139"/>
      <c r="AX42" s="126"/>
    </row>
    <row r="43" spans="2:50" s="1" customFormat="1" ht="15" customHeight="1">
      <c r="B43" s="150">
        <v>35</v>
      </c>
      <c r="C43" s="126"/>
      <c r="D43" s="9"/>
      <c r="E43" s="143" t="s">
        <v>58</v>
      </c>
      <c r="F43" s="2"/>
      <c r="G43" s="52"/>
      <c r="H43" s="2"/>
      <c r="I43" s="17"/>
      <c r="J43" s="449" t="s">
        <v>164</v>
      </c>
      <c r="K43" s="449"/>
      <c r="L43" s="118"/>
      <c r="M43" s="2" t="str">
        <f>IF(J43="STEAM"," Pressure"," Specific Heat")</f>
        <v xml:space="preserve"> Pressure</v>
      </c>
      <c r="N43" s="2"/>
      <c r="O43" s="3"/>
      <c r="P43" s="3"/>
      <c r="Q43" s="468">
        <v>49.38</v>
      </c>
      <c r="R43" s="468"/>
      <c r="S43" s="129"/>
      <c r="T43" s="2" t="str">
        <f>IF(J43="STEAM",IF(T11="British","psig","kg/cm2g"),IF(T11="British","Btu/lb.F","kcal/kg.℃"))</f>
        <v>psig</v>
      </c>
      <c r="V43" s="139"/>
      <c r="X43" s="126"/>
      <c r="Z43" s="151" t="s">
        <v>88</v>
      </c>
      <c r="AA43" s="151"/>
      <c r="AB43" s="150">
        <v>35</v>
      </c>
      <c r="AC43" s="126"/>
      <c r="AD43" s="9"/>
      <c r="AE43" s="143" t="s">
        <v>58</v>
      </c>
      <c r="AF43" s="2"/>
      <c r="AG43" s="52"/>
      <c r="AH43" s="2"/>
      <c r="AI43" s="17"/>
      <c r="AJ43" s="449" t="str">
        <f>J43</f>
        <v>STEAM</v>
      </c>
      <c r="AK43" s="449"/>
      <c r="AL43" s="118"/>
      <c r="AM43" s="13" t="str">
        <f>M43</f>
        <v xml:space="preserve"> Pressure</v>
      </c>
      <c r="AN43" s="2"/>
      <c r="AO43" s="3"/>
      <c r="AP43" s="3"/>
      <c r="AQ43" s="468">
        <f>IF(J43="STEAM",IF(T11="British",Q43,Q43*14.22334),Q43)</f>
        <v>49.38</v>
      </c>
      <c r="AR43" s="468"/>
      <c r="AS43" s="129"/>
      <c r="AT43" s="2" t="str">
        <f>T43</f>
        <v>psig</v>
      </c>
      <c r="AV43" s="139"/>
      <c r="AX43" s="126"/>
    </row>
    <row r="44" spans="2:50" s="1" customFormat="1" ht="15" customHeight="1">
      <c r="B44" s="150">
        <v>36</v>
      </c>
      <c r="C44" s="126"/>
      <c r="D44" s="9"/>
      <c r="E44" s="39" t="s">
        <v>59</v>
      </c>
      <c r="F44" s="6"/>
      <c r="G44" s="26"/>
      <c r="H44" s="6"/>
      <c r="I44" s="16"/>
      <c r="J44" s="60">
        <v>296.60000000000002</v>
      </c>
      <c r="K44" s="65"/>
      <c r="L44" s="119" t="s">
        <v>36</v>
      </c>
      <c r="M44" s="4" t="str">
        <f>IF(J43="STEAM"," Latent Heat"," Viscosity")</f>
        <v xml:space="preserve"> Latent Heat</v>
      </c>
      <c r="N44" s="6"/>
      <c r="O44" s="9"/>
      <c r="P44" s="9"/>
      <c r="Q44" s="452">
        <v>913</v>
      </c>
      <c r="R44" s="469"/>
      <c r="S44" s="129"/>
      <c r="T44" s="6" t="str">
        <f>IF(J43="STEAM",IF(T11="British","Btu/lb","kcal/kg"),"cP")</f>
        <v>Btu/lb</v>
      </c>
      <c r="V44" s="139"/>
      <c r="X44" s="126"/>
      <c r="Z44" s="151" t="s">
        <v>89</v>
      </c>
      <c r="AA44" s="151"/>
      <c r="AB44" s="150">
        <v>36</v>
      </c>
      <c r="AC44" s="126"/>
      <c r="AD44" s="9"/>
      <c r="AE44" s="39" t="s">
        <v>59</v>
      </c>
      <c r="AF44" s="6"/>
      <c r="AG44" s="26"/>
      <c r="AH44" s="6"/>
      <c r="AI44" s="16"/>
      <c r="AJ44" s="60">
        <f>IF(T11="British",J44,J44*9/5+32)</f>
        <v>296.60000000000002</v>
      </c>
      <c r="AK44" s="65"/>
      <c r="AL44" s="119" t="s">
        <v>36</v>
      </c>
      <c r="AM44" s="4" t="str">
        <f t="shared" ref="AM44:AM46" si="3">M44</f>
        <v xml:space="preserve"> Latent Heat</v>
      </c>
      <c r="AN44" s="6"/>
      <c r="AO44" s="9"/>
      <c r="AP44" s="9"/>
      <c r="AQ44" s="452">
        <f>IF(J43="STEAM",IF(T11="British",Q44,Q44/0.2519958*0.4536),Q44)</f>
        <v>913</v>
      </c>
      <c r="AR44" s="452"/>
      <c r="AS44" s="129"/>
      <c r="AT44" s="6" t="str">
        <f>T44</f>
        <v>Btu/lb</v>
      </c>
      <c r="AV44" s="139"/>
      <c r="AX44" s="126"/>
    </row>
    <row r="45" spans="2:50" s="1" customFormat="1" ht="15" customHeight="1">
      <c r="B45" s="150">
        <v>37</v>
      </c>
      <c r="C45" s="126"/>
      <c r="D45" s="9"/>
      <c r="E45" s="39" t="s">
        <v>150</v>
      </c>
      <c r="F45" s="6"/>
      <c r="G45" s="351"/>
      <c r="H45" s="6"/>
      <c r="I45" s="16"/>
      <c r="J45" s="352">
        <v>2</v>
      </c>
      <c r="K45" s="352"/>
      <c r="L45" s="11" t="s">
        <v>131</v>
      </c>
      <c r="M45" s="6" t="str">
        <f>IF(J43="STEAM"," "," Conductivity ")</f>
        <v xml:space="preserve"> </v>
      </c>
      <c r="N45" s="6"/>
      <c r="O45" s="9"/>
      <c r="P45" s="9"/>
      <c r="Q45" s="454"/>
      <c r="R45" s="470"/>
      <c r="S45" s="129"/>
      <c r="T45" s="6" t="str">
        <f>IF(J43="STEAM","",IF(T11="British","Btu/ft.hr.F","kcal/m.hr.℃"))</f>
        <v/>
      </c>
      <c r="V45" s="139"/>
      <c r="X45" s="126"/>
      <c r="Z45" s="152" t="s">
        <v>98</v>
      </c>
      <c r="AA45" s="152"/>
      <c r="AB45" s="150">
        <v>37</v>
      </c>
      <c r="AC45" s="126"/>
      <c r="AD45" s="9"/>
      <c r="AE45" s="39" t="s">
        <v>150</v>
      </c>
      <c r="AF45" s="6"/>
      <c r="AG45" s="351"/>
      <c r="AH45" s="6"/>
      <c r="AI45" s="16"/>
      <c r="AJ45" s="60">
        <f>J45</f>
        <v>2</v>
      </c>
      <c r="AK45" s="352"/>
      <c r="AL45" s="11" t="s">
        <v>131</v>
      </c>
      <c r="AM45" s="4" t="str">
        <f t="shared" si="3"/>
        <v xml:space="preserve"> </v>
      </c>
      <c r="AN45" s="6"/>
      <c r="AO45" s="9"/>
      <c r="AP45" s="9"/>
      <c r="AQ45" s="452" t="str">
        <f>IF(J43="STEAM","",IF(T11="British",Q45,Q45/1.488164))</f>
        <v/>
      </c>
      <c r="AR45" s="452"/>
      <c r="AS45" s="129"/>
      <c r="AT45" s="6" t="str">
        <f>T45</f>
        <v/>
      </c>
      <c r="AV45" s="139"/>
      <c r="AX45" s="126"/>
    </row>
    <row r="46" spans="2:50" s="1" customFormat="1" ht="15" customHeight="1" thickBot="1">
      <c r="B46" s="150">
        <v>38</v>
      </c>
      <c r="C46" s="126"/>
      <c r="D46" s="9"/>
      <c r="E46" s="353" t="s">
        <v>219</v>
      </c>
      <c r="F46" s="31"/>
      <c r="G46" s="31"/>
      <c r="H46" s="31"/>
      <c r="I46" s="31"/>
      <c r="J46" s="355" t="s">
        <v>220</v>
      </c>
      <c r="K46" s="178"/>
      <c r="L46" s="354"/>
      <c r="M46" s="147" t="str">
        <f>IF(J43="STEAM",""," Velocity ")</f>
        <v/>
      </c>
      <c r="N46" s="145"/>
      <c r="O46" s="31"/>
      <c r="P46" s="31"/>
      <c r="Q46" s="461"/>
      <c r="R46" s="462"/>
      <c r="S46" s="178"/>
      <c r="T46" s="145" t="str">
        <f>IF(J43="STEAM","",IF(T11="British","ft/h","m/s"))</f>
        <v/>
      </c>
      <c r="U46" s="31"/>
      <c r="V46" s="148"/>
      <c r="X46" s="126"/>
      <c r="Z46" s="151"/>
      <c r="AA46" s="151"/>
      <c r="AB46" s="150">
        <v>38</v>
      </c>
      <c r="AC46" s="126"/>
      <c r="AD46" s="9"/>
      <c r="AE46" s="353" t="s">
        <v>219</v>
      </c>
      <c r="AF46" s="31"/>
      <c r="AG46" s="31"/>
      <c r="AH46" s="31"/>
      <c r="AI46" s="31"/>
      <c r="AJ46" s="356" t="str">
        <f>J46</f>
        <v>Sch 40</v>
      </c>
      <c r="AK46" s="178"/>
      <c r="AL46" s="354"/>
      <c r="AM46" s="4" t="str">
        <f t="shared" si="3"/>
        <v/>
      </c>
      <c r="AN46" s="145"/>
      <c r="AO46" s="31"/>
      <c r="AP46" s="31"/>
      <c r="AQ46" s="452" t="str">
        <f>IF(J43="STEAM","",IF(T11="British",Q46,Q46*3600/0.3048))</f>
        <v/>
      </c>
      <c r="AR46" s="452"/>
      <c r="AS46" s="178"/>
      <c r="AT46" s="145" t="str">
        <f>T46</f>
        <v/>
      </c>
      <c r="AU46" s="31"/>
      <c r="AV46" s="148"/>
      <c r="AX46" s="126"/>
    </row>
    <row r="47" spans="2:50" s="1" customFormat="1" ht="15" customHeight="1">
      <c r="B47" s="150">
        <v>39</v>
      </c>
      <c r="C47" s="126"/>
      <c r="D47" s="9"/>
      <c r="M47" s="18"/>
      <c r="N47" s="18"/>
      <c r="O47" s="18"/>
      <c r="P47" s="18"/>
      <c r="Q47" s="18"/>
      <c r="R47" s="18"/>
      <c r="S47" s="18"/>
      <c r="T47" s="18"/>
      <c r="V47" s="9"/>
      <c r="W47" s="22"/>
      <c r="X47" s="126"/>
      <c r="AB47" s="150">
        <v>39</v>
      </c>
      <c r="AC47" s="126"/>
      <c r="AD47" s="9"/>
      <c r="AM47" s="18"/>
      <c r="AN47" s="18"/>
      <c r="AO47" s="18"/>
      <c r="AP47" s="18"/>
      <c r="AQ47" s="18"/>
      <c r="AR47" s="18"/>
      <c r="AS47" s="18"/>
      <c r="AT47" s="18"/>
      <c r="AV47" s="9"/>
      <c r="AW47" s="22"/>
      <c r="AX47" s="126"/>
    </row>
    <row r="48" spans="2:50" s="1" customFormat="1" ht="15" customHeight="1">
      <c r="B48" s="150">
        <v>40</v>
      </c>
      <c r="C48" s="126"/>
      <c r="D48" s="9"/>
      <c r="E48" s="24" t="s">
        <v>121</v>
      </c>
      <c r="F48" s="24"/>
      <c r="G48" s="53"/>
      <c r="H48" s="9"/>
      <c r="I48" s="9"/>
      <c r="J48" s="9"/>
      <c r="K48" s="9"/>
      <c r="L48" s="9"/>
      <c r="V48" s="6"/>
      <c r="W48" s="139"/>
      <c r="X48" s="126"/>
      <c r="AB48" s="150">
        <v>40</v>
      </c>
      <c r="AC48" s="126"/>
      <c r="AD48" s="9"/>
      <c r="AE48" s="24" t="s">
        <v>121</v>
      </c>
      <c r="AF48" s="24"/>
      <c r="AG48" s="53"/>
      <c r="AH48" s="9"/>
      <c r="AI48" s="9"/>
      <c r="AJ48" s="344"/>
      <c r="AK48" s="9"/>
      <c r="AL48" s="9"/>
      <c r="AV48" s="6"/>
      <c r="AW48" s="139"/>
      <c r="AX48" s="126"/>
    </row>
    <row r="49" spans="2:50" s="1" customFormat="1" ht="15" customHeight="1">
      <c r="B49" s="150">
        <v>41</v>
      </c>
      <c r="C49" s="126"/>
      <c r="D49" s="9"/>
      <c r="E49" s="9"/>
      <c r="F49" s="9"/>
      <c r="G49" s="50"/>
      <c r="H49" s="9"/>
      <c r="I49" s="9"/>
      <c r="J49" s="9"/>
      <c r="K49" s="9"/>
      <c r="L49" s="9"/>
      <c r="V49" s="6"/>
      <c r="W49" s="139"/>
      <c r="X49" s="126"/>
      <c r="AB49" s="150">
        <v>41</v>
      </c>
      <c r="AC49" s="126"/>
      <c r="AD49" s="9"/>
      <c r="AE49" s="9"/>
      <c r="AF49" s="9"/>
      <c r="AG49" s="50"/>
      <c r="AH49" s="9"/>
      <c r="AI49" s="9"/>
      <c r="AJ49" s="9"/>
      <c r="AK49" s="9"/>
      <c r="AL49" s="9"/>
      <c r="AV49" s="6"/>
      <c r="AW49" s="139"/>
      <c r="AX49" s="126"/>
    </row>
    <row r="50" spans="2:50" s="1" customFormat="1" ht="15" customHeight="1">
      <c r="B50" s="150">
        <v>42</v>
      </c>
      <c r="C50" s="126"/>
      <c r="D50" s="9"/>
      <c r="F50" s="226" t="s">
        <v>18</v>
      </c>
      <c r="G50" s="227"/>
      <c r="H50" s="228"/>
      <c r="I50" s="357" t="s">
        <v>48</v>
      </c>
      <c r="J50" s="357" t="s">
        <v>49</v>
      </c>
      <c r="K50" s="357" t="s">
        <v>44</v>
      </c>
      <c r="L50" s="358"/>
      <c r="M50" s="407" t="s">
        <v>154</v>
      </c>
      <c r="N50" s="407"/>
      <c r="O50" s="411" t="s">
        <v>155</v>
      </c>
      <c r="P50" s="411"/>
      <c r="Q50" s="385" t="s">
        <v>50</v>
      </c>
      <c r="R50" s="385"/>
      <c r="S50" s="384" t="s">
        <v>157</v>
      </c>
      <c r="T50" s="384"/>
      <c r="U50" s="384"/>
      <c r="V50" s="384"/>
      <c r="W50" s="139"/>
      <c r="X50" s="126"/>
      <c r="AB50" s="150">
        <v>42</v>
      </c>
      <c r="AC50" s="126"/>
      <c r="AD50" s="9"/>
      <c r="AF50" s="226" t="s">
        <v>18</v>
      </c>
      <c r="AG50" s="227"/>
      <c r="AH50" s="228"/>
      <c r="AI50" s="357" t="s">
        <v>48</v>
      </c>
      <c r="AJ50" s="357" t="s">
        <v>49</v>
      </c>
      <c r="AK50" s="357" t="s">
        <v>44</v>
      </c>
      <c r="AL50" s="358"/>
      <c r="AM50" s="407" t="s">
        <v>154</v>
      </c>
      <c r="AN50" s="407"/>
      <c r="AO50" s="411" t="s">
        <v>155</v>
      </c>
      <c r="AP50" s="411"/>
      <c r="AQ50" s="385" t="s">
        <v>50</v>
      </c>
      <c r="AR50" s="385"/>
      <c r="AS50" s="384" t="s">
        <v>157</v>
      </c>
      <c r="AT50" s="384"/>
      <c r="AU50" s="384"/>
      <c r="AV50" s="384"/>
      <c r="AW50" s="139"/>
      <c r="AX50" s="126"/>
    </row>
    <row r="51" spans="2:50" s="1" customFormat="1" ht="15" customHeight="1">
      <c r="B51" s="150">
        <v>43</v>
      </c>
      <c r="C51" s="126"/>
      <c r="D51" s="9"/>
      <c r="F51" s="234"/>
      <c r="G51" s="207"/>
      <c r="H51" s="233"/>
      <c r="I51" s="359"/>
      <c r="J51" s="359"/>
      <c r="K51" s="359"/>
      <c r="L51" s="360"/>
      <c r="M51" s="192" t="s">
        <v>46</v>
      </c>
      <c r="N51" s="192" t="s">
        <v>47</v>
      </c>
      <c r="O51" s="394" t="s">
        <v>156</v>
      </c>
      <c r="P51" s="394"/>
      <c r="Q51" s="385"/>
      <c r="R51" s="385"/>
      <c r="S51" s="384"/>
      <c r="T51" s="384"/>
      <c r="U51" s="384"/>
      <c r="V51" s="384"/>
      <c r="W51" s="22"/>
      <c r="X51" s="126"/>
      <c r="AB51" s="150">
        <v>43</v>
      </c>
      <c r="AC51" s="126"/>
      <c r="AD51" s="9"/>
      <c r="AF51" s="234"/>
      <c r="AG51" s="207"/>
      <c r="AH51" s="233"/>
      <c r="AI51" s="359"/>
      <c r="AJ51" s="359"/>
      <c r="AK51" s="359"/>
      <c r="AL51" s="360"/>
      <c r="AM51" s="192" t="s">
        <v>46</v>
      </c>
      <c r="AN51" s="192" t="s">
        <v>47</v>
      </c>
      <c r="AO51" s="394" t="s">
        <v>156</v>
      </c>
      <c r="AP51" s="394"/>
      <c r="AQ51" s="385"/>
      <c r="AR51" s="385"/>
      <c r="AS51" s="384"/>
      <c r="AT51" s="384"/>
      <c r="AU51" s="384"/>
      <c r="AV51" s="384"/>
      <c r="AW51" s="22"/>
      <c r="AX51" s="126"/>
    </row>
    <row r="52" spans="2:50" s="1" customFormat="1" ht="15" customHeight="1">
      <c r="B52" s="150">
        <v>44</v>
      </c>
      <c r="C52" s="126"/>
      <c r="D52" s="9"/>
      <c r="F52" s="229"/>
      <c r="G52" s="230"/>
      <c r="H52" s="231"/>
      <c r="I52" s="345" t="s">
        <v>36</v>
      </c>
      <c r="J52" s="345" t="s">
        <v>36</v>
      </c>
      <c r="K52" s="450" t="s">
        <v>214</v>
      </c>
      <c r="L52" s="451"/>
      <c r="M52" s="460" t="s">
        <v>214</v>
      </c>
      <c r="N52" s="460"/>
      <c r="O52" s="460" t="s">
        <v>214</v>
      </c>
      <c r="P52" s="460"/>
      <c r="Q52" s="460" t="s">
        <v>161</v>
      </c>
      <c r="R52" s="460"/>
      <c r="S52" s="460" t="s">
        <v>214</v>
      </c>
      <c r="T52" s="460"/>
      <c r="U52" s="460"/>
      <c r="V52" s="460"/>
      <c r="W52" s="22"/>
      <c r="X52" s="126"/>
      <c r="AB52" s="150">
        <v>44</v>
      </c>
      <c r="AC52" s="126"/>
      <c r="AD52" s="9"/>
      <c r="AF52" s="229"/>
      <c r="AG52" s="230"/>
      <c r="AH52" s="231"/>
      <c r="AI52" s="93" t="s">
        <v>36</v>
      </c>
      <c r="AJ52" s="93" t="s">
        <v>36</v>
      </c>
      <c r="AK52" s="395" t="s">
        <v>45</v>
      </c>
      <c r="AL52" s="396"/>
      <c r="AM52" s="385" t="s">
        <v>45</v>
      </c>
      <c r="AN52" s="385"/>
      <c r="AO52" s="385" t="s">
        <v>153</v>
      </c>
      <c r="AP52" s="385"/>
      <c r="AQ52" s="385" t="s">
        <v>12</v>
      </c>
      <c r="AR52" s="385"/>
      <c r="AS52" s="385" t="s">
        <v>45</v>
      </c>
      <c r="AT52" s="385"/>
      <c r="AU52" s="385"/>
      <c r="AV52" s="385"/>
      <c r="AW52" s="22"/>
      <c r="AX52" s="126"/>
    </row>
    <row r="53" spans="2:50" s="1" customFormat="1" ht="15" customHeight="1">
      <c r="B53" s="150">
        <v>45</v>
      </c>
      <c r="C53" s="126"/>
      <c r="D53" s="9"/>
      <c r="F53" s="374" t="s">
        <v>151</v>
      </c>
      <c r="G53" s="379"/>
      <c r="H53" s="375"/>
      <c r="I53" s="268">
        <f>IF($T$11="British",AI53,(AI53-32)*5/9)</f>
        <v>36.072319255421696</v>
      </c>
      <c r="J53" s="268">
        <f>IF($T$11="British",AJ53,(AJ53-32)*5/9)</f>
        <v>45.551292968323175</v>
      </c>
      <c r="K53" s="390">
        <f>IF($T$11="British",AK53,AK53*4.882431)</f>
        <v>0.47700861050750648</v>
      </c>
      <c r="L53" s="391"/>
      <c r="M53" s="235">
        <f t="shared" ref="M53:O54" si="4">IF($T$11="British",AM53,AM53*4.882431)</f>
        <v>1.2285665546032234</v>
      </c>
      <c r="N53" s="235">
        <f t="shared" si="4"/>
        <v>0.75038894013613588</v>
      </c>
      <c r="O53" s="393">
        <f t="shared" si="4"/>
        <v>4.4642857142857144</v>
      </c>
      <c r="P53" s="385"/>
      <c r="Q53" s="385">
        <f>IF($T$11="British",AQ53,AQ53/4.882431)</f>
        <v>1E-3</v>
      </c>
      <c r="R53" s="385"/>
      <c r="S53" s="408">
        <f>IF($T$11="British",AS53,AS53*4.882431)</f>
        <v>0.14147146013917763</v>
      </c>
      <c r="T53" s="408"/>
      <c r="U53" s="408"/>
      <c r="V53" s="408"/>
      <c r="W53" s="22"/>
      <c r="X53" s="126"/>
      <c r="AB53" s="150">
        <v>45</v>
      </c>
      <c r="AC53" s="126"/>
      <c r="AD53" s="9"/>
      <c r="AF53" s="374" t="s">
        <v>151</v>
      </c>
      <c r="AG53" s="379"/>
      <c r="AH53" s="375"/>
      <c r="AI53" s="94">
        <f>Calc(AF53,AI50,$AJ$26,$AQ$26,$AJ$34,$AJ$27,$AQ$27,$AJ$35,$AJ$28,$AQ$28,$AJ$36,$AJ$29,$AQ$29,$AJ$37,$AJ$30,$AQ$30,$AJ$38,$AJ$31,$AQ$31,$AJ$39,$AJ$33,$AJ$41,$AQ$40,$AQ$41,$AQ$34,$AQ$35,$AQ$36,$AQ$37,$AJ$17,$AJ$19,$AQ$18,$AJ$20,$AJ$22,$AJ$23,$AQ$21,$AQ$21,$AQ$21,$AQ$20,$AQ$20,$AQ$20)</f>
        <v>36.072319255421696</v>
      </c>
      <c r="AJ53" s="92">
        <f>Calc(AF53,AJ50,AJ26,AQ26,AJ34,AJ27,AQ27,AJ35,AJ28,AQ28,AJ36,AJ29,AQ29,AJ37,AJ30,AQ30,AJ38,AJ31,AQ31,AJ39,AJ33,AJ41,AQ40,AQ41,AQ34,AQ35,AQ36,AQ37,AJ17,AJ19,AQ18,AJ20,AJ22,AJ23,AQ21,AQ21,AQ21,AQ20,AQ20,AQ20)</f>
        <v>45.551292968323175</v>
      </c>
      <c r="AK53" s="390">
        <f>Calc(AF53,AK50,AJ26,AQ26,AJ34,AJ27,AQ27,AJ35,AJ28,AQ28,AJ36,AJ29,AQ29,AJ37,AJ30,AQ30,AJ38,AJ31,AQ31,AJ39,AJ33,AJ41,AQ40,AQ41,AQ34,AQ35,AQ36,AQ37,AJ17,AJ19,AQ18,AJ20,AJ22,AJ23,AQ21,AQ21,AQ21,AQ20,AQ20,AQ20)</f>
        <v>0.47700861050750648</v>
      </c>
      <c r="AL53" s="391"/>
      <c r="AM53" s="235">
        <f>Calc(AF53,AM51,AJ26,AQ26,AJ34,AJ27,AQ27,AJ35,AJ28,AQ28,AJ36,AJ29,AQ29,AJ37,AJ30,AQ30,AJ38,AJ31,AQ31,AJ39,AJ33,AJ41,AQ40,AQ41,AQ34,AQ35,AQ36,AQ37,AJ17,AJ19,AQ18,AJ20,AJ22,AJ23,AQ21,AQ21,AQ21,AQ20,AQ20,AQ20)</f>
        <v>1.2285665546032234</v>
      </c>
      <c r="AN53" s="235">
        <f>Calc(AF53,AN51,AJ26,AQ26,AJ34,AJ27,AQ27,AJ35,AJ28,AQ28,AJ36,AJ29,AQ29,AJ37,AJ30,AQ30,AJ38,AJ31,AQ31,AJ39,AJ33,AJ41,AQ40,AQ41,AQ34,AQ35,AQ36,AQ37,AJ17,AJ19,AQ18,AJ20,AJ22,AJ23,AQ21,AQ21,AQ21,AQ20,AQ20,AQ20)</f>
        <v>0.75038894013613588</v>
      </c>
      <c r="AO53" s="393">
        <f>AQ22</f>
        <v>4.4642857142857144</v>
      </c>
      <c r="AP53" s="385"/>
      <c r="AQ53" s="393">
        <f>AQ34</f>
        <v>1E-3</v>
      </c>
      <c r="AR53" s="385"/>
      <c r="AS53" s="408">
        <f>Calc(AF53,AS50,AJ26,AQ26,AJ34,AJ27,AQ27,AJ35,AJ28,AQ28,AJ36,AJ29,AQ29,AJ37,AJ30,AQ30,AJ38,AJ31,AQ31,AJ39,AJ33,AJ41,AQ40,AQ41,AQ34,AQ35,AQ36,AQ37,AJ17,AJ19,AQ18,AJ20,AJ22,AJ23,AQ21,AQ21,AQ21,AQ20,AQ20,AQ20)</f>
        <v>0.14147146013917763</v>
      </c>
      <c r="AT53" s="408"/>
      <c r="AU53" s="408"/>
      <c r="AV53" s="408"/>
      <c r="AW53" s="22"/>
      <c r="AX53" s="126"/>
    </row>
    <row r="54" spans="2:50" s="1" customFormat="1" ht="15" customHeight="1">
      <c r="B54" s="150">
        <v>46</v>
      </c>
      <c r="C54" s="126"/>
      <c r="D54" s="9"/>
      <c r="E54" s="9"/>
      <c r="F54" s="374" t="s">
        <v>152</v>
      </c>
      <c r="G54" s="379"/>
      <c r="H54" s="375"/>
      <c r="I54" s="268">
        <f>IF($T$11="British",AI54,(AI54-32)*5/9)</f>
        <v>36.75518247805082</v>
      </c>
      <c r="J54" s="268">
        <f>IF($T$11="British",AJ54,(AJ54-32)*5/9)</f>
        <v>51.824607375977102</v>
      </c>
      <c r="K54" s="390">
        <f>IF($T$11="British",AK54,AK54*4.882431)</f>
        <v>1.0623649156094324</v>
      </c>
      <c r="L54" s="391"/>
      <c r="M54" s="235">
        <f t="shared" si="4"/>
        <v>1.1700376355762925</v>
      </c>
      <c r="N54" s="235">
        <f t="shared" si="4"/>
        <v>0.75194257061057701</v>
      </c>
      <c r="O54" s="393">
        <f t="shared" si="4"/>
        <v>4.4642857142857144</v>
      </c>
      <c r="P54" s="385"/>
      <c r="Q54" s="385">
        <f>IF($T$11="British",AQ54,AQ54/4.882431)</f>
        <v>1.25E-3</v>
      </c>
      <c r="R54" s="385"/>
      <c r="S54" s="408">
        <f>IF($T$11="British",AS54,AS54*4.882431)</f>
        <v>0.16867129461182959</v>
      </c>
      <c r="T54" s="408"/>
      <c r="U54" s="408"/>
      <c r="V54" s="408"/>
      <c r="W54" s="139"/>
      <c r="X54" s="126"/>
      <c r="AB54" s="150">
        <v>46</v>
      </c>
      <c r="AC54" s="126"/>
      <c r="AD54" s="9"/>
      <c r="AE54" s="9"/>
      <c r="AF54" s="374" t="s">
        <v>152</v>
      </c>
      <c r="AG54" s="379"/>
      <c r="AH54" s="375"/>
      <c r="AI54" s="94">
        <f>Calc(AF54,AI$50,$AJ$26,$AQ$26,$AJ$34,$AJ$27,$AQ$27,$AJ$35,$AJ$28,$AQ$28,$AJ$36,$AJ$29,$AQ$29,$AJ$37,$AJ$30,$AQ$30,$AJ$38,$AJ$31,$AQ$31,$AJ$39,$AJ$33,$AJ$41,$AQ$40,$AQ$41,$AQ$34,$AQ$35,$AQ$36,$AQ$37,$AJ$17,$AJ$19,$AQ$18,$AJ$20,$AJ$22,$AJ$23,$AQ$21,$AQ$21,$AQ$21,$AQ$20,$AQ$20,$AQ$20)</f>
        <v>36.75518247805082</v>
      </c>
      <c r="AJ54" s="94">
        <f>Calc($AF54,AJ$50,$AJ$26,$AQ$26,$AJ$34,$AJ$27,$AQ$27,$AJ$35,$AJ$28,$AQ$28,$AJ$36,$AJ$29,$AQ$29,$AJ$37,$AJ$30,$AQ$30,$AJ$38,$AJ$31,$AQ$31,$AJ$39,$AJ$33,$AJ$41,$AQ$40,$AQ$41,$AQ$34,$AQ$35,$AQ$36,$AQ$37,$AJ$17,$AJ$19,$AQ$18,$AJ$20,$AJ$22,$AJ$23,$AQ$21,$AQ$21,$AQ$21,$AQ$20,$AQ$20,$AQ$20)</f>
        <v>51.824607375977102</v>
      </c>
      <c r="AK54" s="390">
        <f>Calc(AF54,AK50,AJ26,AQ26,AJ34,AJ27,AQ27,AJ35,AJ28,AQ28,AJ36,AJ29,AQ29,AJ37,AJ30,AQ30,AJ38,AJ31,AQ31,AJ39,AJ33,AJ41,AQ40,AQ41,AQ34,AQ35,AQ36,AQ37,AJ17,AJ19,AQ18,AJ20,AJ22,AJ23,AQ21,AQ21,AQ21,AQ20,AQ20,AQ20)</f>
        <v>1.0623649156094324</v>
      </c>
      <c r="AL54" s="391"/>
      <c r="AM54" s="94">
        <f>Calc($AF54,AM51,$AJ$26,$AQ$26,$AJ$34,$AJ$27,$AQ$27,$AJ$35,$AJ$28,$AQ$28,$AJ$36,$AJ$29,$AQ$29,$AJ$37,$AJ$30,$AQ$30,$AJ$38,$AJ$31,$AQ$31,$AJ$39,$AJ$33,$AJ$41,$AQ$40,$AQ$41,$AQ$34,$AQ$35,$AQ$36,$AQ$37,$AJ$17,$AJ$19,$AQ$18,$AJ$20,$AJ$22,$AJ$23,$AQ$21,$AQ$21,$AQ$21,$AQ$20,$AQ$20,$AQ$20)</f>
        <v>1.1700376355762925</v>
      </c>
      <c r="AN54" s="94">
        <f>Calc($AF54,AN51,$AJ$26,$AQ$26,$AJ$34,$AJ$27,$AQ$27,$AJ$35,$AJ$28,$AQ$28,$AJ$36,$AJ$29,$AQ$29,$AJ$37,$AJ$30,$AQ$30,$AJ$38,$AJ$31,$AQ$31,$AJ$39,$AJ$33,$AJ$41,$AQ$40,$AQ$41,$AQ$34,$AQ$35,$AQ$36,$AQ$37,$AJ$17,$AJ$19,$AQ$18,$AJ$20,$AJ$22,$AJ$23,$AQ$21,$AQ$21,$AQ$21,$AQ$20,$AQ$20,$AQ$20)</f>
        <v>0.75194257061057701</v>
      </c>
      <c r="AO54" s="393">
        <f>AO53</f>
        <v>4.4642857142857144</v>
      </c>
      <c r="AP54" s="385"/>
      <c r="AQ54" s="477">
        <f>AQ35</f>
        <v>1.25E-3</v>
      </c>
      <c r="AR54" s="385"/>
      <c r="AS54" s="408">
        <f>Calc(AF54,AS50,AJ26,AQ26,AJ34,AJ27,AQ27,AJ35,AJ28,AQ28,AJ36,AJ29,AQ29,AJ37,AJ30,AQ30,AJ38,AJ31,AQ31,AJ39,AJ33,AJ41,AQ40,AQ41,AQ34,AQ35,AQ36,AQ37,AJ17,AJ19,AQ18,AJ20,AJ22,AJ23,AQ21,AQ21,AQ21,AQ20,AQ20,AQ20)</f>
        <v>0.16867129461182959</v>
      </c>
      <c r="AT54" s="408"/>
      <c r="AU54" s="408"/>
      <c r="AV54" s="408"/>
      <c r="AW54" s="139"/>
      <c r="AX54" s="126"/>
    </row>
    <row r="55" spans="2:50" s="1" customFormat="1" ht="15" customHeight="1">
      <c r="B55" s="150">
        <v>47</v>
      </c>
      <c r="C55" s="126"/>
      <c r="D55" s="9"/>
      <c r="E55" s="9"/>
      <c r="F55" s="9"/>
      <c r="S55" s="9"/>
      <c r="T55" s="9"/>
      <c r="U55" s="9"/>
      <c r="V55" s="6"/>
      <c r="W55" s="22"/>
      <c r="X55" s="126"/>
      <c r="AB55" s="150">
        <v>47</v>
      </c>
      <c r="AC55" s="126"/>
      <c r="AD55" s="9"/>
      <c r="AE55" s="9"/>
      <c r="AF55" s="9"/>
      <c r="AS55" s="9"/>
      <c r="AT55" s="9"/>
      <c r="AU55" s="9"/>
      <c r="AV55" s="6"/>
      <c r="AW55" s="22"/>
      <c r="AX55" s="126"/>
    </row>
    <row r="56" spans="2:50" s="1" customFormat="1" ht="15" customHeight="1">
      <c r="B56" s="150">
        <v>48</v>
      </c>
      <c r="C56" s="126"/>
      <c r="D56" s="9"/>
      <c r="E56" s="9"/>
      <c r="F56" s="9"/>
      <c r="G56" s="50"/>
      <c r="H56" s="6" t="s">
        <v>54</v>
      </c>
      <c r="I56" s="9"/>
      <c r="J56" s="9"/>
      <c r="K56" s="9"/>
      <c r="L56" s="72" t="s">
        <v>34</v>
      </c>
      <c r="M56" s="265">
        <f>IF($T$11="British",AM56,AM56*4.882431)</f>
        <v>0.31014275475100722</v>
      </c>
      <c r="N56" s="74"/>
      <c r="O56" s="6" t="s">
        <v>214</v>
      </c>
      <c r="P56" s="6"/>
      <c r="S56" s="30"/>
      <c r="T56" s="30"/>
      <c r="U56" s="70"/>
      <c r="V56" s="6"/>
      <c r="W56" s="139"/>
      <c r="X56" s="126"/>
      <c r="AB56" s="150">
        <v>48</v>
      </c>
      <c r="AC56" s="126"/>
      <c r="AD56" s="9"/>
      <c r="AE56" s="9"/>
      <c r="AF56" s="9"/>
      <c r="AG56" s="50"/>
      <c r="AH56" s="6" t="s">
        <v>54</v>
      </c>
      <c r="AI56" s="9"/>
      <c r="AJ56" s="9"/>
      <c r="AK56" s="9"/>
      <c r="AL56" s="72" t="s">
        <v>34</v>
      </c>
      <c r="AM56" s="265">
        <f>AS53+AS54</f>
        <v>0.31014275475100722</v>
      </c>
      <c r="AN56" s="74"/>
      <c r="AO56" s="6" t="s">
        <v>19</v>
      </c>
      <c r="AP56" s="6"/>
      <c r="AS56" s="30"/>
      <c r="AT56" s="30"/>
      <c r="AU56" s="70"/>
      <c r="AV56" s="6"/>
      <c r="AW56" s="139"/>
      <c r="AX56" s="126"/>
    </row>
    <row r="57" spans="2:50" s="1" customFormat="1" ht="15" customHeight="1">
      <c r="B57" s="150">
        <v>49</v>
      </c>
      <c r="C57" s="126"/>
      <c r="D57" s="9"/>
      <c r="E57" s="6" t="s">
        <v>18</v>
      </c>
      <c r="F57" s="6"/>
      <c r="G57" s="26"/>
      <c r="H57" s="6" t="s">
        <v>55</v>
      </c>
      <c r="I57" s="9"/>
      <c r="J57" s="9"/>
      <c r="K57" s="9"/>
      <c r="L57" s="72" t="s">
        <v>34</v>
      </c>
      <c r="M57" s="266">
        <f>IF($T$11="British",AM57,AM57*0.3048^2)</f>
        <v>3015.9289474462012</v>
      </c>
      <c r="N57" s="25"/>
      <c r="O57" s="6" t="s">
        <v>205</v>
      </c>
      <c r="P57" s="26"/>
      <c r="S57" s="50"/>
      <c r="T57" s="50"/>
      <c r="U57" s="9"/>
      <c r="V57" s="6"/>
      <c r="W57" s="139"/>
      <c r="X57" s="126"/>
      <c r="AB57" s="150">
        <v>49</v>
      </c>
      <c r="AC57" s="126"/>
      <c r="AD57" s="9"/>
      <c r="AE57" s="6" t="s">
        <v>18</v>
      </c>
      <c r="AF57" s="6"/>
      <c r="AG57" s="26"/>
      <c r="AH57" s="6" t="s">
        <v>55</v>
      </c>
      <c r="AI57" s="9"/>
      <c r="AJ57" s="9"/>
      <c r="AK57" s="9"/>
      <c r="AL57" s="72" t="s">
        <v>34</v>
      </c>
      <c r="AM57" s="25">
        <f>VLOOKUP(AJ16,AH64:AM67,2)+VLOOKUP(AJ16,AH64:AM67,3)</f>
        <v>3015.9289474462012</v>
      </c>
      <c r="AN57" s="25"/>
      <c r="AO57" s="26" t="s">
        <v>20</v>
      </c>
      <c r="AP57" s="26"/>
      <c r="AS57" s="50"/>
      <c r="AT57" s="50"/>
      <c r="AU57" s="9"/>
      <c r="AV57" s="6"/>
      <c r="AW57" s="139"/>
      <c r="AX57" s="126"/>
    </row>
    <row r="58" spans="2:50" s="1" customFormat="1" ht="15" customHeight="1">
      <c r="B58" s="150">
        <v>50</v>
      </c>
      <c r="C58" s="126"/>
      <c r="D58" s="9"/>
      <c r="E58" s="6"/>
      <c r="F58" s="6"/>
      <c r="G58" s="26"/>
      <c r="H58" s="27" t="s">
        <v>52</v>
      </c>
      <c r="I58" s="28"/>
      <c r="J58" s="28"/>
      <c r="K58" s="28"/>
      <c r="L58" s="73" t="s">
        <v>34</v>
      </c>
      <c r="M58" s="267">
        <f>IF($T$11="British",AM58,AM58*0.2519958)</f>
        <v>8287.0154392646364</v>
      </c>
      <c r="N58" s="117"/>
      <c r="O58" s="27" t="s">
        <v>215</v>
      </c>
      <c r="P58" s="29"/>
      <c r="S58" s="50"/>
      <c r="T58" s="50"/>
      <c r="U58" s="9"/>
      <c r="V58" s="6"/>
      <c r="W58" s="139"/>
      <c r="X58" s="126"/>
      <c r="AB58" s="150">
        <v>50</v>
      </c>
      <c r="AC58" s="126"/>
      <c r="AD58" s="9"/>
      <c r="AE58" s="6"/>
      <c r="AF58" s="6"/>
      <c r="AG58" s="26"/>
      <c r="AH58" s="27" t="s">
        <v>163</v>
      </c>
      <c r="AI58" s="28"/>
      <c r="AJ58" s="28"/>
      <c r="AK58" s="28"/>
      <c r="AL58" s="73" t="s">
        <v>34</v>
      </c>
      <c r="AM58" s="117">
        <f>S53*VLOOKUP(AJ16,AH64:AM67,2)*(AQ26-AJ34)+S54*VLOOKUP(AJ16,AH64:AM67,3)*(AJ26-AJ34)</f>
        <v>8287.0154392646364</v>
      </c>
      <c r="AN58" s="117"/>
      <c r="AO58" s="29" t="s">
        <v>21</v>
      </c>
      <c r="AP58" s="29"/>
      <c r="AS58" s="50"/>
      <c r="AT58" s="50"/>
      <c r="AU58" s="9"/>
      <c r="AV58" s="6"/>
      <c r="AW58" s="139"/>
      <c r="AX58" s="126"/>
    </row>
    <row r="59" spans="2:50" s="1" customFormat="1" ht="15" customHeight="1">
      <c r="B59" s="150">
        <v>51</v>
      </c>
      <c r="C59" s="126"/>
      <c r="D59" s="9"/>
      <c r="E59" s="6"/>
      <c r="F59" s="6"/>
      <c r="G59" s="26"/>
      <c r="H59" s="27"/>
      <c r="I59" s="28"/>
      <c r="J59" s="28"/>
      <c r="K59" s="28"/>
      <c r="L59" s="73"/>
      <c r="M59" s="117"/>
      <c r="N59" s="117"/>
      <c r="O59" s="29"/>
      <c r="P59" s="29"/>
      <c r="S59" s="50"/>
      <c r="T59" s="50"/>
      <c r="U59" s="9"/>
      <c r="V59" s="6"/>
      <c r="W59" s="139"/>
      <c r="X59" s="126"/>
      <c r="AB59" s="150">
        <v>51</v>
      </c>
      <c r="AC59" s="126"/>
      <c r="AD59" s="9"/>
      <c r="AE59" s="6"/>
      <c r="AF59" s="6"/>
      <c r="AG59" s="26"/>
      <c r="AH59" s="27"/>
      <c r="AI59" s="28"/>
      <c r="AJ59" s="28"/>
      <c r="AK59" s="28"/>
      <c r="AL59" s="73"/>
      <c r="AM59" s="117"/>
      <c r="AN59" s="117"/>
      <c r="AO59" s="29"/>
      <c r="AP59" s="29"/>
      <c r="AS59" s="50"/>
      <c r="AT59" s="50"/>
      <c r="AU59" s="9"/>
      <c r="AV59" s="6"/>
      <c r="AW59" s="139"/>
      <c r="AX59" s="126"/>
    </row>
    <row r="60" spans="2:50" s="1" customFormat="1" ht="15" customHeight="1" thickBot="1">
      <c r="B60" s="150">
        <v>52</v>
      </c>
      <c r="C60" s="242"/>
      <c r="D60" s="31"/>
      <c r="E60" s="145"/>
      <c r="F60" s="145"/>
      <c r="G60" s="144"/>
      <c r="H60" s="243"/>
      <c r="I60" s="244"/>
      <c r="J60" s="244"/>
      <c r="K60" s="244"/>
      <c r="L60" s="245"/>
      <c r="M60" s="246"/>
      <c r="N60" s="246"/>
      <c r="O60" s="247"/>
      <c r="P60" s="247"/>
      <c r="Q60" s="31"/>
      <c r="R60" s="31"/>
      <c r="S60" s="49"/>
      <c r="T60" s="49"/>
      <c r="U60" s="31"/>
      <c r="V60" s="145"/>
      <c r="W60" s="145"/>
      <c r="X60" s="242"/>
      <c r="AB60" s="150">
        <v>52</v>
      </c>
      <c r="AC60" s="242"/>
      <c r="AD60" s="31"/>
      <c r="AE60" s="145"/>
      <c r="AF60" s="145"/>
      <c r="AG60" s="144"/>
      <c r="AH60" s="243"/>
      <c r="AI60" s="244"/>
      <c r="AJ60" s="244"/>
      <c r="AK60" s="244"/>
      <c r="AL60" s="245"/>
      <c r="AM60" s="246"/>
      <c r="AN60" s="246"/>
      <c r="AO60" s="247"/>
      <c r="AP60" s="247"/>
      <c r="AQ60" s="31"/>
      <c r="AR60" s="31"/>
      <c r="AS60" s="49"/>
      <c r="AT60" s="49"/>
      <c r="AU60" s="31"/>
      <c r="AV60" s="145"/>
      <c r="AW60" s="145"/>
      <c r="AX60" s="242"/>
    </row>
    <row r="61" spans="2:50" s="1" customFormat="1" ht="15" customHeight="1">
      <c r="B61" s="150"/>
      <c r="C61" s="50"/>
      <c r="D61" s="9"/>
      <c r="E61" s="6"/>
      <c r="F61" s="6"/>
      <c r="G61" s="26"/>
      <c r="H61" s="27"/>
      <c r="I61" s="28"/>
      <c r="J61" s="28"/>
      <c r="K61" s="28"/>
      <c r="L61" s="73"/>
      <c r="M61" s="117"/>
      <c r="N61" s="117"/>
      <c r="O61" s="29"/>
      <c r="P61" s="29"/>
      <c r="S61" s="50"/>
      <c r="T61" s="50"/>
      <c r="U61" s="9"/>
      <c r="V61" s="6"/>
      <c r="W61" s="6"/>
      <c r="X61" s="50"/>
      <c r="AB61" s="150"/>
      <c r="AC61" s="50"/>
      <c r="AD61" s="9"/>
      <c r="AE61" s="6"/>
      <c r="AF61" s="6"/>
      <c r="AG61" s="26"/>
      <c r="AH61" s="27"/>
      <c r="AI61" s="28"/>
      <c r="AJ61" s="28"/>
      <c r="AK61" s="28"/>
      <c r="AL61" s="73"/>
      <c r="AM61" s="117"/>
      <c r="AN61" s="117"/>
      <c r="AO61" s="29"/>
      <c r="AP61" s="29"/>
      <c r="AQ61" s="9"/>
      <c r="AR61" s="9"/>
      <c r="AS61" s="50"/>
      <c r="AT61" s="50"/>
      <c r="AU61" s="9"/>
      <c r="AV61" s="6"/>
      <c r="AW61" s="6"/>
      <c r="AX61" s="50"/>
    </row>
    <row r="62" spans="2:50" s="1" customFormat="1" ht="15" customHeight="1" thickBot="1">
      <c r="B62" s="150"/>
      <c r="C62" s="49"/>
      <c r="D62" s="31"/>
      <c r="E62" s="145"/>
      <c r="F62" s="145"/>
      <c r="G62" s="144"/>
      <c r="H62" s="243"/>
      <c r="I62" s="244"/>
      <c r="J62" s="244"/>
      <c r="K62" s="244"/>
      <c r="L62" s="245"/>
      <c r="M62" s="246"/>
      <c r="N62" s="246"/>
      <c r="O62" s="247"/>
      <c r="P62" s="247"/>
      <c r="Q62" s="31"/>
      <c r="R62" s="31"/>
      <c r="S62" s="49"/>
      <c r="T62" s="49"/>
      <c r="U62" s="31"/>
      <c r="V62" s="145"/>
      <c r="W62" s="145"/>
      <c r="X62" s="49"/>
    </row>
    <row r="63" spans="2:50" s="1" customFormat="1" ht="15.75" customHeight="1">
      <c r="B63" s="150"/>
      <c r="C63" s="436"/>
      <c r="D63" s="437"/>
      <c r="E63" s="437"/>
      <c r="F63" s="437"/>
      <c r="G63" s="437"/>
      <c r="H63" s="437"/>
      <c r="I63" s="437"/>
      <c r="J63" s="437"/>
      <c r="K63" s="437"/>
      <c r="L63" s="438"/>
      <c r="M63" s="159"/>
      <c r="N63" s="154"/>
      <c r="O63" s="154"/>
      <c r="P63" s="154"/>
      <c r="Q63" s="154" t="s">
        <v>114</v>
      </c>
      <c r="R63" s="154"/>
      <c r="S63" s="155"/>
      <c r="T63" s="181">
        <v>2</v>
      </c>
      <c r="U63" s="155" t="s">
        <v>115</v>
      </c>
      <c r="V63" s="181">
        <v>3</v>
      </c>
      <c r="W63" s="156"/>
      <c r="X63" s="157"/>
      <c r="AE63" s="425"/>
      <c r="AF63" s="425"/>
      <c r="AH63" s="251" t="s">
        <v>171</v>
      </c>
      <c r="AI63" s="252" t="s">
        <v>165</v>
      </c>
      <c r="AJ63" s="252" t="s">
        <v>166</v>
      </c>
      <c r="AK63" s="426" t="s">
        <v>167</v>
      </c>
      <c r="AL63" s="427"/>
      <c r="AM63" s="257" t="s">
        <v>168</v>
      </c>
      <c r="AN63" s="254"/>
    </row>
    <row r="64" spans="2:50" s="1" customFormat="1" ht="15.75" customHeight="1">
      <c r="B64" s="150"/>
      <c r="C64" s="439"/>
      <c r="D64" s="440"/>
      <c r="E64" s="440"/>
      <c r="F64" s="440"/>
      <c r="G64" s="440"/>
      <c r="H64" s="440"/>
      <c r="I64" s="440"/>
      <c r="J64" s="440"/>
      <c r="K64" s="440"/>
      <c r="L64" s="441"/>
      <c r="M64" s="163" t="s">
        <v>109</v>
      </c>
      <c r="N64" s="163"/>
      <c r="O64" s="433">
        <f>O3</f>
        <v>0</v>
      </c>
      <c r="P64" s="433"/>
      <c r="Q64" s="433"/>
      <c r="R64" s="433"/>
      <c r="S64" s="433"/>
      <c r="T64" s="433"/>
      <c r="U64" s="433"/>
      <c r="V64" s="433"/>
      <c r="W64" s="433"/>
      <c r="X64" s="176"/>
      <c r="AH64" s="249">
        <v>1</v>
      </c>
      <c r="AI64" s="259">
        <f>PI()*AJ20*(AJ19-AQ18)+IF(AJ18="Yes",PI()*AJ20^2/4,0)</f>
        <v>1507.9644737231006</v>
      </c>
      <c r="AJ64" s="259">
        <f>PI()*AJ20*(AQ18)+IF(AJ18="Yes",PI()*AJ20^2/4,0)</f>
        <v>1507.9644737231006</v>
      </c>
      <c r="AK64" s="428">
        <f>IF(AJ17=1,PI()*AJ20/2*(AJ20^2/4+(0.75/12*AJ20/2)^2)^0.5,"")</f>
        <v>314.7722596303733</v>
      </c>
      <c r="AL64" s="429"/>
      <c r="AM64" s="261">
        <f>IF(AJ18="No",PI()*AJ20^2/4,"")</f>
        <v>314.15926535897933</v>
      </c>
      <c r="AN64" s="260" t="s">
        <v>172</v>
      </c>
    </row>
    <row r="65" spans="2:50" s="1" customFormat="1" ht="15.75" customHeight="1">
      <c r="B65" s="150"/>
      <c r="C65" s="439"/>
      <c r="D65" s="440"/>
      <c r="E65" s="440"/>
      <c r="F65" s="440"/>
      <c r="G65" s="440"/>
      <c r="H65" s="440"/>
      <c r="I65" s="440"/>
      <c r="J65" s="440"/>
      <c r="K65" s="440"/>
      <c r="L65" s="441"/>
      <c r="M65" s="163" t="s">
        <v>110</v>
      </c>
      <c r="N65" s="163"/>
      <c r="O65" s="433">
        <f>O4</f>
        <v>0</v>
      </c>
      <c r="P65" s="433"/>
      <c r="Q65" s="433"/>
      <c r="R65" s="433"/>
      <c r="S65" s="433"/>
      <c r="T65" s="433"/>
      <c r="U65" s="433"/>
      <c r="V65" s="433"/>
      <c r="W65" s="433"/>
      <c r="X65" s="165"/>
      <c r="AH65" s="249">
        <v>2</v>
      </c>
      <c r="AI65" s="199">
        <f>PI()*AJ20*(AJ19-AQ18)+IF(AJ18="Yes",PI()*AJ20^2/4,0)</f>
        <v>1507.9644737231006</v>
      </c>
      <c r="AJ65" s="199">
        <f>PI()*AJ20*(AQ18)+IF(AJ18="Yes",PI()*AJ20^2/4,0)</f>
        <v>1507.9644737231006</v>
      </c>
      <c r="AK65" s="366">
        <f>IF(AJ17=1,PI()*AJ20/2*(AJ20^2/4+(0.75/12*AJ20/2)^2)^0.5,"")</f>
        <v>314.7722596303733</v>
      </c>
      <c r="AL65" s="430"/>
      <c r="AM65" s="262">
        <f>IF(AJ18="No",PI()*AJ20^2/4,"")</f>
        <v>314.15926535897933</v>
      </c>
      <c r="AN65" s="255" t="s">
        <v>172</v>
      </c>
    </row>
    <row r="66" spans="2:50" s="1" customFormat="1" ht="15.75" customHeight="1">
      <c r="B66" s="150"/>
      <c r="C66" s="189"/>
      <c r="D66" s="190"/>
      <c r="E66" s="190"/>
      <c r="F66" s="190"/>
      <c r="G66" s="190"/>
      <c r="H66" s="190"/>
      <c r="I66" s="190"/>
      <c r="J66" s="190"/>
      <c r="K66" s="190"/>
      <c r="L66" s="191"/>
      <c r="M66" s="163" t="s">
        <v>111</v>
      </c>
      <c r="N66" s="163"/>
      <c r="O66" s="433">
        <f>O5</f>
        <v>0</v>
      </c>
      <c r="P66" s="433"/>
      <c r="Q66" s="433"/>
      <c r="R66" s="433"/>
      <c r="S66" s="433"/>
      <c r="T66" s="433"/>
      <c r="U66" s="433"/>
      <c r="V66" s="433"/>
      <c r="W66" s="433"/>
      <c r="X66" s="165"/>
      <c r="AH66" s="249">
        <v>3</v>
      </c>
      <c r="AI66" s="199">
        <f>elp(AI63,$AJ$17,AJ19,AQ18,AJ20)</f>
        <v>5127.0792106585423</v>
      </c>
      <c r="AJ66" s="199">
        <f>elp(AJ63,$AJ$17,AJ19,AQ18,AJ20)</f>
        <v>5127.0792106585423</v>
      </c>
      <c r="AK66" s="363"/>
      <c r="AL66" s="364"/>
      <c r="AM66" s="201"/>
      <c r="AN66" s="255" t="s">
        <v>172</v>
      </c>
    </row>
    <row r="67" spans="2:50" s="1" customFormat="1" ht="15.75" customHeight="1" thickBot="1">
      <c r="B67" s="150"/>
      <c r="C67" s="442" t="s">
        <v>108</v>
      </c>
      <c r="D67" s="443"/>
      <c r="E67" s="443"/>
      <c r="F67" s="443"/>
      <c r="G67" s="443"/>
      <c r="H67" s="443"/>
      <c r="I67" s="443"/>
      <c r="J67" s="443"/>
      <c r="K67" s="443"/>
      <c r="L67" s="444"/>
      <c r="M67" s="164" t="s">
        <v>112</v>
      </c>
      <c r="N67" s="222"/>
      <c r="O67" s="433">
        <f>O6</f>
        <v>0</v>
      </c>
      <c r="P67" s="433"/>
      <c r="Q67" s="433"/>
      <c r="R67" s="433"/>
      <c r="S67" s="433"/>
      <c r="T67" s="433"/>
      <c r="U67" s="433"/>
      <c r="V67" s="433"/>
      <c r="W67" s="433"/>
      <c r="X67" s="165"/>
      <c r="AH67" s="250">
        <v>4</v>
      </c>
      <c r="AI67" s="253">
        <f>bal(AI63,AJ19,AQ18)</f>
        <v>3619.1147369354417</v>
      </c>
      <c r="AJ67" s="253">
        <f>bal(AJ63,AJ19,AQ18)</f>
        <v>3619.1147369354417</v>
      </c>
      <c r="AK67" s="431"/>
      <c r="AL67" s="432"/>
      <c r="AM67" s="258"/>
      <c r="AN67" s="256" t="s">
        <v>172</v>
      </c>
    </row>
    <row r="68" spans="2:50" s="1" customFormat="1" ht="15.75" customHeight="1">
      <c r="B68" s="150"/>
      <c r="C68" s="442"/>
      <c r="D68" s="443"/>
      <c r="E68" s="443"/>
      <c r="F68" s="443"/>
      <c r="G68" s="443"/>
      <c r="H68" s="443"/>
      <c r="I68" s="443"/>
      <c r="J68" s="443"/>
      <c r="K68" s="443"/>
      <c r="L68" s="444"/>
      <c r="M68" s="164" t="s">
        <v>113</v>
      </c>
      <c r="N68" s="222"/>
      <c r="O68" s="433">
        <f>O7</f>
        <v>0</v>
      </c>
      <c r="P68" s="433"/>
      <c r="Q68" s="433"/>
      <c r="R68" s="433"/>
      <c r="S68" s="433"/>
      <c r="T68" s="433"/>
      <c r="U68" s="433"/>
      <c r="V68" s="433"/>
      <c r="W68" s="433"/>
      <c r="X68" s="158"/>
      <c r="AH68" s="248"/>
    </row>
    <row r="69" spans="2:50" s="1" customFormat="1" ht="5.0999999999999996" customHeight="1">
      <c r="C69" s="166"/>
      <c r="D69" s="167"/>
      <c r="E69" s="167"/>
      <c r="F69" s="167"/>
      <c r="G69" s="167"/>
      <c r="H69" s="167"/>
      <c r="I69" s="167"/>
      <c r="J69" s="167"/>
      <c r="K69" s="167"/>
      <c r="L69" s="167"/>
      <c r="M69" s="168"/>
      <c r="N69" s="168"/>
      <c r="O69" s="169"/>
      <c r="P69" s="169"/>
      <c r="Q69" s="170"/>
      <c r="R69" s="170"/>
      <c r="S69" s="171"/>
      <c r="T69" s="171"/>
      <c r="U69" s="172"/>
      <c r="V69" s="172"/>
      <c r="W69" s="172"/>
      <c r="X69" s="173"/>
      <c r="AC69" s="166"/>
      <c r="AD69" s="167"/>
      <c r="AE69" s="167"/>
      <c r="AF69" s="167"/>
      <c r="AG69" s="167"/>
      <c r="AH69" s="167"/>
      <c r="AI69" s="167"/>
      <c r="AJ69" s="167"/>
      <c r="AK69" s="167"/>
      <c r="AL69" s="167"/>
      <c r="AM69" s="168"/>
      <c r="AN69" s="168"/>
      <c r="AO69" s="169"/>
      <c r="AP69" s="169"/>
      <c r="AQ69" s="170"/>
      <c r="AR69" s="170"/>
      <c r="AS69" s="171"/>
      <c r="AT69" s="171"/>
      <c r="AU69" s="172"/>
      <c r="AV69" s="172"/>
      <c r="AW69" s="172"/>
      <c r="AX69" s="173"/>
    </row>
    <row r="70" spans="2:50" s="1" customFormat="1" ht="15" customHeight="1">
      <c r="B70" s="150">
        <v>1</v>
      </c>
      <c r="C70" s="122"/>
      <c r="D70" s="9"/>
      <c r="E70" s="9"/>
      <c r="F70" s="9"/>
      <c r="G70" s="50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50"/>
      <c r="T70" s="50"/>
      <c r="U70" s="9"/>
      <c r="V70" s="9"/>
      <c r="W70" s="9"/>
      <c r="X70" s="122"/>
      <c r="AB70" s="150">
        <v>1</v>
      </c>
      <c r="AC70" s="122"/>
      <c r="AD70" s="9"/>
      <c r="AE70" s="9"/>
      <c r="AF70" s="9"/>
      <c r="AG70" s="50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50"/>
      <c r="AT70" s="50"/>
      <c r="AU70" s="9"/>
      <c r="AV70" s="9"/>
      <c r="AW70" s="9"/>
      <c r="AX70" s="122"/>
    </row>
    <row r="71" spans="2:50" s="1" customFormat="1" ht="15" customHeight="1">
      <c r="B71" s="150">
        <v>2</v>
      </c>
      <c r="C71" s="122"/>
      <c r="D71" s="9"/>
      <c r="E71" s="9"/>
      <c r="F71" s="9"/>
      <c r="G71" s="50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50"/>
      <c r="T71" s="50"/>
      <c r="U71" s="9"/>
      <c r="V71" s="9"/>
      <c r="W71" s="9"/>
      <c r="X71" s="122"/>
      <c r="AB71" s="150">
        <v>2</v>
      </c>
      <c r="AC71" s="122"/>
      <c r="AD71" s="9"/>
      <c r="AE71" s="9"/>
      <c r="AF71" s="9"/>
      <c r="AG71" s="50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50"/>
      <c r="AT71" s="50"/>
      <c r="AU71" s="9"/>
      <c r="AV71" s="9"/>
      <c r="AW71" s="9"/>
      <c r="AX71" s="122"/>
    </row>
    <row r="72" spans="2:50" s="1" customFormat="1" ht="15" customHeight="1">
      <c r="B72" s="150">
        <v>3</v>
      </c>
      <c r="C72" s="127"/>
      <c r="D72" s="21"/>
      <c r="E72" s="24" t="str">
        <f>IF(J18="Yes", "1.3   Heat Loss of Bottom (Not applicable)","1.3   Heat Loss of Bottom")</f>
        <v>1.3   Heat Loss of Bottom</v>
      </c>
      <c r="F72" s="9"/>
      <c r="G72" s="50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50"/>
      <c r="T72" s="50"/>
      <c r="U72" s="75"/>
      <c r="V72" s="9"/>
      <c r="W72" s="9"/>
      <c r="X72" s="127"/>
      <c r="AB72" s="150">
        <v>3</v>
      </c>
      <c r="AC72" s="127"/>
      <c r="AD72" s="21"/>
      <c r="AE72" s="24" t="str">
        <f>IF(AJ18="Yes", "1.3   Heat Loss of Bottom (Not applicable)","1.3   Heat Loss of Bottom")</f>
        <v>1.3   Heat Loss of Bottom</v>
      </c>
      <c r="AF72" s="9"/>
      <c r="AG72" s="50"/>
      <c r="AH72" s="9"/>
      <c r="AI72" s="9"/>
      <c r="AJ72" s="9" t="str">
        <f>IF(AJ18="Yes", "해당사항 없음","")</f>
        <v/>
      </c>
      <c r="AK72" s="9"/>
      <c r="AL72" s="9"/>
      <c r="AM72" s="9"/>
      <c r="AN72" s="9"/>
      <c r="AO72" s="9"/>
      <c r="AP72" s="9"/>
      <c r="AQ72" s="9"/>
      <c r="AR72" s="9"/>
      <c r="AS72" s="50"/>
      <c r="AT72" s="50"/>
      <c r="AU72" s="75"/>
      <c r="AV72" s="9"/>
      <c r="AW72" s="9"/>
      <c r="AX72" s="127"/>
    </row>
    <row r="73" spans="2:50" s="1" customFormat="1" ht="15" customHeight="1">
      <c r="B73" s="150">
        <v>4</v>
      </c>
      <c r="C73" s="127"/>
      <c r="D73" s="21"/>
      <c r="F73" s="24"/>
      <c r="G73" s="53"/>
      <c r="H73" s="30"/>
      <c r="I73" s="9"/>
      <c r="J73" s="9"/>
      <c r="K73" s="9"/>
      <c r="L73" s="9"/>
      <c r="M73" s="9"/>
      <c r="N73" s="9"/>
      <c r="O73" s="9"/>
      <c r="P73" s="9"/>
      <c r="Q73" s="9"/>
      <c r="R73" s="9"/>
      <c r="S73" s="50"/>
      <c r="T73" s="50"/>
      <c r="U73" s="9"/>
      <c r="V73" s="75"/>
      <c r="W73" s="75"/>
      <c r="X73" s="127"/>
      <c r="AB73" s="150">
        <v>4</v>
      </c>
      <c r="AC73" s="127"/>
      <c r="AD73" s="21"/>
      <c r="AF73" s="24"/>
      <c r="AG73" s="53"/>
      <c r="AH73" s="30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50"/>
      <c r="AT73" s="50"/>
      <c r="AU73" s="9"/>
      <c r="AV73" s="75"/>
      <c r="AW73" s="75"/>
      <c r="AX73" s="127"/>
    </row>
    <row r="74" spans="2:50" s="1" customFormat="1" ht="13.5" customHeight="1">
      <c r="B74" s="150">
        <v>5</v>
      </c>
      <c r="C74" s="126"/>
      <c r="D74" s="21"/>
      <c r="E74" s="9"/>
      <c r="F74" s="226" t="s">
        <v>18</v>
      </c>
      <c r="G74" s="227"/>
      <c r="H74" s="228"/>
      <c r="I74" s="202" t="s">
        <v>48</v>
      </c>
      <c r="J74" s="202" t="s">
        <v>49</v>
      </c>
      <c r="K74" s="357" t="s">
        <v>44</v>
      </c>
      <c r="L74" s="358"/>
      <c r="M74" s="420" t="s">
        <v>175</v>
      </c>
      <c r="N74" s="421"/>
      <c r="O74" s="363" t="s">
        <v>50</v>
      </c>
      <c r="P74" s="364"/>
      <c r="Q74" s="357" t="s">
        <v>176</v>
      </c>
      <c r="R74" s="358"/>
      <c r="S74" s="50"/>
      <c r="T74" s="50"/>
      <c r="U74" s="9"/>
      <c r="W74" s="75"/>
      <c r="X74" s="126"/>
      <c r="AB74" s="150">
        <v>5</v>
      </c>
      <c r="AC74" s="126"/>
      <c r="AD74" s="21"/>
      <c r="AE74" s="9"/>
      <c r="AF74" s="226" t="s">
        <v>18</v>
      </c>
      <c r="AG74" s="227"/>
      <c r="AH74" s="228"/>
      <c r="AI74" s="202" t="s">
        <v>177</v>
      </c>
      <c r="AJ74" s="202" t="s">
        <v>49</v>
      </c>
      <c r="AK74" s="357" t="s">
        <v>44</v>
      </c>
      <c r="AL74" s="358"/>
      <c r="AM74" s="420" t="s">
        <v>175</v>
      </c>
      <c r="AN74" s="421"/>
      <c r="AO74" s="363" t="s">
        <v>50</v>
      </c>
      <c r="AP74" s="364"/>
      <c r="AQ74" s="357" t="s">
        <v>176</v>
      </c>
      <c r="AR74" s="358"/>
      <c r="AS74" s="422"/>
      <c r="AT74" s="423"/>
      <c r="AU74" s="423"/>
      <c r="AV74" s="424"/>
      <c r="AW74" s="75"/>
      <c r="AX74" s="126"/>
    </row>
    <row r="75" spans="2:50" s="1" customFormat="1">
      <c r="B75" s="150">
        <v>6</v>
      </c>
      <c r="C75" s="126"/>
      <c r="D75" s="21"/>
      <c r="E75" s="9"/>
      <c r="F75" s="229"/>
      <c r="G75" s="230"/>
      <c r="H75" s="231"/>
      <c r="I75" s="93" t="s">
        <v>36</v>
      </c>
      <c r="J75" s="93" t="s">
        <v>36</v>
      </c>
      <c r="K75" s="395" t="s">
        <v>214</v>
      </c>
      <c r="L75" s="396"/>
      <c r="M75" s="385" t="s">
        <v>214</v>
      </c>
      <c r="N75" s="385"/>
      <c r="O75" s="385" t="s">
        <v>161</v>
      </c>
      <c r="P75" s="385"/>
      <c r="Q75" s="385" t="s">
        <v>214</v>
      </c>
      <c r="R75" s="385"/>
      <c r="S75" s="50"/>
      <c r="T75" s="50"/>
      <c r="U75" s="9"/>
      <c r="V75" s="9"/>
      <c r="W75" s="9"/>
      <c r="X75" s="126"/>
      <c r="AB75" s="150">
        <v>6</v>
      </c>
      <c r="AC75" s="126"/>
      <c r="AD75" s="21"/>
      <c r="AE75" s="9"/>
      <c r="AF75" s="229"/>
      <c r="AG75" s="230"/>
      <c r="AH75" s="231"/>
      <c r="AI75" s="93" t="s">
        <v>36</v>
      </c>
      <c r="AJ75" s="93" t="s">
        <v>36</v>
      </c>
      <c r="AK75" s="395" t="s">
        <v>45</v>
      </c>
      <c r="AL75" s="396"/>
      <c r="AM75" s="385" t="s">
        <v>45</v>
      </c>
      <c r="AN75" s="385"/>
      <c r="AO75" s="385" t="s">
        <v>12</v>
      </c>
      <c r="AP75" s="385"/>
      <c r="AQ75" s="385" t="s">
        <v>45</v>
      </c>
      <c r="AR75" s="385"/>
      <c r="AS75" s="412"/>
      <c r="AT75" s="413"/>
      <c r="AU75" s="413"/>
      <c r="AV75" s="414"/>
      <c r="AW75" s="9"/>
      <c r="AX75" s="126"/>
    </row>
    <row r="76" spans="2:50" s="1" customFormat="1" ht="13.5">
      <c r="B76" s="150">
        <v>7</v>
      </c>
      <c r="C76" s="126"/>
      <c r="D76" s="9"/>
      <c r="E76" s="9"/>
      <c r="F76" s="374" t="s">
        <v>174</v>
      </c>
      <c r="G76" s="379"/>
      <c r="H76" s="375"/>
      <c r="I76" s="268">
        <f>IF($T$11="British",AI76,(AI76-32)*5/9)</f>
        <v>40</v>
      </c>
      <c r="J76" s="268">
        <f>IF($T$11="British",AJ76,(AJ76-32)*5/9)</f>
        <v>52.62607970049384</v>
      </c>
      <c r="K76" s="390">
        <f>IF($T$11="British",AK76,AK76*4.882431)</f>
        <v>0.75601637235866204</v>
      </c>
      <c r="L76" s="391"/>
      <c r="M76" s="408">
        <f>IF($T$11="British",AM76,AM76/4.882431)</f>
        <v>0.10185916357881301</v>
      </c>
      <c r="N76" s="408"/>
      <c r="O76" s="385">
        <f>IF($T$11="British",AO76,AO76/4.882431)</f>
        <v>2E-3</v>
      </c>
      <c r="P76" s="385"/>
      <c r="Q76" s="408">
        <f>IF($T$11="British",AQ76,AQ76/4.882431)</f>
        <v>8.9736300927291984E-2</v>
      </c>
      <c r="R76" s="408"/>
      <c r="S76" s="50"/>
      <c r="T76" s="50"/>
      <c r="U76" s="9"/>
      <c r="V76" s="9"/>
      <c r="W76" s="9"/>
      <c r="X76" s="126"/>
      <c r="AB76" s="150">
        <v>7</v>
      </c>
      <c r="AC76" s="126"/>
      <c r="AD76" s="9"/>
      <c r="AE76" s="9"/>
      <c r="AF76" s="374" t="s">
        <v>174</v>
      </c>
      <c r="AG76" s="379"/>
      <c r="AH76" s="375"/>
      <c r="AI76" s="269">
        <f>AQ40</f>
        <v>40</v>
      </c>
      <c r="AJ76" s="240">
        <f>Calc(AF76,AJ74,AJ26,AQ26,AJ34,AJ27,AQ27,AJ35,AJ28,AQ28,AJ36,AJ29,AQ29,AJ37,AJ30,AQ30,AJ38,AJ31,AQ31,AJ39,AJ33,AJ41,AQ40,AQ41,AQ34,AQ35,AQ36,AQ37,AJ17,AJ19,AQ18,AJ20,AJ22,AJ23,AQ21,0,0,AQ20,0,0)</f>
        <v>52.62607970049384</v>
      </c>
      <c r="AK76" s="390">
        <f>Calc(AF76,AK74,AJ26,AQ26,AJ34,AJ27,AQ27,AJ35,AJ28,AQ28,AJ36,AJ29,AQ29,AJ37,AJ30,AQ30,AJ38,AJ31,AQ31,AJ39,AJ33,AJ41,AQ40,AQ41,AQ34,AQ35,AQ36,AQ37,AJ17,AJ19,AQ18,AJ20,AJ22,AJ23,AQ21,0,0,AQ20,0,0)</f>
        <v>0.75601637235866204</v>
      </c>
      <c r="AL76" s="391"/>
      <c r="AM76" s="415">
        <f>Calc(AF76,AM74,AJ26,AQ26,AJ34,AJ27,AQ27,AJ35,AJ28,AQ28,AJ36,AJ29,AQ29,AJ37,AJ30,AQ30,AJ38,AJ31,AQ31,AJ39,AJ33,AJ41,AQ40,AQ41,AQ34,AQ35,AQ36,AQ37,AJ17,AJ19,AQ18,AJ20,AJ22,AJ23,AQ21,0,0,AQ20,0,0)</f>
        <v>0.10185916357881301</v>
      </c>
      <c r="AN76" s="416"/>
      <c r="AO76" s="409">
        <f>AQ37</f>
        <v>2E-3</v>
      </c>
      <c r="AP76" s="410"/>
      <c r="AQ76" s="408">
        <f>Calc(AF76,AQ74,AJ26,AQ26,AJ34,AJ27,AQ27,AJ35,AJ28,AQ28,AJ36,AJ29,AQ29,AJ37,AJ30,AQ30,AJ38,AJ31,AQ31,AJ39,AJ33,AJ41,AQ40,AQ41,AQ34,AQ35,AQ36,AQ37,AJ17,AJ19,AQ18,AJ20,AJ22,AJ23,AQ21,0,0,AQ20,0,0)</f>
        <v>8.9736300927291984E-2</v>
      </c>
      <c r="AR76" s="408"/>
      <c r="AS76" s="417"/>
      <c r="AT76" s="418"/>
      <c r="AU76" s="418"/>
      <c r="AV76" s="419"/>
      <c r="AW76" s="9"/>
      <c r="AX76" s="126"/>
    </row>
    <row r="77" spans="2:50" s="1" customFormat="1" ht="13.5">
      <c r="B77" s="150">
        <v>8</v>
      </c>
      <c r="C77" s="126"/>
      <c r="D77" s="9"/>
      <c r="X77" s="126"/>
      <c r="AB77" s="150">
        <v>8</v>
      </c>
      <c r="AC77" s="126"/>
      <c r="AD77" s="9"/>
      <c r="AX77" s="127"/>
    </row>
    <row r="78" spans="2:50" s="1" customFormat="1" ht="13.5">
      <c r="B78" s="150">
        <v>9</v>
      </c>
      <c r="C78" s="126"/>
      <c r="D78" s="9"/>
      <c r="H78" s="6" t="s">
        <v>180</v>
      </c>
      <c r="I78" s="9"/>
      <c r="J78" s="9"/>
      <c r="K78" s="9" t="s">
        <v>34</v>
      </c>
      <c r="L78" s="9"/>
      <c r="M78" s="266">
        <f>IF($T$11="British",AM78,AM78*4.882431)</f>
        <v>314.15926535897933</v>
      </c>
      <c r="N78" s="138"/>
      <c r="O78" s="6" t="s">
        <v>160</v>
      </c>
      <c r="P78" s="6"/>
      <c r="Q78" s="9"/>
      <c r="R78" s="9"/>
      <c r="S78" s="50"/>
      <c r="T78" s="50"/>
      <c r="U78" s="9"/>
      <c r="X78" s="126"/>
      <c r="AB78" s="150">
        <v>9</v>
      </c>
      <c r="AC78" s="126"/>
      <c r="AD78" s="9"/>
      <c r="AH78" s="6" t="s">
        <v>173</v>
      </c>
      <c r="AI78" s="9"/>
      <c r="AJ78" s="9"/>
      <c r="AK78" s="9"/>
      <c r="AL78" s="9"/>
      <c r="AM78" s="270">
        <f>VLOOKUP(AJ16,AH64:AM67,6)</f>
        <v>314.15926535897933</v>
      </c>
      <c r="AN78" s="138"/>
      <c r="AO78" s="6" t="s">
        <v>1</v>
      </c>
      <c r="AP78" s="6"/>
      <c r="AQ78" s="9"/>
      <c r="AR78" s="9"/>
      <c r="AS78" s="50"/>
      <c r="AT78" s="50"/>
      <c r="AU78" s="9"/>
      <c r="AX78" s="126"/>
    </row>
    <row r="79" spans="2:50" s="1" customFormat="1" ht="15" customHeight="1">
      <c r="B79" s="150">
        <v>10</v>
      </c>
      <c r="C79" s="126"/>
      <c r="D79" s="9"/>
      <c r="H79" s="27" t="s">
        <v>181</v>
      </c>
      <c r="I79" s="28"/>
      <c r="J79" s="28"/>
      <c r="K79" s="28" t="s">
        <v>34</v>
      </c>
      <c r="L79" s="28"/>
      <c r="M79" s="267">
        <f>IF($T$11="British",AM79,AM79*0.2519958)</f>
        <v>422.87235563025513</v>
      </c>
      <c r="N79" s="115"/>
      <c r="O79" s="27" t="s">
        <v>215</v>
      </c>
      <c r="P79" s="29"/>
      <c r="Q79" s="9"/>
      <c r="R79" s="9"/>
      <c r="S79" s="50"/>
      <c r="T79" s="50"/>
      <c r="U79" s="9"/>
      <c r="X79" s="126"/>
      <c r="AB79" s="150">
        <v>10</v>
      </c>
      <c r="AC79" s="126"/>
      <c r="AD79" s="9"/>
      <c r="AH79" s="27" t="s">
        <v>53</v>
      </c>
      <c r="AI79" s="28"/>
      <c r="AJ79" s="28"/>
      <c r="AK79" s="28"/>
      <c r="AL79" s="28"/>
      <c r="AM79" s="271">
        <f>IF(J18&lt;&gt;"No","",AM78*(AJ26-AI76)*AQ76)</f>
        <v>422.87235563025513</v>
      </c>
      <c r="AN79" s="115"/>
      <c r="AO79" s="29" t="s">
        <v>21</v>
      </c>
      <c r="AP79" s="29"/>
      <c r="AQ79" s="9"/>
      <c r="AR79" s="9"/>
      <c r="AS79" s="50"/>
      <c r="AT79" s="50"/>
      <c r="AU79" s="9"/>
      <c r="AX79" s="126"/>
    </row>
    <row r="80" spans="2:50" s="1" customFormat="1" ht="15" customHeight="1">
      <c r="B80" s="150">
        <v>11</v>
      </c>
      <c r="C80" s="126"/>
      <c r="D80" s="9"/>
      <c r="R80" s="9"/>
      <c r="S80" s="50"/>
      <c r="T80" s="50"/>
      <c r="U80" s="9"/>
      <c r="V80" s="9"/>
      <c r="W80" s="9"/>
      <c r="X80" s="126"/>
      <c r="AB80" s="150">
        <v>11</v>
      </c>
      <c r="AC80" s="126"/>
      <c r="AD80" s="9"/>
      <c r="AR80" s="9"/>
      <c r="AS80" s="50"/>
      <c r="AT80" s="50"/>
      <c r="AU80" s="9"/>
      <c r="AV80" s="9"/>
      <c r="AX80" s="127"/>
    </row>
    <row r="81" spans="1:50" s="1" customFormat="1" ht="15" customHeight="1">
      <c r="A81" s="69" t="s">
        <v>35</v>
      </c>
      <c r="B81" s="150">
        <v>12</v>
      </c>
      <c r="C81" s="126"/>
      <c r="D81" s="9"/>
      <c r="E81" s="24" t="str">
        <f>IF(J17&lt;&gt;"ROOF", "1.4   Heat Loss of Roof (Not applicable)","1.4   Heat Loss of Roof")</f>
        <v>1.4   Heat Loss of Roof</v>
      </c>
      <c r="Q81" s="9"/>
      <c r="R81" s="9"/>
      <c r="S81" s="50"/>
      <c r="T81" s="50"/>
      <c r="U81" s="9"/>
      <c r="V81" s="9"/>
      <c r="W81" s="9"/>
      <c r="X81" s="126"/>
      <c r="AB81" s="150">
        <v>12</v>
      </c>
      <c r="AC81" s="126"/>
      <c r="AD81" s="9"/>
      <c r="AE81" s="24" t="str">
        <f>IF(AK17&lt;&gt;"ROOF", "1.4   Heat Loss of Roof (Not applicable)","1.4   Heat Loss of Roof")</f>
        <v>1.4   Heat Loss of Roof</v>
      </c>
      <c r="AF81" s="9"/>
      <c r="AG81" s="50"/>
      <c r="AX81" s="126"/>
    </row>
    <row r="82" spans="1:50" s="1" customFormat="1" ht="15" customHeight="1">
      <c r="B82" s="150">
        <v>13</v>
      </c>
      <c r="C82" s="126"/>
      <c r="D82" s="9"/>
      <c r="Q82" s="9"/>
      <c r="R82" s="9"/>
      <c r="S82" s="50"/>
      <c r="T82" s="50"/>
      <c r="U82" s="9"/>
      <c r="V82" s="9"/>
      <c r="W82" s="9"/>
      <c r="X82" s="126"/>
      <c r="AB82" s="150">
        <v>13</v>
      </c>
      <c r="AC82" s="126"/>
      <c r="AD82" s="9"/>
      <c r="AQ82" s="9"/>
      <c r="AR82" s="9"/>
      <c r="AS82" s="50"/>
      <c r="AT82" s="50"/>
      <c r="AU82" s="9"/>
      <c r="AV82" s="9"/>
      <c r="AW82" s="9"/>
      <c r="AX82" s="126"/>
    </row>
    <row r="83" spans="1:50" s="1" customFormat="1" ht="15" customHeight="1">
      <c r="B83" s="150">
        <v>14</v>
      </c>
      <c r="C83" s="126"/>
      <c r="D83" s="9"/>
      <c r="E83" s="264"/>
      <c r="F83" s="398" t="s">
        <v>179</v>
      </c>
      <c r="G83" s="399"/>
      <c r="H83" s="400"/>
      <c r="I83" s="357" t="s">
        <v>48</v>
      </c>
      <c r="J83" s="357" t="s">
        <v>49</v>
      </c>
      <c r="K83" s="357" t="s">
        <v>44</v>
      </c>
      <c r="L83" s="358"/>
      <c r="M83" s="407" t="s">
        <v>154</v>
      </c>
      <c r="N83" s="407"/>
      <c r="O83" s="411" t="s">
        <v>155</v>
      </c>
      <c r="P83" s="411"/>
      <c r="Q83" s="385" t="s">
        <v>50</v>
      </c>
      <c r="R83" s="385"/>
      <c r="S83" s="384" t="s">
        <v>157</v>
      </c>
      <c r="T83" s="384"/>
      <c r="U83" s="384"/>
      <c r="V83" s="384"/>
      <c r="W83" s="9"/>
      <c r="X83" s="126"/>
      <c r="AB83" s="150">
        <v>14</v>
      </c>
      <c r="AC83" s="126"/>
      <c r="AD83" s="9"/>
      <c r="AE83" s="264"/>
      <c r="AF83" s="398" t="s">
        <v>179</v>
      </c>
      <c r="AG83" s="399"/>
      <c r="AH83" s="400"/>
      <c r="AI83" s="357" t="s">
        <v>48</v>
      </c>
      <c r="AJ83" s="357" t="s">
        <v>49</v>
      </c>
      <c r="AK83" s="357" t="s">
        <v>44</v>
      </c>
      <c r="AL83" s="358"/>
      <c r="AM83" s="407" t="s">
        <v>154</v>
      </c>
      <c r="AN83" s="407"/>
      <c r="AO83" s="411" t="s">
        <v>155</v>
      </c>
      <c r="AP83" s="411"/>
      <c r="AQ83" s="385" t="s">
        <v>50</v>
      </c>
      <c r="AR83" s="385"/>
      <c r="AS83" s="384" t="s">
        <v>157</v>
      </c>
      <c r="AT83" s="384"/>
      <c r="AU83" s="384"/>
      <c r="AV83" s="384"/>
      <c r="AW83" s="9"/>
      <c r="AX83" s="126"/>
    </row>
    <row r="84" spans="1:50" s="1" customFormat="1" ht="15" customHeight="1">
      <c r="B84" s="150">
        <v>15</v>
      </c>
      <c r="C84" s="126"/>
      <c r="D84" s="9"/>
      <c r="E84" s="264"/>
      <c r="F84" s="401"/>
      <c r="G84" s="402"/>
      <c r="H84" s="403"/>
      <c r="I84" s="359"/>
      <c r="J84" s="359"/>
      <c r="K84" s="359"/>
      <c r="L84" s="360"/>
      <c r="M84" s="199" t="s">
        <v>46</v>
      </c>
      <c r="N84" s="199" t="s">
        <v>47</v>
      </c>
      <c r="O84" s="394" t="s">
        <v>156</v>
      </c>
      <c r="P84" s="394"/>
      <c r="Q84" s="385"/>
      <c r="R84" s="385"/>
      <c r="S84" s="384"/>
      <c r="T84" s="384"/>
      <c r="U84" s="384"/>
      <c r="V84" s="384"/>
      <c r="W84" s="9"/>
      <c r="X84" s="126"/>
      <c r="AB84" s="150">
        <v>15</v>
      </c>
      <c r="AC84" s="126"/>
      <c r="AD84" s="9"/>
      <c r="AE84" s="264"/>
      <c r="AF84" s="401"/>
      <c r="AG84" s="402"/>
      <c r="AH84" s="403"/>
      <c r="AI84" s="359"/>
      <c r="AJ84" s="359"/>
      <c r="AK84" s="359"/>
      <c r="AL84" s="360"/>
      <c r="AM84" s="199" t="s">
        <v>46</v>
      </c>
      <c r="AN84" s="199" t="s">
        <v>47</v>
      </c>
      <c r="AO84" s="394" t="s">
        <v>156</v>
      </c>
      <c r="AP84" s="394"/>
      <c r="AQ84" s="385"/>
      <c r="AR84" s="385"/>
      <c r="AS84" s="384"/>
      <c r="AT84" s="384"/>
      <c r="AU84" s="384"/>
      <c r="AV84" s="384"/>
      <c r="AW84" s="9"/>
      <c r="AX84" s="126"/>
    </row>
    <row r="85" spans="1:50" s="1" customFormat="1" ht="15" customHeight="1">
      <c r="B85" s="150">
        <v>16</v>
      </c>
      <c r="C85" s="126"/>
      <c r="D85" s="9"/>
      <c r="F85" s="404"/>
      <c r="G85" s="405"/>
      <c r="H85" s="406"/>
      <c r="I85" s="93" t="s">
        <v>36</v>
      </c>
      <c r="J85" s="93" t="s">
        <v>36</v>
      </c>
      <c r="K85" s="395" t="s">
        <v>214</v>
      </c>
      <c r="L85" s="396"/>
      <c r="M85" s="385" t="s">
        <v>214</v>
      </c>
      <c r="N85" s="385"/>
      <c r="O85" s="385" t="s">
        <v>214</v>
      </c>
      <c r="P85" s="385"/>
      <c r="Q85" s="385" t="s">
        <v>161</v>
      </c>
      <c r="R85" s="385"/>
      <c r="S85" s="385" t="s">
        <v>214</v>
      </c>
      <c r="T85" s="385"/>
      <c r="U85" s="385"/>
      <c r="V85" s="385"/>
      <c r="W85" s="9"/>
      <c r="X85" s="126"/>
      <c r="AB85" s="150">
        <v>16</v>
      </c>
      <c r="AC85" s="126"/>
      <c r="AD85" s="9"/>
      <c r="AF85" s="404"/>
      <c r="AG85" s="405"/>
      <c r="AH85" s="406"/>
      <c r="AI85" s="93" t="s">
        <v>36</v>
      </c>
      <c r="AJ85" s="93" t="s">
        <v>36</v>
      </c>
      <c r="AK85" s="395" t="s">
        <v>45</v>
      </c>
      <c r="AL85" s="396"/>
      <c r="AM85" s="385" t="s">
        <v>45</v>
      </c>
      <c r="AN85" s="385"/>
      <c r="AO85" s="385" t="s">
        <v>153</v>
      </c>
      <c r="AP85" s="385"/>
      <c r="AQ85" s="385" t="s">
        <v>12</v>
      </c>
      <c r="AR85" s="385"/>
      <c r="AS85" s="385" t="s">
        <v>45</v>
      </c>
      <c r="AT85" s="385"/>
      <c r="AU85" s="385"/>
      <c r="AV85" s="385"/>
      <c r="AW85" s="9"/>
      <c r="AX85" s="126"/>
    </row>
    <row r="86" spans="1:50" s="1" customFormat="1" ht="15" customHeight="1">
      <c r="B86" s="150">
        <v>17</v>
      </c>
      <c r="C86" s="126"/>
      <c r="D86" s="9"/>
      <c r="F86" s="374" t="s">
        <v>183</v>
      </c>
      <c r="G86" s="379"/>
      <c r="H86" s="375"/>
      <c r="I86" s="268">
        <f>IF($T$11="British",AI86,(AI86-32)*5/9)</f>
        <v>36.251695004097449</v>
      </c>
      <c r="J86" s="268">
        <f>IF($T$11="British",AJ86,(AJ86-32)*5/9)</f>
        <v>36.25794184909158</v>
      </c>
      <c r="K86" s="390">
        <f>IF($T$11="British",AK86,AK86*4.882431)</f>
        <v>0.17739651266230055</v>
      </c>
      <c r="L86" s="391"/>
      <c r="M86" s="235">
        <f t="shared" ref="M86:O87" si="5">IF($T$11="British",AM86,AM86*4.882431)</f>
        <v>1.1967966427623933</v>
      </c>
      <c r="N86" s="235">
        <f t="shared" si="5"/>
        <v>0.75079677434863468</v>
      </c>
      <c r="O86" s="393">
        <f t="shared" si="5"/>
        <v>0</v>
      </c>
      <c r="P86" s="385"/>
      <c r="Q86" s="385">
        <f>IF($T$11="British",AQ86,AQ86/4.882431)</f>
        <v>1E-3</v>
      </c>
      <c r="R86" s="385"/>
      <c r="S86" s="408">
        <f>IF($T$11="British",AS86,AS86*4.882431)</f>
        <v>0.1625195448348393</v>
      </c>
      <c r="T86" s="408"/>
      <c r="U86" s="408"/>
      <c r="V86" s="408"/>
      <c r="W86" s="9"/>
      <c r="X86" s="126"/>
      <c r="AB86" s="150">
        <v>17</v>
      </c>
      <c r="AC86" s="126"/>
      <c r="AD86" s="9"/>
      <c r="AF86" s="374" t="s">
        <v>178</v>
      </c>
      <c r="AG86" s="379"/>
      <c r="AH86" s="375"/>
      <c r="AI86" s="239">
        <f>Calc(AF86,AI83,AJ26,AQ26,AJ34,AJ27,AQ27,AJ35,AJ28,AQ28,AJ36,AJ29,AQ29,AJ37,AJ30,AQ30,AJ38,AJ31,AQ31,AJ39,AJ33,AJ41,AQ40,AQ41,AQ34,AQ35,AQ36,AQ37,AJ17,AJ19,AQ18,AJ20,AJ22,AJ23,AQ21,0,0,AQ20,0,0)</f>
        <v>36.251695004097449</v>
      </c>
      <c r="AJ86" s="240">
        <f>Calc(AF86,AJ83,AJ26,AQ26,AJ34,AJ27,AQ27,AJ35,AJ28,AQ28,AJ36,AJ29,AQ29,AJ37,AJ30,AQ30,AJ38,AJ31,AQ31,AJ39,AJ33,AJ41,AQ40,AQ41,AQ34,AQ35,AQ36,AQ37,AJ17,AJ19,AQ18,AJ20,AJ22,AJ23,AQ21,0,0,AQ20,0,0)</f>
        <v>36.25794184909158</v>
      </c>
      <c r="AK86" s="390">
        <f>Calc(AF86,AK83,AJ26,AQ26,AJ34,AJ27,AQ27,AJ35,AJ28,AQ28,AJ36,AJ29,AQ29,AJ37,AJ30,AQ30,AJ38,AJ31,AQ31,AJ39,AJ33,AJ41,AQ40,AQ41,AQ34,AQ35,AQ36,AQ37,AJ17,AJ19,AQ18,AJ20,AJ22,AJ23,AQ21,0,0,AQ20,0,0)</f>
        <v>0.17739651266230055</v>
      </c>
      <c r="AL86" s="391"/>
      <c r="AM86" s="235">
        <f>Calc(AF86,AM84,AJ26,AQ26,AJ34,AJ27,AQ27,AJ35,AJ28,AQ28,AJ36,AJ29,AQ29,AJ37,AJ30,AQ30,AJ38,AJ31,AQ31,AJ39,AJ33,AJ41,AQ40,AQ41,AQ34,AQ35,AQ36,AQ37,AJ17,AJ19,AQ18,AJ20,AJ22,AJ23,AQ21,0,0,AQ20,0,0)</f>
        <v>1.1967966427623933</v>
      </c>
      <c r="AN86" s="235">
        <f>Calc(AF86,AN84,AJ26,AQ26,AJ34,AJ27,AQ27,AJ35,AJ28,AQ28,AJ36,AJ29,AQ29,AJ37,AJ30,AQ30,AJ38,AJ31,AQ31,AJ39,AJ33,AJ41,AQ40,AQ41,AQ34,AQ35,AQ36,AQ37,AJ17,AJ19,AQ18,AJ20,AJ22,AJ23,AQ21,0,0,AQ20,0,0)</f>
        <v>0.75079677434863468</v>
      </c>
      <c r="AO86" s="397">
        <v>0</v>
      </c>
      <c r="AP86" s="397"/>
      <c r="AQ86" s="393">
        <f>AQ36</f>
        <v>1E-3</v>
      </c>
      <c r="AR86" s="385"/>
      <c r="AS86" s="386">
        <f>Calc(AF86,AS83,AJ26,AQ26,AJ34,AJ27,AQ27,AJ35,AJ28,AQ28,AJ36,AJ29,AQ29,AJ37,AJ30,AQ30,AJ38,AJ31,AQ31,AJ39,AJ33,AJ41,AQ40,AQ41,AQ34,AQ35,AQ36,AQ37,AJ17,AJ19,AQ18,AJ20,AJ22,AJ23,AQ21,0,0,AQ20,0,0)</f>
        <v>0.1625195448348393</v>
      </c>
      <c r="AT86" s="386"/>
      <c r="AU86" s="386"/>
      <c r="AV86" s="386"/>
      <c r="AW86" s="9"/>
      <c r="AX86" s="126"/>
    </row>
    <row r="87" spans="1:50" s="1" customFormat="1" ht="15" customHeight="1">
      <c r="B87" s="150">
        <v>18</v>
      </c>
      <c r="C87" s="126"/>
      <c r="D87" s="9"/>
      <c r="F87" s="374" t="s">
        <v>184</v>
      </c>
      <c r="G87" s="379"/>
      <c r="H87" s="375"/>
      <c r="I87" s="268">
        <f>IF($T$11="British",AI87,(AI87-32)*5/9)</f>
        <v>35.747102326524825</v>
      </c>
      <c r="J87" s="268">
        <f>IF($T$11="British",AJ87,(AJ87-32)*5/9)</f>
        <v>41.617375712912803</v>
      </c>
      <c r="K87" s="390">
        <f>IF($T$11="British",AK87,AK87*4.882431)</f>
        <v>0.15677511675123912</v>
      </c>
      <c r="L87" s="391"/>
      <c r="M87" s="235">
        <f t="shared" si="5"/>
        <v>1.0093953049461957</v>
      </c>
      <c r="N87" s="235">
        <f t="shared" si="5"/>
        <v>0.74965001864555925</v>
      </c>
      <c r="O87" s="393">
        <f t="shared" si="5"/>
        <v>4.4642857142857144</v>
      </c>
      <c r="P87" s="385"/>
      <c r="Q87" s="385">
        <f>IF($T$11="British",AQ87,AQ87/4.882431)</f>
        <v>1E-3</v>
      </c>
      <c r="R87" s="385"/>
      <c r="S87" s="408">
        <f>IF($T$11="British",AS87,AS87*4.882431)</f>
        <v>8.7612459771050824E-2</v>
      </c>
      <c r="T87" s="408"/>
      <c r="U87" s="408"/>
      <c r="V87" s="408"/>
      <c r="W87" s="9"/>
      <c r="X87" s="126"/>
      <c r="AB87" s="150">
        <v>18</v>
      </c>
      <c r="AC87" s="126"/>
      <c r="AD87" s="9"/>
      <c r="AF87" s="374" t="s">
        <v>178</v>
      </c>
      <c r="AG87" s="379"/>
      <c r="AH87" s="375"/>
      <c r="AI87" s="268">
        <f>Calc(AF87,AI83,AJ26,AQ26,AJ34,AJ27,AQ27,AJ35,AJ28,AQ28,AJ36,AJ29,AQ29,AJ37,AJ30,AQ30,AJ38,AJ31,AQ31,AJ39,AJ33,AJ41,AQ40,AQ41,AQ34,AQ35,AQ36,AQ37,AJ17,AJ19,AQ18,AJ20,AJ22,AJ23,AQ21,AQ21,0,AQ20,AQ20,0)</f>
        <v>35.747102326524825</v>
      </c>
      <c r="AJ87" s="92">
        <f>Calc(AF87,AJ83,AJ26,AQ26,AJ34,AJ27,AQ27,AJ35,AJ28,AQ28,AJ36,AJ29,AQ29,AJ37,AJ30,AQ30,AJ38,AJ31,AQ31,AJ39,AJ33,AJ41,AQ40,AQ41,AQ34,AQ35,AQ36,AQ37,AJ17,AJ19,AQ18,AJ20,AJ22,AJ23,AQ21,AQ21,0,AQ20,AQ20,0)</f>
        <v>41.617375712912803</v>
      </c>
      <c r="AK87" s="390">
        <f>Calc(AF87,AK83,AJ26,AQ26,AJ34,AJ27,AQ27,AJ35,AJ28,AQ28,AJ36,AJ29,AQ29,AJ37,AJ30,AQ30,AJ38,AJ31,AQ31,AJ39,AJ33,AJ41,AQ40,AQ41,AQ34,AQ35,AQ36,AQ37,AJ17,AJ19,AQ18,AJ20,AJ22,AJ23,AQ21,AQ21,0,AQ20,AQ20,0)</f>
        <v>0.15677511675123912</v>
      </c>
      <c r="AL87" s="391"/>
      <c r="AM87" s="235">
        <f>Calc(AF87,AM84,AJ26,AQ26,AJ34,AJ27,AQ27,AJ35,AJ28,AQ28,AJ36,AJ29,AQ29,AJ37,AJ30,AQ30,AJ38,AJ31,AQ31,AJ39,AJ33,AJ41,AQ40,AQ41,AQ34,AQ35,AQ36,AQ37,AJ17,AJ19,AQ18,AJ20,AJ22,AJ23,AQ21,AQ21,0,AQ20,AQ20,0)</f>
        <v>1.0093953049461957</v>
      </c>
      <c r="AN87" s="235">
        <f>Calc(AF87,AN84,AJ26,AQ26,AJ34,AJ27,AQ27,AJ35,AJ28,AQ28,AJ36,AJ29,AQ29,AJ37,AJ30,AQ30,AJ38,AJ31,AQ31,AJ39,AJ33,AJ41,AQ40,AQ41,AQ34,AQ35,AQ36,AQ37,AJ17,AJ19,AQ18,AJ20,AJ22,AJ23,AQ21,AQ21,0,AQ20,AQ20,0)</f>
        <v>0.74965001864555925</v>
      </c>
      <c r="AO87" s="392">
        <f>AO54</f>
        <v>4.4642857142857144</v>
      </c>
      <c r="AP87" s="392"/>
      <c r="AQ87" s="393">
        <f>AQ86</f>
        <v>1E-3</v>
      </c>
      <c r="AR87" s="385"/>
      <c r="AS87" s="386">
        <f>Calc(AF87,AS83,AJ26,AQ26,AJ34,AJ27,AQ27,AJ35,AJ28,AQ28,AJ36,AJ29,AQ29,AJ37,AJ30,AQ30,AJ38,AJ31,AQ31,AJ39,AJ33,AJ41,AQ40,AQ41,AQ34,AQ35,AQ36,AQ37,AJ17,AJ19,AQ18,AJ20,AJ22,AJ23,AQ21,AQ21,AQ21,AQ20,AQ20,AQ20)</f>
        <v>8.7612459771050824E-2</v>
      </c>
      <c r="AT87" s="386"/>
      <c r="AU87" s="386"/>
      <c r="AV87" s="386"/>
      <c r="AW87" s="9"/>
      <c r="AX87" s="126"/>
    </row>
    <row r="88" spans="1:50" s="1" customFormat="1" ht="15" customHeight="1">
      <c r="B88" s="150">
        <v>19</v>
      </c>
      <c r="C88" s="126"/>
      <c r="D88" s="9"/>
      <c r="F88" s="50"/>
      <c r="G88" s="50"/>
      <c r="H88" s="50"/>
      <c r="I88" s="275"/>
      <c r="J88" s="276"/>
      <c r="K88" s="277"/>
      <c r="L88" s="277"/>
      <c r="M88" s="278"/>
      <c r="N88" s="278"/>
      <c r="O88" s="279"/>
      <c r="P88" s="279"/>
      <c r="Q88" s="280"/>
      <c r="R88" s="224"/>
      <c r="S88" s="281"/>
      <c r="T88" s="281"/>
      <c r="U88" s="281"/>
      <c r="V88" s="281"/>
      <c r="W88" s="9"/>
      <c r="X88" s="126"/>
      <c r="AB88" s="150">
        <v>19</v>
      </c>
      <c r="AC88" s="126"/>
      <c r="AD88" s="9"/>
      <c r="AF88" s="50"/>
      <c r="AG88" s="50"/>
      <c r="AH88" s="50"/>
      <c r="AI88" s="282"/>
      <c r="AJ88" s="283"/>
      <c r="AK88" s="277"/>
      <c r="AL88" s="277"/>
      <c r="AM88" s="278"/>
      <c r="AN88" s="278"/>
      <c r="AO88" s="279"/>
      <c r="AP88" s="279"/>
      <c r="AQ88" s="280"/>
      <c r="AR88" s="224"/>
      <c r="AS88" s="281"/>
      <c r="AT88" s="281"/>
      <c r="AU88" s="281"/>
      <c r="AV88" s="281"/>
      <c r="AW88" s="9"/>
      <c r="AX88" s="126"/>
    </row>
    <row r="89" spans="1:50" s="1" customFormat="1" ht="15" customHeight="1">
      <c r="B89" s="150">
        <v>20</v>
      </c>
      <c r="C89" s="126"/>
      <c r="D89" s="9"/>
      <c r="H89" s="1" t="s">
        <v>185</v>
      </c>
      <c r="K89" s="9" t="s">
        <v>34</v>
      </c>
      <c r="M89" s="266">
        <f>IF($T$11="British",AM89,AM89*0.3048^2)</f>
        <v>314.7722596303733</v>
      </c>
      <c r="O89" s="207" t="s">
        <v>205</v>
      </c>
      <c r="P89" s="50"/>
      <c r="Q89" s="9"/>
      <c r="R89" s="9"/>
      <c r="S89" s="50"/>
      <c r="T89" s="50"/>
      <c r="U89" s="9"/>
      <c r="V89" s="9"/>
      <c r="W89" s="9"/>
      <c r="X89" s="126"/>
      <c r="AB89" s="150">
        <v>20</v>
      </c>
      <c r="AC89" s="126"/>
      <c r="AD89" s="9"/>
      <c r="AH89" s="1" t="s">
        <v>185</v>
      </c>
      <c r="AK89" s="9" t="s">
        <v>34</v>
      </c>
      <c r="AM89" s="266">
        <f>VLOOKUP(AJ16,AH64:AM67,4)</f>
        <v>314.7722596303733</v>
      </c>
      <c r="AO89" s="6" t="s">
        <v>20</v>
      </c>
      <c r="AP89" s="50"/>
      <c r="AQ89" s="9"/>
      <c r="AR89" s="9"/>
      <c r="AS89" s="50"/>
      <c r="AT89" s="50"/>
      <c r="AU89" s="9"/>
      <c r="AV89" s="9"/>
      <c r="AW89" s="9"/>
      <c r="AX89" s="126"/>
    </row>
    <row r="90" spans="1:50" s="1" customFormat="1" ht="15" customHeight="1">
      <c r="B90" s="150">
        <v>21</v>
      </c>
      <c r="C90" s="126"/>
      <c r="D90" s="9"/>
      <c r="H90" s="27" t="s">
        <v>182</v>
      </c>
      <c r="I90" s="34"/>
      <c r="J90" s="34"/>
      <c r="K90" s="73" t="s">
        <v>34</v>
      </c>
      <c r="M90" s="267">
        <f>IF($T$11="British",AM90,AM90*0.2519958)</f>
        <v>767.3496654264319</v>
      </c>
      <c r="N90" s="116"/>
      <c r="O90" s="346" t="s">
        <v>215</v>
      </c>
      <c r="P90" s="50"/>
      <c r="Q90" s="9"/>
      <c r="R90" s="9"/>
      <c r="S90" s="50"/>
      <c r="T90" s="50"/>
      <c r="U90" s="9"/>
      <c r="V90" s="9"/>
      <c r="W90" s="9"/>
      <c r="X90" s="126"/>
      <c r="AB90" s="150">
        <v>21</v>
      </c>
      <c r="AC90" s="126"/>
      <c r="AD90" s="9"/>
      <c r="AH90" s="27" t="s">
        <v>182</v>
      </c>
      <c r="AI90" s="34"/>
      <c r="AJ90" s="34"/>
      <c r="AK90" s="73" t="s">
        <v>34</v>
      </c>
      <c r="AM90" s="271">
        <f>IF(AJ17=1,AS86*$AM$89*($AQ$26-$AJ$34),"")</f>
        <v>767.3496654264319</v>
      </c>
      <c r="AN90" s="116"/>
      <c r="AO90" s="97" t="s">
        <v>21</v>
      </c>
      <c r="AP90" s="50"/>
      <c r="AQ90" s="9"/>
      <c r="AR90" s="9"/>
      <c r="AS90" s="50"/>
      <c r="AT90" s="50"/>
      <c r="AU90" s="9"/>
      <c r="AV90" s="9"/>
      <c r="AW90" s="9"/>
      <c r="AX90" s="126"/>
    </row>
    <row r="91" spans="1:50" s="1" customFormat="1" ht="15" customHeight="1">
      <c r="B91" s="150">
        <v>22</v>
      </c>
      <c r="C91" s="126"/>
      <c r="D91" s="9"/>
      <c r="E91" s="9"/>
      <c r="F91" s="9"/>
      <c r="G91" s="50"/>
      <c r="H91" s="27" t="s">
        <v>182</v>
      </c>
      <c r="I91" s="34"/>
      <c r="J91" s="34"/>
      <c r="K91" s="73" t="s">
        <v>34</v>
      </c>
      <c r="M91" s="267">
        <f>IF($T$11="British",AM91,AM91*0.2519958)</f>
        <v>413.6695790086327</v>
      </c>
      <c r="N91" s="116"/>
      <c r="O91" s="347" t="s">
        <v>215</v>
      </c>
      <c r="P91" s="37"/>
      <c r="S91" s="50"/>
      <c r="T91" s="50"/>
      <c r="U91" s="9"/>
      <c r="V91" s="9"/>
      <c r="W91" s="9"/>
      <c r="X91" s="126"/>
      <c r="AB91" s="150">
        <v>22</v>
      </c>
      <c r="AC91" s="126"/>
      <c r="AH91" s="27" t="s">
        <v>182</v>
      </c>
      <c r="AI91" s="34"/>
      <c r="AJ91" s="34"/>
      <c r="AK91" s="73" t="s">
        <v>34</v>
      </c>
      <c r="AM91" s="271">
        <f>IF(AJ17=1,AS87*$AM$89*($AQ$26-$AJ$34),"")</f>
        <v>413.6695790086327</v>
      </c>
      <c r="AN91" s="116"/>
      <c r="AO91" s="97" t="s">
        <v>21</v>
      </c>
      <c r="AX91" s="126"/>
    </row>
    <row r="92" spans="1:50" s="1" customFormat="1" ht="15" customHeight="1">
      <c r="B92" s="150">
        <v>23</v>
      </c>
      <c r="C92" s="126"/>
      <c r="D92" s="9"/>
      <c r="E92" s="9"/>
      <c r="T92" s="50"/>
      <c r="U92" s="9"/>
      <c r="V92" s="9"/>
      <c r="W92" s="9"/>
      <c r="X92" s="126"/>
      <c r="AB92" s="150">
        <v>23</v>
      </c>
      <c r="AC92" s="126"/>
      <c r="AX92" s="126"/>
    </row>
    <row r="93" spans="1:50" s="1" customFormat="1" ht="15" customHeight="1">
      <c r="B93" s="150">
        <v>24</v>
      </c>
      <c r="C93" s="126"/>
      <c r="D93" s="9"/>
      <c r="E93" s="24" t="s">
        <v>80</v>
      </c>
      <c r="F93" s="24"/>
      <c r="G93" s="53"/>
      <c r="H93" s="9"/>
      <c r="I93" s="9"/>
      <c r="S93" s="50"/>
      <c r="T93" s="50"/>
      <c r="U93" s="9"/>
      <c r="V93" s="9"/>
      <c r="W93" s="9"/>
      <c r="X93" s="126"/>
      <c r="AB93" s="150">
        <v>24</v>
      </c>
      <c r="AC93" s="126"/>
      <c r="AD93" s="9"/>
      <c r="AE93" s="24" t="s">
        <v>80</v>
      </c>
      <c r="AF93" s="24"/>
      <c r="AG93" s="53"/>
      <c r="AH93" s="9"/>
      <c r="AI93" s="9"/>
      <c r="AS93" s="50"/>
      <c r="AT93" s="50"/>
      <c r="AU93" s="9"/>
      <c r="AV93" s="9"/>
      <c r="AW93" s="9"/>
      <c r="AX93" s="126"/>
    </row>
    <row r="94" spans="1:50" s="1" customFormat="1" ht="15" customHeight="1">
      <c r="B94" s="150">
        <v>25</v>
      </c>
      <c r="C94" s="126"/>
      <c r="D94" s="9"/>
      <c r="E94" s="9"/>
      <c r="F94" s="9"/>
      <c r="G94" s="50"/>
      <c r="H94" s="6"/>
      <c r="S94" s="55"/>
      <c r="T94" s="55"/>
      <c r="U94" s="9"/>
      <c r="V94" s="9"/>
      <c r="W94" s="9"/>
      <c r="X94" s="126"/>
      <c r="AB94" s="150">
        <v>25</v>
      </c>
      <c r="AC94" s="126"/>
      <c r="AD94" s="9"/>
      <c r="AE94" s="9"/>
      <c r="AF94" s="9"/>
      <c r="AG94" s="50"/>
      <c r="AH94" s="6"/>
      <c r="AS94" s="55"/>
      <c r="AT94" s="55"/>
      <c r="AU94" s="9"/>
      <c r="AV94" s="9"/>
      <c r="AW94" s="9"/>
      <c r="AX94" s="126"/>
    </row>
    <row r="95" spans="1:50" s="1" customFormat="1" ht="15" customHeight="1">
      <c r="B95" s="150">
        <v>26</v>
      </c>
      <c r="C95" s="126"/>
      <c r="D95" s="6"/>
      <c r="H95" s="38" t="s">
        <v>24</v>
      </c>
      <c r="I95" s="38" t="str">
        <f>"Qs (Drywall)+ Qs (Wetwall)"&amp;IF(J18="No"," + Qb","")&amp;IF(AJ17=1," + Qr","")</f>
        <v>Qs (Drywall)+ Qs (Wetwall) + Qb + Qr</v>
      </c>
      <c r="S95" s="50"/>
      <c r="T95" s="50"/>
      <c r="U95" s="9"/>
      <c r="V95" s="9"/>
      <c r="W95" s="9"/>
      <c r="X95" s="126"/>
      <c r="AB95" s="150">
        <v>26</v>
      </c>
      <c r="AC95" s="126"/>
      <c r="AD95" s="6"/>
      <c r="AH95" s="38" t="s">
        <v>24</v>
      </c>
      <c r="AI95" s="38" t="str">
        <f>"Qs (Drywall)+ Qs (Wetwall)"&amp;IF(AJ18="No"," + Qb","")&amp;IF(AJ17=1," + Qr","")</f>
        <v>Qs (Drywall)+ Qs (Wetwall) + Qb + Qr</v>
      </c>
      <c r="AS95" s="50"/>
      <c r="AT95" s="50"/>
      <c r="AU95" s="9"/>
      <c r="AV95" s="9"/>
      <c r="AW95" s="9"/>
      <c r="AX95" s="126"/>
    </row>
    <row r="96" spans="1:50" s="1" customFormat="1" ht="15" customHeight="1" thickBot="1">
      <c r="B96" s="150">
        <v>27</v>
      </c>
      <c r="C96" s="126"/>
      <c r="D96" s="9"/>
      <c r="E96" s="9"/>
      <c r="F96" s="9"/>
      <c r="G96" s="50"/>
      <c r="H96" s="123"/>
      <c r="I96" s="50"/>
      <c r="J96" s="124"/>
      <c r="K96" s="124"/>
      <c r="L96" s="124"/>
      <c r="M96" s="125"/>
      <c r="N96" s="125"/>
      <c r="O96" s="124"/>
      <c r="P96" s="124"/>
      <c r="Q96" s="124"/>
      <c r="R96" s="124"/>
      <c r="S96" s="50"/>
      <c r="T96" s="50"/>
      <c r="U96" s="9"/>
      <c r="V96" s="9"/>
      <c r="W96" s="9"/>
      <c r="X96" s="126"/>
      <c r="AB96" s="150">
        <v>27</v>
      </c>
      <c r="AC96" s="126"/>
      <c r="AD96" s="9"/>
      <c r="AE96" s="9"/>
      <c r="AF96" s="9"/>
      <c r="AG96" s="50"/>
      <c r="AH96" s="123"/>
      <c r="AI96" s="50"/>
      <c r="AJ96" s="124"/>
      <c r="AK96" s="124"/>
      <c r="AL96" s="124"/>
      <c r="AM96" s="125"/>
      <c r="AN96" s="125"/>
      <c r="AO96" s="124"/>
      <c r="AP96" s="124"/>
      <c r="AQ96" s="124"/>
      <c r="AR96" s="124"/>
      <c r="AS96" s="50"/>
      <c r="AT96" s="50"/>
      <c r="AU96" s="9"/>
      <c r="AV96" s="9"/>
      <c r="AW96" s="9"/>
      <c r="AX96" s="126"/>
    </row>
    <row r="97" spans="2:50" s="1" customFormat="1" ht="15" customHeight="1">
      <c r="B97" s="150">
        <v>28</v>
      </c>
      <c r="C97" s="126"/>
      <c r="D97" s="9"/>
      <c r="E97" s="24"/>
      <c r="F97" s="24"/>
      <c r="G97" s="53"/>
      <c r="H97" s="363" t="s">
        <v>76</v>
      </c>
      <c r="I97" s="364"/>
      <c r="J97" s="374" t="s">
        <v>77</v>
      </c>
      <c r="K97" s="379"/>
      <c r="L97" s="375"/>
      <c r="M97" s="130" t="s">
        <v>78</v>
      </c>
      <c r="N97" s="387" t="s">
        <v>79</v>
      </c>
      <c r="O97" s="388"/>
      <c r="P97" s="389"/>
      <c r="R97" s="9"/>
      <c r="S97" s="50"/>
      <c r="T97" s="50"/>
      <c r="U97" s="9"/>
      <c r="V97" s="9"/>
      <c r="W97" s="9"/>
      <c r="X97" s="126"/>
      <c r="AB97" s="150">
        <v>28</v>
      </c>
      <c r="AC97" s="126"/>
      <c r="AD97" s="9"/>
      <c r="AE97" s="24"/>
      <c r="AF97" s="24"/>
      <c r="AG97" s="53"/>
      <c r="AH97" s="363" t="s">
        <v>76</v>
      </c>
      <c r="AI97" s="364"/>
      <c r="AJ97" s="374" t="s">
        <v>77</v>
      </c>
      <c r="AK97" s="379"/>
      <c r="AL97" s="375"/>
      <c r="AM97" s="197" t="s">
        <v>78</v>
      </c>
      <c r="AN97" s="387" t="s">
        <v>79</v>
      </c>
      <c r="AO97" s="388"/>
      <c r="AP97" s="389"/>
      <c r="AR97" s="9"/>
      <c r="AS97" s="50"/>
      <c r="AT97" s="50"/>
      <c r="AU97" s="9"/>
      <c r="AV97" s="9"/>
      <c r="AW97" s="9"/>
      <c r="AX97" s="126"/>
    </row>
    <row r="98" spans="2:50" s="1" customFormat="1" ht="15" customHeight="1">
      <c r="B98" s="150">
        <v>29</v>
      </c>
      <c r="C98" s="126"/>
      <c r="D98" s="9"/>
      <c r="E98" s="9"/>
      <c r="F98" s="9"/>
      <c r="G98" s="50"/>
      <c r="H98" s="99" t="s">
        <v>62</v>
      </c>
      <c r="I98" s="131"/>
      <c r="J98" s="273">
        <f>IF($T$11="British",AJ98,AJ98*0.2519958)</f>
        <v>9477.2374603213248</v>
      </c>
      <c r="K98" s="174"/>
      <c r="L98" s="109" t="s">
        <v>215</v>
      </c>
      <c r="M98" s="110">
        <v>0.2</v>
      </c>
      <c r="N98" s="111">
        <f>IF($T$11="British",AN98,AN98*0.2519958)</f>
        <v>11372.684952385589</v>
      </c>
      <c r="O98" s="174"/>
      <c r="P98" s="113" t="s">
        <v>215</v>
      </c>
      <c r="R98" s="9"/>
      <c r="S98" s="50"/>
      <c r="T98" s="50"/>
      <c r="U98" s="9"/>
      <c r="V98" s="9"/>
      <c r="W98" s="9"/>
      <c r="X98" s="126"/>
      <c r="AB98" s="150">
        <v>29</v>
      </c>
      <c r="AC98" s="126"/>
      <c r="AD98" s="9"/>
      <c r="AE98" s="9"/>
      <c r="AF98" s="9"/>
      <c r="AG98" s="50"/>
      <c r="AH98" s="99" t="s">
        <v>62</v>
      </c>
      <c r="AI98" s="132"/>
      <c r="AJ98" s="273">
        <f>AM58+AM79+AM90</f>
        <v>9477.2374603213248</v>
      </c>
      <c r="AK98" s="174"/>
      <c r="AL98" s="109" t="s">
        <v>25</v>
      </c>
      <c r="AM98" s="110">
        <v>0.2</v>
      </c>
      <c r="AN98" s="111">
        <f>AJ98*(1+AM98)</f>
        <v>11372.684952385589</v>
      </c>
      <c r="AO98" s="174"/>
      <c r="AP98" s="113" t="s">
        <v>25</v>
      </c>
      <c r="AR98" s="9"/>
      <c r="AS98" s="50"/>
      <c r="AT98" s="50"/>
      <c r="AU98" s="9"/>
      <c r="AV98" s="9"/>
      <c r="AW98" s="9"/>
      <c r="AX98" s="126"/>
    </row>
    <row r="99" spans="2:50" s="1" customFormat="1" ht="15" customHeight="1" thickBot="1">
      <c r="B99" s="150">
        <v>30</v>
      </c>
      <c r="C99" s="126"/>
      <c r="D99" s="6"/>
      <c r="E99" s="9"/>
      <c r="F99" s="9"/>
      <c r="G99" s="50"/>
      <c r="H99" s="99" t="s">
        <v>64</v>
      </c>
      <c r="I99" s="131"/>
      <c r="J99" s="273">
        <f>IF($T$11="British",AJ99,AJ99*0.2519958)</f>
        <v>9123.5573739035244</v>
      </c>
      <c r="K99" s="174"/>
      <c r="L99" s="109" t="s">
        <v>215</v>
      </c>
      <c r="M99" s="110">
        <v>0.2</v>
      </c>
      <c r="N99" s="112">
        <f>IF($T$11="British",AN99,AN99*0.2519958)</f>
        <v>10948.268848684229</v>
      </c>
      <c r="O99" s="175"/>
      <c r="P99" s="114" t="s">
        <v>215</v>
      </c>
      <c r="R99" s="9"/>
      <c r="S99" s="50"/>
      <c r="T99" s="50"/>
      <c r="U99" s="9"/>
      <c r="V99" s="9"/>
      <c r="W99" s="9"/>
      <c r="X99" s="126"/>
      <c r="AB99" s="150">
        <v>30</v>
      </c>
      <c r="AC99" s="126"/>
      <c r="AD99" s="6"/>
      <c r="AE99" s="9"/>
      <c r="AF99" s="9"/>
      <c r="AG99" s="50"/>
      <c r="AH99" s="99" t="s">
        <v>64</v>
      </c>
      <c r="AI99" s="132"/>
      <c r="AJ99" s="273">
        <f>AM58+AM79+AM91</f>
        <v>9123.5573739035244</v>
      </c>
      <c r="AK99" s="174"/>
      <c r="AL99" s="109" t="s">
        <v>25</v>
      </c>
      <c r="AM99" s="110">
        <v>0.2</v>
      </c>
      <c r="AN99" s="112">
        <f>AJ99*(1+AM99)</f>
        <v>10948.268848684229</v>
      </c>
      <c r="AO99" s="175"/>
      <c r="AP99" s="114" t="s">
        <v>25</v>
      </c>
      <c r="AR99" s="9"/>
      <c r="AS99" s="50"/>
      <c r="AT99" s="50"/>
      <c r="AU99" s="9"/>
      <c r="AV99" s="9"/>
      <c r="AW99" s="9"/>
      <c r="AX99" s="126"/>
    </row>
    <row r="100" spans="2:50" s="1" customFormat="1" ht="15" customHeight="1">
      <c r="B100" s="150">
        <v>31</v>
      </c>
      <c r="C100" s="126"/>
      <c r="D100" s="6"/>
      <c r="E100" s="9"/>
      <c r="F100" s="9"/>
      <c r="G100" s="50"/>
      <c r="H100" s="123"/>
      <c r="I100" s="50"/>
      <c r="J100" s="284"/>
      <c r="K100" s="124"/>
      <c r="L100" s="124"/>
      <c r="M100" s="125"/>
      <c r="N100" s="124"/>
      <c r="O100" s="124"/>
      <c r="P100" s="124"/>
      <c r="R100" s="9"/>
      <c r="S100" s="50"/>
      <c r="T100" s="50"/>
      <c r="U100" s="9"/>
      <c r="V100" s="9"/>
      <c r="W100" s="9"/>
      <c r="X100" s="126"/>
      <c r="AB100" s="150">
        <v>31</v>
      </c>
      <c r="AC100" s="126"/>
      <c r="AD100" s="6"/>
      <c r="AE100" s="9"/>
      <c r="AF100" s="9"/>
      <c r="AG100" s="50"/>
      <c r="AH100" s="123"/>
      <c r="AI100" s="50"/>
      <c r="AJ100" s="124"/>
      <c r="AK100" s="124"/>
      <c r="AL100" s="124"/>
      <c r="AM100" s="125"/>
      <c r="AN100" s="124"/>
      <c r="AO100" s="124"/>
      <c r="AP100" s="124"/>
      <c r="AR100" s="9"/>
      <c r="AS100" s="50"/>
      <c r="AT100" s="50"/>
      <c r="AU100" s="9"/>
      <c r="AV100" s="9"/>
      <c r="AW100" s="9"/>
      <c r="AX100" s="126"/>
    </row>
    <row r="101" spans="2:50" s="1" customFormat="1" ht="15" customHeight="1">
      <c r="B101" s="150">
        <v>32</v>
      </c>
      <c r="C101" s="126"/>
      <c r="D101" s="6"/>
      <c r="U101" s="9"/>
      <c r="V101" s="9"/>
      <c r="W101" s="9"/>
      <c r="X101" s="126"/>
      <c r="AB101" s="150">
        <v>32</v>
      </c>
      <c r="AC101" s="126"/>
      <c r="AD101" s="6"/>
      <c r="AU101" s="9"/>
      <c r="AV101" s="9"/>
      <c r="AW101" s="9"/>
      <c r="AX101" s="126"/>
    </row>
    <row r="102" spans="2:50" s="1" customFormat="1" ht="15" customHeight="1">
      <c r="B102" s="150">
        <v>33</v>
      </c>
      <c r="C102" s="126"/>
      <c r="D102" s="120" t="str">
        <f>IF(J43="steam", "  2. Calculation of Steam Amount","  2. Calculation of Hot Water Amount")</f>
        <v xml:space="preserve">  2. Calculation of Steam Amount</v>
      </c>
      <c r="E102" s="9"/>
      <c r="F102" s="50"/>
      <c r="G102" s="9"/>
      <c r="H102" s="9"/>
      <c r="I102" s="9"/>
      <c r="J102" s="9"/>
      <c r="K102" s="9"/>
      <c r="L102" s="9"/>
      <c r="M102" s="9"/>
      <c r="U102" s="9"/>
      <c r="V102" s="9"/>
      <c r="W102" s="9"/>
      <c r="X102" s="126"/>
      <c r="AB102" s="150">
        <v>33</v>
      </c>
      <c r="AC102" s="126"/>
      <c r="AD102" s="120" t="str">
        <f>IF(AJ43="steam", "  2. Calculation of Steam Amount","  2. Calculation of Hot Water Amount")</f>
        <v xml:space="preserve">  2. Calculation of Steam Amount</v>
      </c>
      <c r="AE102" s="9"/>
      <c r="AF102" s="50"/>
      <c r="AG102" s="9"/>
      <c r="AH102" s="9"/>
      <c r="AI102" s="9"/>
      <c r="AJ102" s="9"/>
      <c r="AK102" s="9"/>
      <c r="AL102" s="9"/>
      <c r="AM102" s="9"/>
      <c r="AU102" s="9"/>
      <c r="AV102" s="9"/>
      <c r="AW102" s="9"/>
      <c r="AX102" s="126"/>
    </row>
    <row r="103" spans="2:50" s="1" customFormat="1" ht="15" customHeight="1">
      <c r="B103" s="150">
        <v>34</v>
      </c>
      <c r="C103" s="126"/>
      <c r="E103" s="9"/>
      <c r="F103" s="50"/>
      <c r="K103" s="9"/>
      <c r="U103" s="6"/>
      <c r="V103" s="9"/>
      <c r="W103" s="9"/>
      <c r="X103" s="126"/>
      <c r="AB103" s="150">
        <v>34</v>
      </c>
      <c r="AC103" s="126"/>
      <c r="AE103" s="9"/>
      <c r="AF103" s="50"/>
      <c r="AK103" s="9"/>
      <c r="AU103" s="6"/>
      <c r="AV103" s="9"/>
      <c r="AW103" s="9"/>
      <c r="AX103" s="126"/>
    </row>
    <row r="104" spans="2:50" s="1" customFormat="1" ht="15" customHeight="1">
      <c r="B104" s="150">
        <v>35</v>
      </c>
      <c r="C104" s="126"/>
      <c r="D104" s="120"/>
      <c r="F104" s="26"/>
      <c r="G104" s="6" t="s">
        <v>74</v>
      </c>
      <c r="H104" s="9"/>
      <c r="I104" s="6"/>
      <c r="J104" s="274" t="str">
        <f>J43</f>
        <v>STEAM</v>
      </c>
      <c r="M104" s="6"/>
      <c r="V104" s="9"/>
      <c r="W104" s="9"/>
      <c r="X104" s="126"/>
      <c r="AB104" s="150">
        <v>35</v>
      </c>
      <c r="AC104" s="126"/>
      <c r="AD104" s="120"/>
      <c r="AF104" s="26"/>
      <c r="AG104" s="6" t="s">
        <v>74</v>
      </c>
      <c r="AH104" s="9"/>
      <c r="AI104" s="6"/>
      <c r="AJ104" s="274" t="str">
        <f>AJ43</f>
        <v>STEAM</v>
      </c>
      <c r="AM104" s="6"/>
      <c r="AV104" s="9"/>
      <c r="AW104" s="9"/>
      <c r="AX104" s="126"/>
    </row>
    <row r="105" spans="2:50" s="1" customFormat="1" ht="15" customHeight="1">
      <c r="B105" s="150">
        <v>36</v>
      </c>
      <c r="C105" s="126"/>
      <c r="D105" s="9"/>
      <c r="V105" s="6"/>
      <c r="W105" s="6"/>
      <c r="X105" s="126"/>
      <c r="AB105" s="150">
        <v>36</v>
      </c>
      <c r="AC105" s="126"/>
      <c r="AD105" s="9"/>
      <c r="AV105" s="6"/>
      <c r="AW105" s="6"/>
      <c r="AX105" s="126"/>
    </row>
    <row r="106" spans="2:50" s="1" customFormat="1" ht="15" customHeight="1">
      <c r="B106" s="150">
        <v>37</v>
      </c>
      <c r="C106" s="126"/>
      <c r="D106" s="120"/>
      <c r="H106" s="357" t="s">
        <v>76</v>
      </c>
      <c r="I106" s="358"/>
      <c r="J106" s="379" t="s">
        <v>73</v>
      </c>
      <c r="K106" s="379"/>
      <c r="L106" s="375"/>
      <c r="M106" s="380" t="s">
        <v>66</v>
      </c>
      <c r="N106" s="380"/>
      <c r="O106" s="380" t="s">
        <v>67</v>
      </c>
      <c r="P106" s="380"/>
      <c r="Q106" s="380"/>
      <c r="X106" s="126"/>
      <c r="AB106" s="150">
        <v>37</v>
      </c>
      <c r="AC106" s="126"/>
      <c r="AD106" s="120"/>
      <c r="AH106" s="357" t="s">
        <v>76</v>
      </c>
      <c r="AI106" s="358"/>
      <c r="AJ106" s="379" t="s">
        <v>73</v>
      </c>
      <c r="AK106" s="379"/>
      <c r="AL106" s="375"/>
      <c r="AM106" s="380" t="s">
        <v>66</v>
      </c>
      <c r="AN106" s="380"/>
      <c r="AO106" s="380" t="s">
        <v>67</v>
      </c>
      <c r="AP106" s="380"/>
      <c r="AQ106" s="380"/>
      <c r="AX106" s="126"/>
    </row>
    <row r="107" spans="2:50" s="1" customFormat="1" ht="15" customHeight="1">
      <c r="B107" s="150">
        <v>38</v>
      </c>
      <c r="C107" s="126"/>
      <c r="D107" s="9"/>
      <c r="E107" s="9"/>
      <c r="F107" s="96"/>
      <c r="H107" s="359"/>
      <c r="I107" s="360"/>
      <c r="J107" s="198" t="s">
        <v>216</v>
      </c>
      <c r="K107" s="374" t="s">
        <v>186</v>
      </c>
      <c r="L107" s="379"/>
      <c r="M107" s="381" t="s">
        <v>36</v>
      </c>
      <c r="N107" s="381"/>
      <c r="O107" s="381" t="s">
        <v>36</v>
      </c>
      <c r="P107" s="381"/>
      <c r="Q107" s="381"/>
      <c r="X107" s="126"/>
      <c r="AB107" s="150">
        <v>38</v>
      </c>
      <c r="AC107" s="126"/>
      <c r="AD107" s="9"/>
      <c r="AE107" s="9"/>
      <c r="AF107" s="96"/>
      <c r="AH107" s="359"/>
      <c r="AI107" s="360"/>
      <c r="AJ107" s="198" t="s">
        <v>72</v>
      </c>
      <c r="AK107" s="374" t="s">
        <v>186</v>
      </c>
      <c r="AL107" s="379"/>
      <c r="AM107" s="381" t="s">
        <v>36</v>
      </c>
      <c r="AN107" s="381"/>
      <c r="AO107" s="381" t="s">
        <v>36</v>
      </c>
      <c r="AP107" s="381"/>
      <c r="AQ107" s="381"/>
      <c r="AX107" s="126"/>
    </row>
    <row r="108" spans="2:50" s="1" customFormat="1" ht="15" customHeight="1">
      <c r="B108" s="150">
        <v>39</v>
      </c>
      <c r="C108" s="126"/>
      <c r="D108" s="9"/>
      <c r="E108" s="9"/>
      <c r="F108" s="96"/>
      <c r="H108" s="99" t="s">
        <v>62</v>
      </c>
      <c r="I108" s="132"/>
      <c r="J108" s="334">
        <f>IF(T11="British",AJ108,AJ108*0.4536)</f>
        <v>12.456390966468334</v>
      </c>
      <c r="K108" s="374" t="str">
        <f>IF($J$43="Steam","-",IF($T$11="British",AK108,AK108*(0.3048)^3))</f>
        <v>-</v>
      </c>
      <c r="L108" s="375"/>
      <c r="M108" s="434">
        <f>IF(T11="British",AM108,(AM108-32)*5/9)</f>
        <v>296.60000000000002</v>
      </c>
      <c r="N108" s="435"/>
      <c r="O108" s="371">
        <f>IF(T11="British",AO108,(AO108-32)*5/9)</f>
        <v>296.60000000000002</v>
      </c>
      <c r="P108" s="372"/>
      <c r="Q108" s="373"/>
      <c r="X108" s="126"/>
      <c r="AB108" s="150">
        <v>39</v>
      </c>
      <c r="AC108" s="126"/>
      <c r="AD108" s="9"/>
      <c r="AE108" s="9"/>
      <c r="AF108" s="96"/>
      <c r="AH108" s="99" t="s">
        <v>62</v>
      </c>
      <c r="AI108" s="132"/>
      <c r="AJ108" s="334">
        <f>IF($J$43="STEAM",AN98/$AQ$44,AK108*62.4)</f>
        <v>12.456390966468334</v>
      </c>
      <c r="AK108" s="374">
        <f>$AQ$46*60*((PI()*$AL$116^2)/4)</f>
        <v>0</v>
      </c>
      <c r="AL108" s="375"/>
      <c r="AM108" s="382">
        <f>AJ44</f>
        <v>296.60000000000002</v>
      </c>
      <c r="AN108" s="383"/>
      <c r="AO108" s="371">
        <f>IF(AJ43="STEAM",AM108,AM108-AN98/AJ108/AQ43)</f>
        <v>296.60000000000002</v>
      </c>
      <c r="AP108" s="372"/>
      <c r="AQ108" s="373"/>
      <c r="AX108" s="126"/>
    </row>
    <row r="109" spans="2:50" s="1" customFormat="1" ht="15" customHeight="1">
      <c r="B109" s="150">
        <v>40</v>
      </c>
      <c r="C109" s="126"/>
      <c r="D109" s="9"/>
      <c r="E109" s="9"/>
      <c r="F109" s="50"/>
      <c r="H109" s="99" t="s">
        <v>64</v>
      </c>
      <c r="I109" s="132"/>
      <c r="J109" s="334">
        <f>IF(T12="British",AJ109,AJ109*0.4536)</f>
        <v>11.991532145327742</v>
      </c>
      <c r="K109" s="374" t="str">
        <f>IF($J$43="Steam","-",IF($T$11="British",AK109,AK109*(0.3048)^3))</f>
        <v>-</v>
      </c>
      <c r="L109" s="375"/>
      <c r="M109" s="434">
        <f>IF(T12="British",AM109,(AM109-32)*5/9)</f>
        <v>296.60000000000002</v>
      </c>
      <c r="N109" s="435"/>
      <c r="O109" s="371">
        <f>IF(T12="British",AO109,(AO109-32)*5/9)</f>
        <v>296.60000000000002</v>
      </c>
      <c r="P109" s="372"/>
      <c r="Q109" s="373"/>
      <c r="X109" s="126"/>
      <c r="AB109" s="150">
        <v>40</v>
      </c>
      <c r="AC109" s="126"/>
      <c r="AD109" s="9"/>
      <c r="AE109" s="9"/>
      <c r="AF109" s="50"/>
      <c r="AH109" s="99" t="s">
        <v>64</v>
      </c>
      <c r="AI109" s="132"/>
      <c r="AJ109" s="334">
        <f>IF($J$43="STEAM",AN99/$AQ$44,AK109*62.4)</f>
        <v>11.991532145327742</v>
      </c>
      <c r="AK109" s="374">
        <f>$AQ$46*60*((PI()*$AL$116^2)/4)</f>
        <v>0</v>
      </c>
      <c r="AL109" s="375"/>
      <c r="AM109" s="377">
        <f>AM108</f>
        <v>296.60000000000002</v>
      </c>
      <c r="AN109" s="378"/>
      <c r="AO109" s="371">
        <f>IF(AJ43="STEAM",AM109,AM109-AN99/AJ109/AQ43)</f>
        <v>296.60000000000002</v>
      </c>
      <c r="AP109" s="372"/>
      <c r="AQ109" s="373"/>
      <c r="AX109" s="126"/>
    </row>
    <row r="110" spans="2:50" s="1" customFormat="1" ht="15" customHeight="1">
      <c r="B110" s="150">
        <v>41</v>
      </c>
      <c r="C110" s="126"/>
      <c r="D110" s="9"/>
      <c r="E110" s="9"/>
      <c r="F110" s="50"/>
      <c r="G110" s="1">
        <f>IF(I53="STEAM","",AA124)</f>
        <v>0</v>
      </c>
      <c r="L110" s="71"/>
      <c r="O110" s="9"/>
      <c r="P110" s="9"/>
      <c r="Q110" s="9"/>
      <c r="R110" s="9"/>
      <c r="S110" s="47"/>
      <c r="T110" s="47"/>
      <c r="X110" s="126"/>
      <c r="AB110" s="150">
        <v>41</v>
      </c>
      <c r="AC110" s="126"/>
      <c r="AD110" s="9"/>
      <c r="AE110" s="9"/>
      <c r="AF110" s="50"/>
      <c r="AG110" s="1">
        <f>IF(AI53="STEAM","",BA124)</f>
        <v>0</v>
      </c>
      <c r="AL110" s="71"/>
      <c r="AO110" s="9"/>
      <c r="AP110" s="9"/>
      <c r="AQ110" s="9"/>
      <c r="AR110" s="9"/>
      <c r="AS110" s="47"/>
      <c r="AT110" s="47"/>
      <c r="AX110" s="126"/>
    </row>
    <row r="111" spans="2:50" s="1" customFormat="1" ht="15" customHeight="1">
      <c r="B111" s="150">
        <v>42</v>
      </c>
      <c r="C111" s="232"/>
      <c r="D111" s="9"/>
      <c r="E111" s="9"/>
      <c r="F111" s="50"/>
      <c r="L111" s="71"/>
      <c r="O111" s="9"/>
      <c r="P111" s="9"/>
      <c r="Q111" s="9"/>
      <c r="R111" s="9"/>
      <c r="S111" s="47"/>
      <c r="T111" s="47"/>
      <c r="X111" s="232"/>
      <c r="AB111" s="150">
        <v>42</v>
      </c>
      <c r="AC111" s="232"/>
      <c r="AD111" s="9"/>
      <c r="AE111" s="9"/>
      <c r="AF111" s="50"/>
      <c r="AL111" s="71"/>
      <c r="AO111" s="9"/>
      <c r="AP111" s="9"/>
      <c r="AQ111" s="9"/>
      <c r="AR111" s="9"/>
      <c r="AS111" s="47"/>
      <c r="AT111" s="47"/>
      <c r="AX111" s="232"/>
    </row>
    <row r="112" spans="2:50" s="1" customFormat="1" ht="15" customHeight="1">
      <c r="B112" s="150">
        <v>43</v>
      </c>
      <c r="C112" s="232"/>
      <c r="D112" s="121" t="s">
        <v>26</v>
      </c>
      <c r="E112" s="9"/>
      <c r="F112" s="50"/>
      <c r="L112" s="71"/>
      <c r="O112" s="9"/>
      <c r="P112" s="9"/>
      <c r="Q112" s="9"/>
      <c r="R112" s="9"/>
      <c r="S112" s="47"/>
      <c r="T112" s="47"/>
      <c r="X112" s="232"/>
      <c r="AB112" s="150">
        <v>43</v>
      </c>
      <c r="AC112" s="232"/>
      <c r="AD112" s="121" t="s">
        <v>26</v>
      </c>
      <c r="AE112" s="9"/>
      <c r="AF112" s="50"/>
      <c r="AL112" s="71"/>
      <c r="AO112" s="9"/>
      <c r="AP112" s="9"/>
      <c r="AQ112" s="9"/>
      <c r="AR112" s="9"/>
      <c r="AS112" s="47"/>
      <c r="AT112" s="47"/>
      <c r="AX112" s="232"/>
    </row>
    <row r="113" spans="2:50" s="1" customFormat="1" ht="15" customHeight="1">
      <c r="B113" s="150">
        <v>44</v>
      </c>
      <c r="C113" s="232"/>
      <c r="D113" s="9"/>
      <c r="E113" s="9"/>
      <c r="F113" s="50"/>
      <c r="L113" s="71"/>
      <c r="O113" s="9"/>
      <c r="P113" s="9"/>
      <c r="Q113" s="9"/>
      <c r="R113" s="9"/>
      <c r="S113" s="47"/>
      <c r="T113" s="47"/>
      <c r="X113" s="232"/>
      <c r="AB113" s="150">
        <v>44</v>
      </c>
      <c r="AC113" s="232"/>
      <c r="AD113" s="9"/>
      <c r="AE113" s="9"/>
      <c r="AF113" s="50"/>
      <c r="AL113" s="71"/>
      <c r="AO113" s="9"/>
      <c r="AP113" s="9"/>
      <c r="AQ113" s="9"/>
      <c r="AR113" s="9"/>
      <c r="AS113" s="47"/>
      <c r="AT113" s="47"/>
      <c r="AX113" s="232"/>
    </row>
    <row r="114" spans="2:50" s="1" customFormat="1" ht="15" customHeight="1">
      <c r="B114" s="150">
        <v>45</v>
      </c>
      <c r="C114" s="232"/>
      <c r="D114" s="9"/>
      <c r="E114" s="24" t="s">
        <v>37</v>
      </c>
      <c r="F114" s="24"/>
      <c r="G114" s="26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50"/>
      <c r="T114" s="50"/>
      <c r="U114" s="9"/>
      <c r="X114" s="232"/>
      <c r="AB114" s="150">
        <v>45</v>
      </c>
      <c r="AC114" s="232"/>
      <c r="AD114" s="9"/>
      <c r="AE114" s="24" t="s">
        <v>37</v>
      </c>
      <c r="AF114" s="24"/>
      <c r="AG114" s="26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50"/>
      <c r="AT114" s="50"/>
      <c r="AU114" s="9"/>
      <c r="AX114" s="232"/>
    </row>
    <row r="115" spans="2:50" s="1" customFormat="1" ht="15" customHeight="1">
      <c r="B115" s="150">
        <v>46</v>
      </c>
      <c r="C115" s="232"/>
      <c r="D115" s="9"/>
      <c r="E115" s="24"/>
      <c r="F115" s="24"/>
      <c r="G115" s="26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50"/>
      <c r="T115" s="50"/>
      <c r="U115" s="9"/>
      <c r="X115" s="232"/>
      <c r="AB115" s="150">
        <v>46</v>
      </c>
      <c r="AC115" s="232"/>
      <c r="AD115" s="9"/>
      <c r="AE115" s="24"/>
      <c r="AF115" s="24"/>
      <c r="AG115" s="26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50"/>
      <c r="AT115" s="50"/>
      <c r="AU115" s="9"/>
      <c r="AX115" s="232"/>
    </row>
    <row r="116" spans="2:50" s="1" customFormat="1" ht="15" customHeight="1">
      <c r="B116" s="150">
        <v>47</v>
      </c>
      <c r="C116" s="232"/>
      <c r="D116" s="9"/>
      <c r="E116" s="9"/>
      <c r="F116" s="6" t="s">
        <v>27</v>
      </c>
      <c r="G116" s="50"/>
      <c r="I116" s="137">
        <f>IF(T11="British",AI116,AI116/25.4)</f>
        <v>2</v>
      </c>
      <c r="J116" s="6" t="s">
        <v>131</v>
      </c>
      <c r="K116" s="6" t="s">
        <v>190</v>
      </c>
      <c r="L116" s="272">
        <f>AL116</f>
        <v>0.16666666666666666</v>
      </c>
      <c r="M116" s="6" t="s">
        <v>193</v>
      </c>
      <c r="N116" s="9" t="s">
        <v>28</v>
      </c>
      <c r="O116" s="9"/>
      <c r="P116" s="318">
        <f>IF(T11="British",AP116,AP116/25.4)</f>
        <v>2.0670000000000002</v>
      </c>
      <c r="Q116" s="286" t="s">
        <v>131</v>
      </c>
      <c r="R116" s="286" t="s">
        <v>190</v>
      </c>
      <c r="S116" s="370">
        <f>AS116</f>
        <v>0.17225000000000001</v>
      </c>
      <c r="T116" s="370"/>
      <c r="U116" s="370"/>
      <c r="V116" s="1" t="s">
        <v>193</v>
      </c>
      <c r="X116" s="232"/>
      <c r="AB116" s="150">
        <v>47</v>
      </c>
      <c r="AC116" s="232"/>
      <c r="AD116" s="9"/>
      <c r="AE116" s="9"/>
      <c r="AF116" s="6" t="s">
        <v>27</v>
      </c>
      <c r="AG116" s="50"/>
      <c r="AI116" s="137">
        <f>AJ45</f>
        <v>2</v>
      </c>
      <c r="AJ116" s="6" t="s">
        <v>189</v>
      </c>
      <c r="AK116" s="6" t="s">
        <v>190</v>
      </c>
      <c r="AL116" s="272">
        <f>AI116/12</f>
        <v>0.16666666666666666</v>
      </c>
      <c r="AM116" s="6" t="s">
        <v>191</v>
      </c>
      <c r="AN116" s="9" t="s">
        <v>28</v>
      </c>
      <c r="AO116" s="9"/>
      <c r="AP116" s="318">
        <f>pipe(AJ45,AJ46)</f>
        <v>2.0670000000000002</v>
      </c>
      <c r="AQ116" s="286" t="s">
        <v>131</v>
      </c>
      <c r="AR116" s="286" t="s">
        <v>190</v>
      </c>
      <c r="AS116" s="370">
        <f>AP116/12</f>
        <v>0.17225000000000001</v>
      </c>
      <c r="AT116" s="370"/>
      <c r="AU116" s="370"/>
      <c r="AV116" s="1" t="s">
        <v>193</v>
      </c>
      <c r="AX116" s="232"/>
    </row>
    <row r="117" spans="2:50" s="1" customFormat="1" ht="15" customHeight="1">
      <c r="B117" s="150">
        <v>48</v>
      </c>
      <c r="C117" s="232"/>
      <c r="D117" s="9"/>
      <c r="E117" s="9"/>
      <c r="F117" s="9"/>
      <c r="G117" s="50"/>
      <c r="H117" s="9"/>
      <c r="I117" s="9"/>
      <c r="J117" s="9"/>
      <c r="K117" s="9"/>
      <c r="L117" s="9"/>
      <c r="M117" s="9"/>
      <c r="N117" s="9" t="s">
        <v>29</v>
      </c>
      <c r="O117" s="9"/>
      <c r="P117" s="318">
        <f>IF(T11="British",AP117,AP117/25.4)</f>
        <v>2.375</v>
      </c>
      <c r="Q117" s="286" t="s">
        <v>131</v>
      </c>
      <c r="R117" s="286" t="s">
        <v>190</v>
      </c>
      <c r="S117" s="370">
        <f>AS117</f>
        <v>0.19791666666666666</v>
      </c>
      <c r="T117" s="370"/>
      <c r="U117" s="370"/>
      <c r="V117" s="1" t="s">
        <v>193</v>
      </c>
      <c r="X117" s="232"/>
      <c r="AB117" s="150">
        <v>48</v>
      </c>
      <c r="AC117" s="232"/>
      <c r="AD117" s="9"/>
      <c r="AE117" s="9"/>
      <c r="AF117" s="9"/>
      <c r="AG117" s="50"/>
      <c r="AH117" s="9"/>
      <c r="AI117" s="9"/>
      <c r="AJ117" s="9"/>
      <c r="AK117" s="9"/>
      <c r="AL117" s="9"/>
      <c r="AM117" s="9"/>
      <c r="AN117" s="9" t="s">
        <v>29</v>
      </c>
      <c r="AO117" s="9"/>
      <c r="AP117" s="318">
        <f>pipe(AJ45,"Out")</f>
        <v>2.375</v>
      </c>
      <c r="AQ117" s="286" t="s">
        <v>131</v>
      </c>
      <c r="AR117" s="286" t="s">
        <v>190</v>
      </c>
      <c r="AS117" s="370">
        <f>AP117/12</f>
        <v>0.19791666666666666</v>
      </c>
      <c r="AT117" s="370"/>
      <c r="AU117" s="370"/>
      <c r="AV117" s="1" t="s">
        <v>193</v>
      </c>
      <c r="AX117" s="232"/>
    </row>
    <row r="118" spans="2:50" s="1" customFormat="1" ht="15" customHeight="1">
      <c r="B118" s="150">
        <v>49</v>
      </c>
      <c r="C118" s="232"/>
      <c r="D118" s="9"/>
      <c r="E118" s="9"/>
      <c r="F118" s="50"/>
      <c r="L118" s="71"/>
      <c r="O118" s="9"/>
      <c r="P118" s="9"/>
      <c r="Q118" s="35"/>
      <c r="R118" s="9"/>
      <c r="S118" s="47"/>
      <c r="T118" s="47"/>
      <c r="X118" s="232"/>
      <c r="AB118" s="150">
        <v>49</v>
      </c>
      <c r="AC118" s="232"/>
      <c r="AD118" s="9"/>
      <c r="AE118" s="9"/>
      <c r="AF118" s="50"/>
      <c r="AL118" s="71"/>
      <c r="AO118" s="9"/>
      <c r="AP118" s="9"/>
      <c r="AQ118" s="35"/>
      <c r="AR118" s="9"/>
      <c r="AS118" s="47"/>
      <c r="AT118" s="47"/>
      <c r="AX118" s="232"/>
    </row>
    <row r="119" spans="2:50" s="1" customFormat="1" ht="15" customHeight="1">
      <c r="B119" s="150">
        <v>50</v>
      </c>
      <c r="C119" s="232"/>
      <c r="D119" s="9"/>
      <c r="E119" s="9"/>
      <c r="F119" s="50"/>
      <c r="L119" s="71"/>
      <c r="O119" s="9"/>
      <c r="P119" s="9"/>
      <c r="Q119" s="9"/>
      <c r="R119" s="9"/>
      <c r="S119" s="47"/>
      <c r="T119" s="47"/>
      <c r="X119" s="232"/>
      <c r="AB119" s="150">
        <v>50</v>
      </c>
      <c r="AC119" s="232"/>
      <c r="AD119" s="9"/>
      <c r="AE119" s="9"/>
      <c r="AF119" s="50"/>
      <c r="AL119" s="71"/>
      <c r="AO119" s="9"/>
      <c r="AP119" s="9"/>
      <c r="AQ119" s="9"/>
      <c r="AR119" s="9"/>
      <c r="AS119" s="47"/>
      <c r="AT119" s="47"/>
      <c r="AX119" s="232"/>
    </row>
    <row r="120" spans="2:50" s="1" customFormat="1" ht="15" customHeight="1">
      <c r="B120" s="150">
        <v>51</v>
      </c>
      <c r="C120" s="232"/>
      <c r="D120" s="9"/>
      <c r="E120" s="9"/>
      <c r="F120" s="50"/>
      <c r="L120" s="71"/>
      <c r="O120" s="9"/>
      <c r="P120" s="9"/>
      <c r="Q120" s="9"/>
      <c r="R120" s="9"/>
      <c r="S120" s="47"/>
      <c r="T120" s="47"/>
      <c r="X120" s="232"/>
      <c r="AB120" s="150">
        <v>51</v>
      </c>
      <c r="AC120" s="232"/>
      <c r="AD120" s="9"/>
      <c r="AE120" s="9"/>
      <c r="AF120" s="50"/>
      <c r="AL120" s="71"/>
      <c r="AO120" s="9"/>
      <c r="AP120" s="9"/>
      <c r="AQ120" s="9"/>
      <c r="AR120" s="9"/>
      <c r="AS120" s="47"/>
      <c r="AT120" s="47"/>
      <c r="AX120" s="232"/>
    </row>
    <row r="121" spans="2:50" s="1" customFormat="1" ht="15" customHeight="1" thickBot="1">
      <c r="B121" s="150">
        <v>52</v>
      </c>
      <c r="C121" s="232"/>
      <c r="D121" s="6"/>
      <c r="E121" s="9"/>
      <c r="F121" s="9"/>
      <c r="G121" s="50"/>
      <c r="M121" s="71"/>
      <c r="N121" s="71"/>
      <c r="W121" s="9"/>
      <c r="X121" s="232"/>
      <c r="AB121" s="150">
        <v>52</v>
      </c>
      <c r="AC121" s="242"/>
      <c r="AD121" s="145"/>
      <c r="AE121" s="31"/>
      <c r="AF121" s="31"/>
      <c r="AG121" s="49"/>
      <c r="AH121" s="31"/>
      <c r="AI121" s="31"/>
      <c r="AJ121" s="31"/>
      <c r="AK121" s="31"/>
      <c r="AL121" s="31"/>
      <c r="AM121" s="317"/>
      <c r="AN121" s="317"/>
      <c r="AO121" s="31"/>
      <c r="AP121" s="31"/>
      <c r="AQ121" s="31"/>
      <c r="AR121" s="31"/>
      <c r="AS121" s="31"/>
      <c r="AT121" s="31"/>
      <c r="AU121" s="31"/>
      <c r="AV121" s="31"/>
      <c r="AW121" s="31"/>
      <c r="AX121" s="242"/>
    </row>
    <row r="122" spans="2:50" s="1" customFormat="1" ht="15" customHeight="1">
      <c r="B122" s="150"/>
      <c r="C122" s="54"/>
      <c r="D122" s="241"/>
      <c r="E122" s="18"/>
      <c r="F122" s="18"/>
      <c r="G122" s="54"/>
      <c r="H122" s="18"/>
      <c r="I122" s="18"/>
      <c r="J122" s="18"/>
      <c r="K122" s="18"/>
      <c r="L122" s="18"/>
      <c r="M122" s="263"/>
      <c r="N122" s="263"/>
      <c r="O122" s="18"/>
      <c r="P122" s="18"/>
      <c r="Q122" s="18"/>
      <c r="R122" s="18"/>
      <c r="S122" s="18"/>
      <c r="T122" s="18"/>
      <c r="U122" s="18"/>
      <c r="V122" s="18"/>
      <c r="W122" s="18"/>
      <c r="X122" s="54"/>
      <c r="AB122" s="150"/>
      <c r="AC122" s="50"/>
      <c r="AD122" s="6"/>
      <c r="AE122" s="9"/>
      <c r="AF122" s="9"/>
      <c r="AG122" s="50"/>
      <c r="AH122" s="9"/>
      <c r="AI122" s="9"/>
      <c r="AJ122" s="9"/>
      <c r="AK122" s="9"/>
      <c r="AL122" s="9"/>
      <c r="AM122" s="71"/>
      <c r="AN122" s="71"/>
      <c r="AO122" s="9"/>
      <c r="AP122" s="9"/>
      <c r="AQ122" s="9"/>
      <c r="AR122" s="9"/>
      <c r="AS122" s="9"/>
      <c r="AT122" s="9"/>
      <c r="AU122" s="9"/>
      <c r="AV122" s="9"/>
      <c r="AW122" s="9"/>
      <c r="AX122" s="50"/>
    </row>
    <row r="123" spans="2:50" s="1" customFormat="1" ht="15" customHeight="1" thickBot="1">
      <c r="B123" s="150"/>
      <c r="C123" s="50"/>
      <c r="D123" s="6"/>
      <c r="E123" s="9"/>
      <c r="F123" s="9"/>
      <c r="G123" s="50"/>
      <c r="H123" s="9"/>
      <c r="I123" s="9"/>
      <c r="J123" s="9"/>
      <c r="K123" s="9"/>
      <c r="L123" s="9"/>
      <c r="M123" s="71"/>
      <c r="N123" s="71"/>
      <c r="O123" s="9"/>
      <c r="P123" s="9"/>
      <c r="Q123" s="9"/>
      <c r="R123" s="9"/>
      <c r="S123" s="9"/>
      <c r="T123" s="9"/>
      <c r="U123" s="9"/>
      <c r="V123" s="9"/>
      <c r="W123" s="9"/>
      <c r="X123" s="50"/>
    </row>
    <row r="124" spans="2:50" s="1" customFormat="1" ht="15.75" customHeight="1">
      <c r="C124" s="436"/>
      <c r="D124" s="437"/>
      <c r="E124" s="437"/>
      <c r="F124" s="437"/>
      <c r="G124" s="437"/>
      <c r="H124" s="437"/>
      <c r="I124" s="437"/>
      <c r="J124" s="437"/>
      <c r="K124" s="437"/>
      <c r="L124" s="438"/>
      <c r="M124" s="159"/>
      <c r="N124" s="154"/>
      <c r="O124" s="154"/>
      <c r="P124" s="154"/>
      <c r="Q124" s="154" t="s">
        <v>114</v>
      </c>
      <c r="R124" s="154"/>
      <c r="S124" s="155"/>
      <c r="T124" s="181">
        <v>3</v>
      </c>
      <c r="U124" s="155" t="s">
        <v>115</v>
      </c>
      <c r="V124" s="181">
        <v>3</v>
      </c>
      <c r="W124" s="156"/>
      <c r="X124" s="157"/>
    </row>
    <row r="125" spans="2:50" s="1" customFormat="1" ht="15.75" customHeight="1">
      <c r="C125" s="439"/>
      <c r="D125" s="440"/>
      <c r="E125" s="440"/>
      <c r="F125" s="440"/>
      <c r="G125" s="440"/>
      <c r="H125" s="440"/>
      <c r="I125" s="440"/>
      <c r="J125" s="440"/>
      <c r="K125" s="440"/>
      <c r="L125" s="441"/>
      <c r="M125" s="163" t="s">
        <v>109</v>
      </c>
      <c r="N125" s="163"/>
      <c r="O125" s="433">
        <f>O64</f>
        <v>0</v>
      </c>
      <c r="P125" s="433"/>
      <c r="Q125" s="433"/>
      <c r="R125" s="433"/>
      <c r="S125" s="433"/>
      <c r="T125" s="433"/>
      <c r="U125" s="433"/>
      <c r="V125" s="433"/>
      <c r="W125" s="433"/>
      <c r="X125" s="176"/>
    </row>
    <row r="126" spans="2:50" s="1" customFormat="1" ht="15.75" customHeight="1">
      <c r="C126" s="439"/>
      <c r="D126" s="440"/>
      <c r="E126" s="440"/>
      <c r="F126" s="440"/>
      <c r="G126" s="440"/>
      <c r="H126" s="440"/>
      <c r="I126" s="440"/>
      <c r="J126" s="440"/>
      <c r="K126" s="440"/>
      <c r="L126" s="441"/>
      <c r="M126" s="163" t="s">
        <v>110</v>
      </c>
      <c r="N126" s="163"/>
      <c r="O126" s="433">
        <f>O65</f>
        <v>0</v>
      </c>
      <c r="P126" s="433"/>
      <c r="Q126" s="433"/>
      <c r="R126" s="433"/>
      <c r="S126" s="433"/>
      <c r="T126" s="433"/>
      <c r="U126" s="433"/>
      <c r="V126" s="433"/>
      <c r="W126" s="433"/>
      <c r="X126" s="165"/>
    </row>
    <row r="127" spans="2:50" s="1" customFormat="1" ht="15.75" customHeight="1">
      <c r="C127" s="203"/>
      <c r="D127" s="204"/>
      <c r="E127" s="204"/>
      <c r="F127" s="204"/>
      <c r="G127" s="204"/>
      <c r="H127" s="204"/>
      <c r="I127" s="204"/>
      <c r="J127" s="204"/>
      <c r="K127" s="204"/>
      <c r="L127" s="205"/>
      <c r="M127" s="163" t="s">
        <v>111</v>
      </c>
      <c r="N127" s="163"/>
      <c r="O127" s="433">
        <f>O66</f>
        <v>0</v>
      </c>
      <c r="P127" s="433"/>
      <c r="Q127" s="433"/>
      <c r="R127" s="433"/>
      <c r="S127" s="433"/>
      <c r="T127" s="433"/>
      <c r="U127" s="433"/>
      <c r="V127" s="433"/>
      <c r="W127" s="433"/>
      <c r="X127" s="165"/>
    </row>
    <row r="128" spans="2:50" s="1" customFormat="1" ht="15.75" customHeight="1">
      <c r="C128" s="442" t="s">
        <v>108</v>
      </c>
      <c r="D128" s="443"/>
      <c r="E128" s="443"/>
      <c r="F128" s="443"/>
      <c r="G128" s="443"/>
      <c r="H128" s="443"/>
      <c r="I128" s="443"/>
      <c r="J128" s="443"/>
      <c r="K128" s="443"/>
      <c r="L128" s="444"/>
      <c r="M128" s="164" t="s">
        <v>112</v>
      </c>
      <c r="N128" s="222"/>
      <c r="O128" s="433">
        <f>O67</f>
        <v>0</v>
      </c>
      <c r="P128" s="433"/>
      <c r="Q128" s="433"/>
      <c r="R128" s="433"/>
      <c r="S128" s="433"/>
      <c r="T128" s="433"/>
      <c r="U128" s="433"/>
      <c r="V128" s="433"/>
      <c r="W128" s="433"/>
      <c r="X128" s="165"/>
    </row>
    <row r="129" spans="2:50" s="1" customFormat="1" ht="15.75" customHeight="1">
      <c r="C129" s="442"/>
      <c r="D129" s="443"/>
      <c r="E129" s="443"/>
      <c r="F129" s="443"/>
      <c r="G129" s="443"/>
      <c r="H129" s="443"/>
      <c r="I129" s="443"/>
      <c r="J129" s="443"/>
      <c r="K129" s="443"/>
      <c r="L129" s="444"/>
      <c r="M129" s="164" t="s">
        <v>113</v>
      </c>
      <c r="N129" s="222"/>
      <c r="O129" s="433">
        <f>O68</f>
        <v>0</v>
      </c>
      <c r="P129" s="433"/>
      <c r="Q129" s="433"/>
      <c r="R129" s="433"/>
      <c r="S129" s="433"/>
      <c r="T129" s="433"/>
      <c r="U129" s="433"/>
      <c r="V129" s="433"/>
      <c r="W129" s="433"/>
      <c r="X129" s="158"/>
    </row>
    <row r="130" spans="2:50" s="1" customFormat="1" ht="5.0999999999999996" customHeight="1">
      <c r="C130" s="166"/>
      <c r="D130" s="287"/>
      <c r="E130" s="167"/>
      <c r="F130" s="167"/>
      <c r="G130" s="167"/>
      <c r="H130" s="167"/>
      <c r="I130" s="167"/>
      <c r="J130" s="167"/>
      <c r="K130" s="167"/>
      <c r="L130" s="167"/>
      <c r="M130" s="168"/>
      <c r="N130" s="168"/>
      <c r="O130" s="169"/>
      <c r="P130" s="169"/>
      <c r="Q130" s="170"/>
      <c r="R130" s="170"/>
      <c r="S130" s="171"/>
      <c r="T130" s="171"/>
      <c r="U130" s="172"/>
      <c r="V130" s="172"/>
      <c r="W130" s="172"/>
      <c r="X130" s="173"/>
      <c r="AC130" s="166"/>
      <c r="AD130" s="287"/>
      <c r="AE130" s="167"/>
      <c r="AF130" s="167"/>
      <c r="AG130" s="167"/>
      <c r="AH130" s="167"/>
      <c r="AI130" s="167"/>
      <c r="AJ130" s="167"/>
      <c r="AK130" s="167"/>
      <c r="AL130" s="167"/>
      <c r="AM130" s="168"/>
      <c r="AN130" s="168"/>
      <c r="AO130" s="169"/>
      <c r="AP130" s="169"/>
      <c r="AQ130" s="170"/>
      <c r="AR130" s="170"/>
      <c r="AS130" s="171"/>
      <c r="AT130" s="171"/>
      <c r="AU130" s="172"/>
      <c r="AV130" s="172"/>
      <c r="AW130" s="172"/>
      <c r="AX130" s="173"/>
    </row>
    <row r="131" spans="2:50" s="1" customFormat="1" ht="15" customHeight="1">
      <c r="B131" s="150">
        <v>1</v>
      </c>
      <c r="C131" s="122"/>
      <c r="D131" s="196"/>
      <c r="E131" s="9"/>
      <c r="F131" s="9"/>
      <c r="G131" s="50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50"/>
      <c r="T131" s="50"/>
      <c r="U131" s="9"/>
      <c r="V131" s="75"/>
      <c r="W131" s="75"/>
      <c r="X131" s="22"/>
      <c r="AB131" s="150">
        <v>1</v>
      </c>
      <c r="AC131" s="122"/>
      <c r="AD131" s="196"/>
      <c r="AE131" s="9"/>
      <c r="AF131" s="9"/>
      <c r="AG131" s="50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50"/>
      <c r="AT131" s="50"/>
      <c r="AU131" s="9"/>
      <c r="AV131" s="75"/>
      <c r="AW131" s="75"/>
      <c r="AX131" s="22"/>
    </row>
    <row r="132" spans="2:50" s="1" customFormat="1" ht="15" customHeight="1">
      <c r="B132" s="150">
        <v>2</v>
      </c>
      <c r="C132" s="127"/>
      <c r="D132" s="21"/>
      <c r="V132" s="9"/>
      <c r="W132" s="9"/>
      <c r="X132" s="22"/>
      <c r="AB132" s="150">
        <v>2</v>
      </c>
      <c r="AC132" s="127"/>
      <c r="AD132" s="21"/>
      <c r="AV132" s="9"/>
      <c r="AW132" s="9"/>
      <c r="AX132" s="22"/>
    </row>
    <row r="133" spans="2:50" s="1" customFormat="1" ht="15" customHeight="1">
      <c r="B133" s="150">
        <v>3</v>
      </c>
      <c r="C133" s="126"/>
      <c r="D133" s="21"/>
      <c r="E133" s="24" t="s">
        <v>38</v>
      </c>
      <c r="F133" s="24"/>
      <c r="G133" s="26"/>
      <c r="H133" s="9"/>
      <c r="I133" s="9"/>
      <c r="J133" s="9"/>
      <c r="K133" s="9"/>
      <c r="L133" s="63"/>
      <c r="Q133" s="9"/>
      <c r="V133" s="9"/>
      <c r="W133" s="9"/>
      <c r="X133" s="22"/>
      <c r="AB133" s="150">
        <v>3</v>
      </c>
      <c r="AC133" s="126"/>
      <c r="AD133" s="21"/>
      <c r="AE133" s="24" t="s">
        <v>38</v>
      </c>
      <c r="AF133" s="24"/>
      <c r="AG133" s="26"/>
      <c r="AH133" s="9"/>
      <c r="AI133" s="9"/>
      <c r="AJ133" s="9"/>
      <c r="AK133" s="9"/>
      <c r="AL133" s="63"/>
      <c r="AQ133" s="9"/>
      <c r="AV133" s="9"/>
      <c r="AW133" s="9"/>
      <c r="AX133" s="22"/>
    </row>
    <row r="134" spans="2:50" s="1" customFormat="1" ht="15" customHeight="1">
      <c r="B134" s="150">
        <v>4</v>
      </c>
      <c r="C134" s="126"/>
      <c r="D134" s="9"/>
      <c r="E134" s="6"/>
      <c r="F134" s="6"/>
      <c r="G134" s="26"/>
      <c r="H134" s="9"/>
      <c r="I134" s="9"/>
      <c r="J134" s="9"/>
      <c r="K134" s="9"/>
      <c r="L134" s="63"/>
      <c r="Q134" s="9"/>
      <c r="V134" s="9"/>
      <c r="W134" s="9"/>
      <c r="X134" s="22"/>
      <c r="AB134" s="150">
        <v>4</v>
      </c>
      <c r="AC134" s="126"/>
      <c r="AD134" s="9"/>
      <c r="AE134" s="6"/>
      <c r="AF134" s="6"/>
      <c r="AG134" s="26"/>
      <c r="AH134" s="9"/>
      <c r="AI134" s="9"/>
      <c r="AJ134" s="9"/>
      <c r="AK134" s="9"/>
      <c r="AL134" s="63"/>
      <c r="AQ134" s="9"/>
      <c r="AV134" s="9"/>
      <c r="AW134" s="9"/>
      <c r="AX134" s="22"/>
    </row>
    <row r="135" spans="2:50" s="1" customFormat="1" ht="15" customHeight="1">
      <c r="B135" s="150">
        <v>5</v>
      </c>
      <c r="C135" s="126"/>
      <c r="D135" s="121"/>
      <c r="E135" s="9"/>
      <c r="F135" s="9"/>
      <c r="G135" s="50"/>
      <c r="H135" s="6" t="s">
        <v>22</v>
      </c>
      <c r="I135" s="16"/>
      <c r="L135" s="5"/>
      <c r="M135" s="5" t="s">
        <v>23</v>
      </c>
      <c r="N135" s="333">
        <f>IF($T$11="British",AN135,AN135*4.882431)</f>
        <v>1500</v>
      </c>
      <c r="O135" s="38" t="s">
        <v>214</v>
      </c>
      <c r="P135" s="38"/>
      <c r="V135" s="9"/>
      <c r="W135" s="9"/>
      <c r="X135" s="22"/>
      <c r="AB135" s="150">
        <v>5</v>
      </c>
      <c r="AC135" s="126"/>
      <c r="AD135" s="121"/>
      <c r="AE135" s="9"/>
      <c r="AF135" s="9"/>
      <c r="AG135" s="50"/>
      <c r="AH135" s="6" t="s">
        <v>22</v>
      </c>
      <c r="AI135" s="16"/>
      <c r="AL135" s="5"/>
      <c r="AM135" s="5" t="s">
        <v>23</v>
      </c>
      <c r="AN135" s="333">
        <f>IF(AJ43="STEAM",1500,hi_coil(AI116,AQ46,AQ44,AQ43,AQ45))</f>
        <v>1500</v>
      </c>
      <c r="AO135" s="38" t="s">
        <v>30</v>
      </c>
      <c r="AP135" s="38"/>
      <c r="AV135" s="9"/>
      <c r="AW135" s="9"/>
      <c r="AX135" s="22"/>
    </row>
    <row r="136" spans="2:50" s="1" customFormat="1" ht="13.5" customHeight="1">
      <c r="B136" s="150">
        <v>6</v>
      </c>
      <c r="C136" s="126"/>
      <c r="D136" s="9"/>
      <c r="E136" s="9"/>
      <c r="F136" s="9"/>
      <c r="G136" s="50"/>
      <c r="H136" s="6" t="s">
        <v>194</v>
      </c>
      <c r="I136" s="9"/>
      <c r="J136" s="9"/>
      <c r="K136" s="9"/>
      <c r="L136" s="87"/>
      <c r="M136" s="87" t="s">
        <v>195</v>
      </c>
      <c r="N136" s="333">
        <f>IF(T12="British",AN136,AN136*4.882431)</f>
        <v>1500</v>
      </c>
      <c r="O136" s="38" t="s">
        <v>214</v>
      </c>
      <c r="P136" s="38"/>
      <c r="R136" s="9"/>
      <c r="S136" s="50"/>
      <c r="T136" s="50"/>
      <c r="U136" s="9"/>
      <c r="V136" s="68"/>
      <c r="W136" s="68"/>
      <c r="X136" s="22"/>
      <c r="AB136" s="150">
        <v>6</v>
      </c>
      <c r="AC136" s="126"/>
      <c r="AD136" s="9"/>
      <c r="AE136" s="9"/>
      <c r="AF136" s="9"/>
      <c r="AG136" s="50"/>
      <c r="AH136" s="6" t="s">
        <v>194</v>
      </c>
      <c r="AI136" s="9"/>
      <c r="AJ136" s="9"/>
      <c r="AK136" s="9"/>
      <c r="AL136" s="87"/>
      <c r="AM136" s="87" t="s">
        <v>195</v>
      </c>
      <c r="AN136" s="333">
        <f>IF(AJ43="STEAM",AN135,AN135*AS116/AS117)</f>
        <v>1500</v>
      </c>
      <c r="AO136" s="38" t="s">
        <v>30</v>
      </c>
      <c r="AP136" s="38"/>
      <c r="AR136" s="9"/>
      <c r="AS136" s="50"/>
      <c r="AT136" s="50"/>
      <c r="AU136" s="9"/>
      <c r="AV136" s="68"/>
      <c r="AW136" s="68"/>
      <c r="AX136" s="22"/>
    </row>
    <row r="137" spans="2:50" s="1" customFormat="1" ht="13.5">
      <c r="B137" s="150">
        <v>7</v>
      </c>
      <c r="C137" s="126"/>
      <c r="D137" s="9"/>
      <c r="R137" s="9"/>
      <c r="S137" s="50"/>
      <c r="T137" s="50"/>
      <c r="U137" s="9"/>
      <c r="V137" s="68"/>
      <c r="W137" s="68"/>
      <c r="X137" s="22"/>
      <c r="AB137" s="150">
        <v>7</v>
      </c>
      <c r="AC137" s="126"/>
      <c r="AD137" s="9"/>
      <c r="AR137" s="9"/>
      <c r="AS137" s="50"/>
      <c r="AT137" s="50"/>
      <c r="AU137" s="9"/>
      <c r="AV137" s="68"/>
      <c r="AW137" s="68"/>
      <c r="AX137" s="22"/>
    </row>
    <row r="138" spans="2:50" s="1" customFormat="1" ht="13.5">
      <c r="B138" s="150">
        <v>8</v>
      </c>
      <c r="C138" s="126"/>
      <c r="D138" s="9"/>
      <c r="E138" s="24" t="s">
        <v>39</v>
      </c>
      <c r="V138" s="9"/>
      <c r="W138" s="9"/>
      <c r="X138" s="22"/>
      <c r="AB138" s="150">
        <v>8</v>
      </c>
      <c r="AC138" s="126"/>
      <c r="AD138" s="9"/>
      <c r="AE138" s="24" t="s">
        <v>39</v>
      </c>
      <c r="AV138" s="9"/>
      <c r="AW138" s="9"/>
      <c r="AX138" s="22"/>
    </row>
    <row r="139" spans="2:50" s="1" customFormat="1" ht="15" customHeight="1">
      <c r="B139" s="150">
        <v>9</v>
      </c>
      <c r="C139" s="126"/>
      <c r="D139" s="9"/>
      <c r="F139" s="24"/>
      <c r="G139" s="53"/>
      <c r="H139" s="23"/>
      <c r="I139" s="23"/>
      <c r="J139" s="9"/>
      <c r="K139" s="9"/>
      <c r="M139" s="76"/>
      <c r="N139" s="76"/>
      <c r="O139" s="9"/>
      <c r="P139" s="9"/>
      <c r="Q139" s="9"/>
      <c r="V139" s="9"/>
      <c r="W139" s="9"/>
      <c r="X139" s="22"/>
      <c r="AB139" s="150">
        <v>9</v>
      </c>
      <c r="AC139" s="126"/>
      <c r="AD139" s="9"/>
      <c r="AF139" s="24"/>
      <c r="AG139" s="53"/>
      <c r="AH139" s="23"/>
      <c r="AI139" s="23"/>
      <c r="AJ139" s="9"/>
      <c r="AK139" s="9"/>
      <c r="AM139" s="76"/>
      <c r="AN139" s="76"/>
      <c r="AO139" s="9"/>
      <c r="AP139" s="9"/>
      <c r="AQ139" s="9"/>
      <c r="AV139" s="9"/>
      <c r="AW139" s="9"/>
      <c r="AX139" s="22"/>
    </row>
    <row r="140" spans="2:50" s="1" customFormat="1" ht="15" customHeight="1">
      <c r="B140" s="150">
        <v>10</v>
      </c>
      <c r="C140" s="126"/>
      <c r="D140" s="9"/>
      <c r="H140" s="357" t="s">
        <v>76</v>
      </c>
      <c r="I140" s="358"/>
      <c r="J140" s="361" t="s">
        <v>69</v>
      </c>
      <c r="K140" s="357" t="s">
        <v>70</v>
      </c>
      <c r="L140" s="358"/>
      <c r="M140" s="357" t="s">
        <v>196</v>
      </c>
      <c r="N140" s="358"/>
      <c r="O140" s="363" t="s">
        <v>60</v>
      </c>
      <c r="P140" s="364"/>
      <c r="Q140" s="363" t="s">
        <v>68</v>
      </c>
      <c r="R140" s="367"/>
      <c r="S140" s="364"/>
      <c r="T140" s="50"/>
      <c r="U140" s="9"/>
      <c r="X140" s="22"/>
      <c r="AB140" s="150">
        <v>10</v>
      </c>
      <c r="AC140" s="126"/>
      <c r="AD140" s="9"/>
      <c r="AH140" s="357" t="s">
        <v>76</v>
      </c>
      <c r="AI140" s="358"/>
      <c r="AJ140" s="361" t="s">
        <v>69</v>
      </c>
      <c r="AK140" s="357" t="s">
        <v>70</v>
      </c>
      <c r="AL140" s="358"/>
      <c r="AM140" s="357" t="s">
        <v>196</v>
      </c>
      <c r="AN140" s="358"/>
      <c r="AO140" s="363" t="s">
        <v>60</v>
      </c>
      <c r="AP140" s="364"/>
      <c r="AQ140" s="363" t="s">
        <v>49</v>
      </c>
      <c r="AR140" s="367"/>
      <c r="AS140" s="364"/>
      <c r="AT140" s="50"/>
      <c r="AU140" s="9"/>
      <c r="AX140" s="22"/>
    </row>
    <row r="141" spans="2:50" s="1" customFormat="1" ht="15" customHeight="1">
      <c r="B141" s="150">
        <v>11</v>
      </c>
      <c r="C141" s="126"/>
      <c r="D141" s="9"/>
      <c r="E141" s="24"/>
      <c r="F141" s="24"/>
      <c r="G141" s="53"/>
      <c r="H141" s="359"/>
      <c r="I141" s="360"/>
      <c r="J141" s="362"/>
      <c r="K141" s="359"/>
      <c r="L141" s="360"/>
      <c r="M141" s="359"/>
      <c r="N141" s="360"/>
      <c r="O141" s="363" t="s">
        <v>214</v>
      </c>
      <c r="P141" s="364"/>
      <c r="Q141" s="363" t="s">
        <v>36</v>
      </c>
      <c r="R141" s="367"/>
      <c r="S141" s="364"/>
      <c r="T141" s="50"/>
      <c r="U141" s="9"/>
      <c r="X141" s="40"/>
      <c r="AB141" s="150">
        <v>11</v>
      </c>
      <c r="AC141" s="126"/>
      <c r="AD141" s="9"/>
      <c r="AE141" s="24"/>
      <c r="AF141" s="24"/>
      <c r="AG141" s="53"/>
      <c r="AH141" s="359"/>
      <c r="AI141" s="360"/>
      <c r="AJ141" s="362"/>
      <c r="AK141" s="359"/>
      <c r="AL141" s="360"/>
      <c r="AM141" s="359"/>
      <c r="AN141" s="360"/>
      <c r="AO141" s="363" t="s">
        <v>71</v>
      </c>
      <c r="AP141" s="364"/>
      <c r="AQ141" s="363" t="s">
        <v>36</v>
      </c>
      <c r="AR141" s="367"/>
      <c r="AS141" s="364"/>
      <c r="AT141" s="50"/>
      <c r="AU141" s="9"/>
      <c r="AX141" s="40"/>
    </row>
    <row r="142" spans="2:50" s="1" customFormat="1" ht="15" customHeight="1">
      <c r="B142" s="150">
        <v>12</v>
      </c>
      <c r="C142" s="126"/>
      <c r="D142" s="9"/>
      <c r="E142" s="9"/>
      <c r="F142" s="9"/>
      <c r="G142" s="50"/>
      <c r="H142" s="101" t="s">
        <v>61</v>
      </c>
      <c r="I142" s="61"/>
      <c r="J142" s="319">
        <f>AJ142</f>
        <v>181.89458536516619</v>
      </c>
      <c r="K142" s="363">
        <f>AK142</f>
        <v>484</v>
      </c>
      <c r="L142" s="364"/>
      <c r="M142" s="365">
        <f>AM142</f>
        <v>88036.979316740442</v>
      </c>
      <c r="N142" s="364"/>
      <c r="O142" s="366">
        <f>IF(T11="British",AO142,AO142*4.882431)</f>
        <v>6.5731667425995477</v>
      </c>
      <c r="P142" s="364"/>
      <c r="Q142" s="365">
        <f>IF(T11="British",AQ142,(AQ142-32)*5/9)</f>
        <v>295.71082476763718</v>
      </c>
      <c r="R142" s="368"/>
      <c r="S142" s="369"/>
      <c r="T142" s="50"/>
      <c r="U142" s="9"/>
      <c r="V142" s="9"/>
      <c r="W142" s="9"/>
      <c r="X142" s="22"/>
      <c r="AB142" s="150">
        <v>12</v>
      </c>
      <c r="AC142" s="126"/>
      <c r="AD142" s="9"/>
      <c r="AE142" s="9"/>
      <c r="AF142" s="9"/>
      <c r="AG142" s="50"/>
      <c r="AH142" s="101" t="s">
        <v>61</v>
      </c>
      <c r="AI142" s="61"/>
      <c r="AJ142" s="100">
        <f>(AP117/12)^3*AJ27^2*4.17*10^8*AJ31*ABS(AQ142-AJ26)/(AJ30*2.42)^ 2</f>
        <v>181.89458536516619</v>
      </c>
      <c r="AK142" s="363">
        <f>(AJ29*AJ30)/AJ28*2.42</f>
        <v>484</v>
      </c>
      <c r="AL142" s="364"/>
      <c r="AM142" s="365">
        <f>AJ142*AK142</f>
        <v>88036.979316740442</v>
      </c>
      <c r="AN142" s="369"/>
      <c r="AO142" s="365">
        <f>CCoeff(AJ142,AK142,AI116/12,AJ28)</f>
        <v>6.5731667425995477</v>
      </c>
      <c r="AP142" s="369"/>
      <c r="AQ142" s="376">
        <f>tw((AJ26+AJ44)/2,AJ44,AN135,AJ26,AP117,AJ27,AJ28,AJ30,AJ31,AJ29)</f>
        <v>295.71082476763718</v>
      </c>
      <c r="AR142" s="368"/>
      <c r="AS142" s="369"/>
      <c r="AT142" s="50"/>
      <c r="AU142" s="9"/>
      <c r="AV142" s="9"/>
      <c r="AW142" s="9"/>
      <c r="AX142" s="22"/>
    </row>
    <row r="143" spans="2:50" s="1" customFormat="1" ht="15" customHeight="1">
      <c r="B143" s="150">
        <v>13</v>
      </c>
      <c r="C143" s="126"/>
      <c r="D143" s="9"/>
      <c r="H143" s="101" t="s">
        <v>63</v>
      </c>
      <c r="I143" s="61"/>
      <c r="J143" s="319">
        <f>AJ143</f>
        <v>181.89458536516619</v>
      </c>
      <c r="K143" s="363">
        <f>AK143</f>
        <v>484</v>
      </c>
      <c r="L143" s="364"/>
      <c r="M143" s="365">
        <f>AM143</f>
        <v>88036.979316740442</v>
      </c>
      <c r="N143" s="364"/>
      <c r="O143" s="366">
        <f>IF(T12="British",AO143,AO143*4.882431)</f>
        <v>6.5731667425995477</v>
      </c>
      <c r="P143" s="364"/>
      <c r="Q143" s="365">
        <f>IF(T12="British",AQ143,(AQ143-32)*5/9)</f>
        <v>295.71082476763718</v>
      </c>
      <c r="R143" s="368"/>
      <c r="S143" s="369"/>
      <c r="V143" s="9"/>
      <c r="W143" s="9"/>
      <c r="X143" s="22"/>
      <c r="AB143" s="150">
        <v>13</v>
      </c>
      <c r="AC143" s="126"/>
      <c r="AD143" s="9"/>
      <c r="AH143" s="101" t="s">
        <v>63</v>
      </c>
      <c r="AI143" s="61"/>
      <c r="AJ143" s="100">
        <f>(AP117/12)^3*AJ27^2*4.17*10^8*AJ31*ABS(AQ142-AJ26)/(AJ30*2.42)^ 2</f>
        <v>181.89458536516619</v>
      </c>
      <c r="AK143" s="363">
        <f>(AJ29*AJ30)/AJ28* 2.42</f>
        <v>484</v>
      </c>
      <c r="AL143" s="364"/>
      <c r="AM143" s="365">
        <f>AK143*AJ143</f>
        <v>88036.979316740442</v>
      </c>
      <c r="AN143" s="369"/>
      <c r="AO143" s="365">
        <f>CCoeff(AJ142,AK142,AI116/12,AJ28)</f>
        <v>6.5731667425995477</v>
      </c>
      <c r="AP143" s="369"/>
      <c r="AQ143" s="365">
        <f>tw((AJ26+AJ44)/2,AJ44,AN136,AJ26,AP117,AJ27,AJ28,AJ30,AJ31,AJ29)</f>
        <v>295.71082476763718</v>
      </c>
      <c r="AR143" s="368"/>
      <c r="AS143" s="369"/>
      <c r="AV143" s="9"/>
      <c r="AW143" s="9"/>
      <c r="AX143" s="22"/>
    </row>
    <row r="144" spans="2:50" s="1" customFormat="1" ht="15" customHeight="1">
      <c r="B144" s="150">
        <v>14</v>
      </c>
      <c r="C144" s="126"/>
      <c r="D144" s="9"/>
      <c r="R144" s="225"/>
      <c r="V144" s="9"/>
      <c r="W144" s="9"/>
      <c r="X144" s="22"/>
      <c r="AB144" s="150">
        <v>14</v>
      </c>
      <c r="AC144" s="126"/>
      <c r="AD144" s="9"/>
      <c r="AR144" s="225"/>
      <c r="AV144" s="9"/>
      <c r="AW144" s="9"/>
      <c r="AX144" s="22"/>
    </row>
    <row r="145" spans="2:50" s="1" customFormat="1" ht="15" customHeight="1">
      <c r="B145" s="150">
        <v>15</v>
      </c>
      <c r="C145" s="126"/>
      <c r="D145" s="9"/>
      <c r="E145" s="9"/>
      <c r="F145" s="9"/>
      <c r="G145" s="50"/>
      <c r="H145" s="6" t="s">
        <v>202</v>
      </c>
      <c r="L145" s="5"/>
      <c r="M145" s="5" t="s">
        <v>203</v>
      </c>
      <c r="N145" s="350">
        <f>IF($T$11="British",AN145,AN145*4.882431)</f>
        <v>6.5731667425995477</v>
      </c>
      <c r="O145" s="38" t="s">
        <v>214</v>
      </c>
      <c r="P145" s="38"/>
      <c r="X145" s="22"/>
      <c r="AB145" s="150">
        <v>15</v>
      </c>
      <c r="AC145" s="126"/>
      <c r="AD145" s="9"/>
      <c r="AE145" s="9"/>
      <c r="AF145" s="9"/>
      <c r="AG145" s="50"/>
      <c r="AH145" s="6" t="s">
        <v>202</v>
      </c>
      <c r="AL145" s="5"/>
      <c r="AM145" s="5" t="s">
        <v>203</v>
      </c>
      <c r="AN145" s="95">
        <f>AO142</f>
        <v>6.5731667425995477</v>
      </c>
      <c r="AO145" s="38" t="s">
        <v>201</v>
      </c>
      <c r="AP145" s="38"/>
      <c r="AX145" s="22"/>
    </row>
    <row r="146" spans="2:50" s="1" customFormat="1" ht="15" customHeight="1">
      <c r="B146" s="150">
        <v>16</v>
      </c>
      <c r="C146" s="126"/>
      <c r="D146" s="9"/>
      <c r="E146" s="9"/>
      <c r="F146" s="9"/>
      <c r="G146" s="50"/>
      <c r="H146" s="6" t="s">
        <v>204</v>
      </c>
      <c r="L146" s="5"/>
      <c r="M146" s="5" t="s">
        <v>203</v>
      </c>
      <c r="N146" s="350">
        <f>IF($T$11="British",AN146,AN146*4.882431)</f>
        <v>6.5731667425995477</v>
      </c>
      <c r="O146" s="38" t="s">
        <v>214</v>
      </c>
      <c r="P146" s="38"/>
      <c r="X146" s="40"/>
      <c r="AB146" s="150">
        <v>16</v>
      </c>
      <c r="AC146" s="126"/>
      <c r="AD146" s="9"/>
      <c r="AE146" s="9"/>
      <c r="AF146" s="9"/>
      <c r="AG146" s="50"/>
      <c r="AH146" s="6" t="s">
        <v>204</v>
      </c>
      <c r="AL146" s="5"/>
      <c r="AM146" s="5" t="s">
        <v>203</v>
      </c>
      <c r="AN146" s="95">
        <f>AO143</f>
        <v>6.5731667425995477</v>
      </c>
      <c r="AO146" s="38" t="s">
        <v>201</v>
      </c>
      <c r="AP146" s="38"/>
      <c r="AX146" s="40"/>
    </row>
    <row r="147" spans="2:50" s="1" customFormat="1" ht="15" customHeight="1">
      <c r="B147" s="150">
        <v>17</v>
      </c>
      <c r="C147" s="126"/>
      <c r="D147" s="9"/>
      <c r="E147" s="9"/>
      <c r="F147" s="9"/>
      <c r="G147" s="50"/>
      <c r="X147" s="40"/>
      <c r="AB147" s="150">
        <v>17</v>
      </c>
      <c r="AC147" s="126"/>
      <c r="AD147" s="9"/>
      <c r="AE147" s="9"/>
      <c r="AF147" s="9"/>
      <c r="AG147" s="50"/>
      <c r="AX147" s="40"/>
    </row>
    <row r="148" spans="2:50" s="1" customFormat="1" ht="15" customHeight="1">
      <c r="B148" s="150">
        <v>18</v>
      </c>
      <c r="C148" s="126"/>
      <c r="D148" s="9"/>
      <c r="E148" s="24" t="s">
        <v>40</v>
      </c>
      <c r="F148" s="9"/>
      <c r="G148" s="50"/>
      <c r="X148" s="40"/>
      <c r="AB148" s="150">
        <v>18</v>
      </c>
      <c r="AC148" s="126"/>
      <c r="AD148" s="9"/>
      <c r="AE148" s="24" t="s">
        <v>40</v>
      </c>
      <c r="AF148" s="9"/>
      <c r="AG148" s="50"/>
      <c r="AX148" s="40"/>
    </row>
    <row r="149" spans="2:50" s="1" customFormat="1" ht="15" customHeight="1">
      <c r="B149" s="150">
        <v>19</v>
      </c>
      <c r="C149" s="126"/>
      <c r="D149" s="9"/>
      <c r="E149" s="9"/>
      <c r="F149" s="9"/>
      <c r="G149" s="50"/>
      <c r="X149" s="22"/>
      <c r="AB149" s="150">
        <v>19</v>
      </c>
      <c r="AC149" s="126"/>
      <c r="AD149" s="9"/>
      <c r="AE149" s="9"/>
      <c r="AF149" s="9"/>
      <c r="AG149" s="50"/>
      <c r="AX149" s="22"/>
    </row>
    <row r="150" spans="2:50" s="1" customFormat="1" ht="15" customHeight="1">
      <c r="B150" s="150">
        <v>20</v>
      </c>
      <c r="C150" s="126"/>
      <c r="D150" s="9"/>
      <c r="E150" s="9"/>
      <c r="F150" s="9"/>
      <c r="G150" s="50"/>
      <c r="H150" s="374" t="s">
        <v>76</v>
      </c>
      <c r="I150" s="375"/>
      <c r="J150" s="374" t="s">
        <v>75</v>
      </c>
      <c r="K150" s="379"/>
      <c r="L150" s="379"/>
      <c r="M150" s="379"/>
      <c r="N150" s="379"/>
      <c r="O150" s="375"/>
      <c r="Q150" s="9"/>
      <c r="S150" s="9"/>
      <c r="U150" s="9"/>
      <c r="X150" s="22"/>
      <c r="AB150" s="150">
        <v>20</v>
      </c>
      <c r="AC150" s="126"/>
      <c r="AD150" s="9"/>
      <c r="AE150" s="9"/>
      <c r="AF150" s="9"/>
      <c r="AG150" s="50"/>
      <c r="AH150" s="374" t="s">
        <v>76</v>
      </c>
      <c r="AI150" s="375"/>
      <c r="AJ150" s="374" t="s">
        <v>75</v>
      </c>
      <c r="AK150" s="379"/>
      <c r="AL150" s="379"/>
      <c r="AM150" s="379"/>
      <c r="AN150" s="379"/>
      <c r="AO150" s="375"/>
      <c r="AQ150" s="9"/>
      <c r="AS150" s="9"/>
      <c r="AU150" s="9"/>
      <c r="AX150" s="22"/>
    </row>
    <row r="151" spans="2:50" s="1" customFormat="1" ht="15" customHeight="1">
      <c r="B151" s="150">
        <v>21</v>
      </c>
      <c r="C151" s="126"/>
      <c r="D151" s="9"/>
      <c r="F151" s="24"/>
      <c r="G151" s="53"/>
      <c r="H151" s="101" t="s">
        <v>61</v>
      </c>
      <c r="I151" s="84"/>
      <c r="J151" s="322">
        <f>IF($T$11="British",AJ151,AM151)</f>
        <v>6.3371219726961172</v>
      </c>
      <c r="K151" s="323"/>
      <c r="L151" s="324" t="s">
        <v>214</v>
      </c>
      <c r="M151" s="325">
        <f>IF($T$11="british",AM151,AJ151)</f>
        <v>30.937829470702443</v>
      </c>
      <c r="N151" s="285" t="s">
        <v>217</v>
      </c>
      <c r="O151" s="326"/>
      <c r="Q151" s="9"/>
      <c r="S151" s="9"/>
      <c r="U151" s="9"/>
      <c r="X151" s="22"/>
      <c r="AB151" s="150">
        <v>21</v>
      </c>
      <c r="AC151" s="126"/>
      <c r="AD151" s="9"/>
      <c r="AF151" s="24"/>
      <c r="AG151" s="53"/>
      <c r="AH151" s="101" t="s">
        <v>61</v>
      </c>
      <c r="AI151" s="84"/>
      <c r="AJ151" s="331">
        <f>(1/AO142+1/AN135+AQ38)^(-1)</f>
        <v>6.3371219726961172</v>
      </c>
      <c r="AK151" s="332"/>
      <c r="AL151" s="324" t="s">
        <v>45</v>
      </c>
      <c r="AM151" s="330">
        <f>AJ151*4.882</f>
        <v>30.937829470702443</v>
      </c>
      <c r="AN151" s="285" t="s">
        <v>200</v>
      </c>
      <c r="AO151" s="326"/>
      <c r="AQ151" s="9"/>
      <c r="AS151" s="9"/>
      <c r="AU151" s="9"/>
      <c r="AX151" s="22"/>
    </row>
    <row r="152" spans="2:50" s="1" customFormat="1" ht="15" customHeight="1">
      <c r="B152" s="150">
        <v>22</v>
      </c>
      <c r="C152" s="126"/>
      <c r="D152" s="9"/>
      <c r="E152" s="9"/>
      <c r="F152" s="9"/>
      <c r="G152" s="50"/>
      <c r="H152" s="101" t="s">
        <v>63</v>
      </c>
      <c r="I152" s="84"/>
      <c r="J152" s="327">
        <f>IF($T$11="British",AJ152,AM152)</f>
        <v>6.3371219726961172</v>
      </c>
      <c r="K152" s="328"/>
      <c r="L152" s="329" t="s">
        <v>214</v>
      </c>
      <c r="M152" s="330">
        <f>IF($T$11="british",AM152,AJ152)</f>
        <v>30.937829470702443</v>
      </c>
      <c r="N152" s="285" t="s">
        <v>217</v>
      </c>
      <c r="O152" s="326"/>
      <c r="Q152" s="9"/>
      <c r="S152" s="9"/>
      <c r="U152" s="9"/>
      <c r="V152" s="9"/>
      <c r="W152" s="9"/>
      <c r="X152" s="22"/>
      <c r="AB152" s="150">
        <v>22</v>
      </c>
      <c r="AC152" s="126"/>
      <c r="AD152" s="9"/>
      <c r="AE152" s="9"/>
      <c r="AF152" s="9"/>
      <c r="AG152" s="50"/>
      <c r="AH152" s="101" t="s">
        <v>63</v>
      </c>
      <c r="AI152" s="84"/>
      <c r="AJ152" s="331">
        <f>(1/AO143+1/AN136+AQ38)^(-1)</f>
        <v>6.3371219726961172</v>
      </c>
      <c r="AK152" s="332"/>
      <c r="AL152" s="329" t="s">
        <v>45</v>
      </c>
      <c r="AM152" s="330">
        <f>AJ152*4.882</f>
        <v>30.937829470702443</v>
      </c>
      <c r="AN152" s="285" t="s">
        <v>200</v>
      </c>
      <c r="AO152" s="326"/>
      <c r="AQ152" s="9"/>
      <c r="AS152" s="9"/>
      <c r="AU152" s="9"/>
      <c r="AV152" s="9"/>
      <c r="AW152" s="9"/>
      <c r="AX152" s="22"/>
    </row>
    <row r="153" spans="2:50" s="1" customFormat="1" ht="15" customHeight="1">
      <c r="B153" s="150">
        <v>23</v>
      </c>
      <c r="C153" s="126"/>
      <c r="D153" s="9"/>
      <c r="E153" s="9"/>
      <c r="F153" s="9"/>
      <c r="G153" s="50"/>
      <c r="V153" s="9"/>
      <c r="W153" s="9"/>
      <c r="X153" s="22"/>
      <c r="AB153" s="150">
        <v>23</v>
      </c>
      <c r="AC153" s="126"/>
      <c r="AD153" s="9"/>
      <c r="AE153" s="9"/>
      <c r="AF153" s="9"/>
      <c r="AG153" s="50"/>
      <c r="AV153" s="9"/>
      <c r="AW153" s="9"/>
      <c r="AX153" s="22"/>
    </row>
    <row r="154" spans="2:50" s="1" customFormat="1" ht="15" customHeight="1">
      <c r="B154" s="150">
        <v>24</v>
      </c>
      <c r="C154" s="126"/>
      <c r="D154" s="9"/>
      <c r="E154" s="24" t="s">
        <v>41</v>
      </c>
      <c r="F154" s="24"/>
      <c r="G154" s="53"/>
      <c r="H154" s="23"/>
      <c r="I154" s="23"/>
      <c r="J154" s="23"/>
      <c r="K154" s="23"/>
      <c r="L154" s="9"/>
      <c r="M154" s="9"/>
      <c r="N154" s="9"/>
      <c r="O154" s="9"/>
      <c r="V154" s="9"/>
      <c r="W154" s="9"/>
      <c r="X154" s="22"/>
      <c r="AB154" s="150">
        <v>24</v>
      </c>
      <c r="AC154" s="126"/>
      <c r="AD154" s="9"/>
      <c r="AE154" s="24" t="s">
        <v>41</v>
      </c>
      <c r="AF154" s="24"/>
      <c r="AG154" s="53"/>
      <c r="AH154" s="23"/>
      <c r="AI154" s="23"/>
      <c r="AJ154" s="23"/>
      <c r="AK154" s="23"/>
      <c r="AL154" s="9"/>
      <c r="AM154" s="9"/>
      <c r="AN154" s="9"/>
      <c r="AO154" s="9"/>
      <c r="AV154" s="9"/>
      <c r="AW154" s="9"/>
      <c r="AX154" s="22"/>
    </row>
    <row r="155" spans="2:50" s="1" customFormat="1" ht="15" customHeight="1">
      <c r="B155" s="150">
        <v>25</v>
      </c>
      <c r="C155" s="126"/>
      <c r="D155" s="9"/>
      <c r="E155" s="6"/>
      <c r="F155" s="6"/>
      <c r="G155" s="26"/>
      <c r="I155" s="9"/>
      <c r="J155" s="9"/>
      <c r="K155" s="9"/>
      <c r="L155" s="9"/>
      <c r="M155" s="9"/>
      <c r="N155" s="9"/>
      <c r="O155" s="9"/>
      <c r="X155" s="22"/>
      <c r="AB155" s="150">
        <v>25</v>
      </c>
      <c r="AC155" s="126"/>
      <c r="AD155" s="9"/>
      <c r="AE155" s="6"/>
      <c r="AF155" s="6"/>
      <c r="AG155" s="26"/>
      <c r="AI155" s="9"/>
      <c r="AJ155" s="9"/>
      <c r="AK155" s="9"/>
      <c r="AL155" s="9"/>
      <c r="AM155" s="9"/>
      <c r="AN155" s="9"/>
      <c r="AO155" s="9"/>
      <c r="AX155" s="22"/>
    </row>
    <row r="156" spans="2:50" s="1" customFormat="1" ht="15" customHeight="1">
      <c r="B156" s="150">
        <v>26</v>
      </c>
      <c r="C156" s="126"/>
      <c r="D156" s="9"/>
      <c r="E156" s="6"/>
      <c r="F156" s="6"/>
      <c r="G156" s="26"/>
      <c r="H156" s="36" t="s">
        <v>56</v>
      </c>
      <c r="P156" s="9"/>
      <c r="Q156" s="9"/>
      <c r="R156" s="9"/>
      <c r="S156" s="50"/>
      <c r="T156" s="50"/>
      <c r="U156" s="9"/>
      <c r="X156" s="22"/>
      <c r="AB156" s="150">
        <v>26</v>
      </c>
      <c r="AC156" s="126"/>
      <c r="AD156" s="9"/>
      <c r="AE156" s="6"/>
      <c r="AF156" s="6"/>
      <c r="AG156" s="26"/>
      <c r="AH156" s="36" t="s">
        <v>56</v>
      </c>
      <c r="AP156" s="9"/>
      <c r="AQ156" s="9"/>
      <c r="AR156" s="9"/>
      <c r="AS156" s="50"/>
      <c r="AT156" s="50"/>
      <c r="AU156" s="9"/>
      <c r="AX156" s="22"/>
    </row>
    <row r="157" spans="2:50" s="1" customFormat="1" ht="15" customHeight="1">
      <c r="B157" s="150">
        <v>27</v>
      </c>
      <c r="C157" s="126"/>
      <c r="D157" s="9"/>
      <c r="E157" s="6"/>
      <c r="F157" s="6"/>
      <c r="G157" s="26"/>
      <c r="I157" s="35" t="str">
        <f>IF(J43="HOT WATER","LMTD =","Tsteam - ti")</f>
        <v>Tsteam - ti</v>
      </c>
      <c r="J157" s="89">
        <f>IF($T$11="British",AJ157,AM157)</f>
        <v>241.60000000000002</v>
      </c>
      <c r="K157" s="102"/>
      <c r="L157" s="348" t="s">
        <v>36</v>
      </c>
      <c r="M157" s="89">
        <f>IF($T$11="british",AM157,AJ157)</f>
        <v>116.44444444444444</v>
      </c>
      <c r="N157" s="349" t="s">
        <v>206</v>
      </c>
      <c r="P157" s="9"/>
      <c r="Q157" s="9"/>
      <c r="R157" s="9"/>
      <c r="S157" s="50"/>
      <c r="T157" s="50"/>
      <c r="U157" s="9"/>
      <c r="X157" s="22"/>
      <c r="AB157" s="150">
        <v>27</v>
      </c>
      <c r="AC157" s="126"/>
      <c r="AD157" s="9"/>
      <c r="AE157" s="6"/>
      <c r="AF157" s="6"/>
      <c r="AG157" s="26"/>
      <c r="AI157" s="35" t="str">
        <f>IF(AJ43="HOT WATER","LMTD =","Tsteam - ti")</f>
        <v>Tsteam - ti</v>
      </c>
      <c r="AJ157" s="102">
        <f>IF(AJ43="STEAM",AJ44-AQ16,((AM108-L13)-(AO108-L13))/LN((AM108-L13)/(AO108-L13)))</f>
        <v>241.60000000000002</v>
      </c>
      <c r="AK157" s="102"/>
      <c r="AL157" s="88" t="s">
        <v>42</v>
      </c>
      <c r="AM157" s="102">
        <f>(AJ157-32)*5/9</f>
        <v>116.44444444444444</v>
      </c>
      <c r="AN157" s="6" t="s">
        <v>17</v>
      </c>
      <c r="AP157" s="9"/>
      <c r="AQ157" s="9"/>
      <c r="AR157" s="9"/>
      <c r="AS157" s="50"/>
      <c r="AT157" s="50"/>
      <c r="AU157" s="9"/>
      <c r="AX157" s="22"/>
    </row>
    <row r="158" spans="2:50" s="1" customFormat="1" ht="15" customHeight="1" thickBot="1">
      <c r="B158" s="150">
        <v>28</v>
      </c>
      <c r="C158" s="126"/>
      <c r="D158" s="9"/>
      <c r="E158" s="9"/>
      <c r="F158" s="9"/>
      <c r="G158" s="50"/>
      <c r="I158" s="5" t="s">
        <v>81</v>
      </c>
      <c r="J158" s="89">
        <f>IF($T$11="British",AJ158,AM158)</f>
        <v>7.4280362117813779</v>
      </c>
      <c r="K158" s="90"/>
      <c r="L158" s="1" t="s">
        <v>205</v>
      </c>
      <c r="M158" s="89">
        <f>IF($T$11="british",AM158,AJ158)</f>
        <v>0.69008714530457382</v>
      </c>
      <c r="N158" s="42" t="s">
        <v>207</v>
      </c>
      <c r="P158" s="9"/>
      <c r="Q158" s="9"/>
      <c r="R158" s="9"/>
      <c r="S158" s="50"/>
      <c r="T158" s="50"/>
      <c r="U158" s="9"/>
      <c r="V158" s="9"/>
      <c r="W158" s="9"/>
      <c r="X158" s="22"/>
      <c r="AB158" s="150">
        <v>28</v>
      </c>
      <c r="AC158" s="126"/>
      <c r="AD158" s="9"/>
      <c r="AE158" s="9"/>
      <c r="AF158" s="9"/>
      <c r="AG158" s="50"/>
      <c r="AI158" s="5" t="s">
        <v>81</v>
      </c>
      <c r="AJ158" s="320">
        <f>AN98/(AJ157*AJ151)</f>
        <v>7.4280362117813779</v>
      </c>
      <c r="AK158" s="90"/>
      <c r="AL158" s="1" t="s">
        <v>43</v>
      </c>
      <c r="AM158" s="321">
        <f>AJ158*0.3048^2</f>
        <v>0.69008714530457382</v>
      </c>
      <c r="AN158" s="42" t="s">
        <v>31</v>
      </c>
      <c r="AP158" s="9"/>
      <c r="AQ158" s="9"/>
      <c r="AR158" s="9"/>
      <c r="AS158" s="50"/>
      <c r="AT158" s="50"/>
      <c r="AU158" s="9"/>
      <c r="AV158" s="9"/>
      <c r="AW158" s="9"/>
      <c r="AX158" s="22"/>
    </row>
    <row r="159" spans="2:50" s="1" customFormat="1" ht="15" customHeight="1" thickBot="1">
      <c r="B159" s="150">
        <v>29</v>
      </c>
      <c r="C159" s="126"/>
      <c r="D159" s="9"/>
      <c r="E159" s="9"/>
      <c r="F159" s="9"/>
      <c r="G159" s="50"/>
      <c r="I159" s="77" t="s">
        <v>32</v>
      </c>
      <c r="J159" s="86">
        <f>IF($T$11="British",AJ159,AM159)</f>
        <v>11.946529824713464</v>
      </c>
      <c r="K159" s="86"/>
      <c r="L159" s="78" t="str">
        <f>IF($T$11="British","ft              (","m             (")</f>
        <v>ft              (</v>
      </c>
      <c r="M159" s="86">
        <f>IF(T11="British",AM159,AJ159)</f>
        <v>3.6413022905726637</v>
      </c>
      <c r="N159" s="79" t="str">
        <f>IF($T$11="British","m )","ft )")</f>
        <v>m )</v>
      </c>
      <c r="U159" s="9"/>
      <c r="V159" s="9"/>
      <c r="W159" s="9"/>
      <c r="X159" s="22"/>
      <c r="AB159" s="150">
        <v>29</v>
      </c>
      <c r="AC159" s="126"/>
      <c r="AD159" s="9"/>
      <c r="AE159" s="9"/>
      <c r="AF159" s="9"/>
      <c r="AG159" s="50"/>
      <c r="AI159" s="77" t="s">
        <v>32</v>
      </c>
      <c r="AJ159" s="86">
        <f>AJ158/PI()/(AS117)</f>
        <v>11.946529824713464</v>
      </c>
      <c r="AK159" s="86"/>
      <c r="AL159" s="78" t="s">
        <v>199</v>
      </c>
      <c r="AM159" s="86">
        <f>AJ159*0.3048</f>
        <v>3.6413022905726637</v>
      </c>
      <c r="AN159" s="79" t="s">
        <v>33</v>
      </c>
      <c r="AU159" s="9"/>
      <c r="AV159" s="9"/>
      <c r="AW159" s="9"/>
      <c r="AX159" s="22"/>
    </row>
    <row r="160" spans="2:50" s="1" customFormat="1" ht="15" customHeight="1">
      <c r="B160" s="150">
        <v>30</v>
      </c>
      <c r="C160" s="126"/>
      <c r="D160" s="9"/>
      <c r="E160" s="9"/>
      <c r="F160" s="9"/>
      <c r="G160" s="50"/>
      <c r="H160" s="9"/>
      <c r="I160" s="9"/>
      <c r="J160" s="35"/>
      <c r="K160" s="35"/>
      <c r="L160" s="35"/>
      <c r="M160" s="9"/>
      <c r="N160" s="9"/>
      <c r="P160" s="6"/>
      <c r="Q160" s="9"/>
      <c r="R160" s="9"/>
      <c r="V160" s="9"/>
      <c r="W160" s="9"/>
      <c r="X160" s="22"/>
      <c r="AB160" s="150">
        <v>30</v>
      </c>
      <c r="AC160" s="126"/>
      <c r="AD160" s="9"/>
      <c r="AE160" s="9"/>
      <c r="AF160" s="9"/>
      <c r="AG160" s="50"/>
      <c r="AH160" s="9"/>
      <c r="AI160" s="9"/>
      <c r="AJ160" s="35"/>
      <c r="AK160" s="35"/>
      <c r="AL160" s="35"/>
      <c r="AM160" s="9"/>
      <c r="AN160" s="9"/>
      <c r="AP160" s="6"/>
      <c r="AQ160" s="9"/>
      <c r="AR160" s="9"/>
      <c r="AV160" s="9"/>
      <c r="AW160" s="9"/>
      <c r="AX160" s="22"/>
    </row>
    <row r="161" spans="2:50" s="1" customFormat="1" ht="15" customHeight="1">
      <c r="B161" s="150">
        <v>31</v>
      </c>
      <c r="C161" s="126"/>
      <c r="D161" s="9"/>
      <c r="E161" s="6" t="s">
        <v>18</v>
      </c>
      <c r="F161" s="6"/>
      <c r="G161" s="26"/>
      <c r="H161" s="36" t="s">
        <v>57</v>
      </c>
      <c r="J161" s="87"/>
      <c r="K161" s="87"/>
      <c r="P161" s="42"/>
      <c r="Q161" s="9"/>
      <c r="R161" s="9"/>
      <c r="S161" s="50"/>
      <c r="T161" s="50"/>
      <c r="U161" s="9"/>
      <c r="V161" s="9"/>
      <c r="W161" s="9"/>
      <c r="X161" s="22"/>
      <c r="AB161" s="150">
        <v>31</v>
      </c>
      <c r="AC161" s="126"/>
      <c r="AD161" s="9"/>
      <c r="AE161" s="6" t="s">
        <v>18</v>
      </c>
      <c r="AF161" s="6"/>
      <c r="AG161" s="26"/>
      <c r="AH161" s="36" t="s">
        <v>57</v>
      </c>
      <c r="AJ161" s="87"/>
      <c r="AK161" s="87"/>
      <c r="AP161" s="42"/>
      <c r="AQ161" s="9"/>
      <c r="AR161" s="9"/>
      <c r="AS161" s="50"/>
      <c r="AT161" s="50"/>
      <c r="AU161" s="9"/>
      <c r="AV161" s="9"/>
      <c r="AW161" s="9"/>
      <c r="AX161" s="22"/>
    </row>
    <row r="162" spans="2:50" s="1" customFormat="1" ht="15" customHeight="1">
      <c r="B162" s="150">
        <v>32</v>
      </c>
      <c r="C162" s="126"/>
      <c r="D162" s="9"/>
      <c r="E162" s="9"/>
      <c r="F162" s="9"/>
      <c r="G162" s="50"/>
      <c r="I162" s="35" t="str">
        <f>IF(J43="HOT WATER","LMTD =","Tsteam - ti")</f>
        <v>Tsteam - ti</v>
      </c>
      <c r="J162" s="85">
        <f>AJ162</f>
        <v>241.60000000000002</v>
      </c>
      <c r="K162" s="85"/>
      <c r="L162" s="348" t="s">
        <v>36</v>
      </c>
      <c r="M162" s="89">
        <f>IF($T$11="british",AM162,AJ162)</f>
        <v>116.44444444444444</v>
      </c>
      <c r="N162" s="98" t="s">
        <v>208</v>
      </c>
      <c r="P162" s="45"/>
      <c r="Q162" s="82"/>
      <c r="R162" s="82"/>
      <c r="S162" s="26"/>
      <c r="T162" s="26"/>
      <c r="U162" s="80"/>
      <c r="X162" s="22"/>
      <c r="AB162" s="150">
        <v>32</v>
      </c>
      <c r="AC162" s="126"/>
      <c r="AD162" s="9"/>
      <c r="AE162" s="9"/>
      <c r="AF162" s="9"/>
      <c r="AG162" s="50"/>
      <c r="AI162" s="35" t="str">
        <f>IF(AJ43="HOT WATER","LMTD =","Tsteam - ti")</f>
        <v>Tsteam - ti</v>
      </c>
      <c r="AJ162" s="85">
        <f>IF(AJ43="STEAM",AJ44-AQ16,((AM109-L13)-(AO109-L13))/LN((AM109-L13)/(AO109-L13)))</f>
        <v>241.60000000000002</v>
      </c>
      <c r="AK162" s="85"/>
      <c r="AL162" s="88" t="s">
        <v>42</v>
      </c>
      <c r="AM162" s="102">
        <f>(AJ162-32)*5/9</f>
        <v>116.44444444444444</v>
      </c>
      <c r="AN162" s="98" t="s">
        <v>65</v>
      </c>
      <c r="AP162" s="45"/>
      <c r="AQ162" s="82"/>
      <c r="AR162" s="82"/>
      <c r="AS162" s="26"/>
      <c r="AT162" s="26"/>
      <c r="AU162" s="80"/>
      <c r="AX162" s="22"/>
    </row>
    <row r="163" spans="2:50" s="1" customFormat="1" ht="15" customHeight="1" thickBot="1">
      <c r="B163" s="150">
        <v>33</v>
      </c>
      <c r="C163" s="126"/>
      <c r="D163" s="9"/>
      <c r="E163" s="9"/>
      <c r="F163" s="9"/>
      <c r="G163" s="50"/>
      <c r="I163" s="5" t="s">
        <v>81</v>
      </c>
      <c r="J163" s="91">
        <f>AJ163</f>
        <v>7.1508300638615268</v>
      </c>
      <c r="K163" s="91"/>
      <c r="L163" s="1" t="s">
        <v>205</v>
      </c>
      <c r="M163" s="89">
        <f>IF($T$11="british",AM163,AJ163)</f>
        <v>0.66433385145613</v>
      </c>
      <c r="N163" s="42" t="s">
        <v>207</v>
      </c>
      <c r="P163" s="9"/>
      <c r="Q163" s="83"/>
      <c r="R163" s="83"/>
      <c r="S163" s="50"/>
      <c r="T163" s="50"/>
      <c r="U163" s="80"/>
      <c r="V163" s="9"/>
      <c r="W163" s="9"/>
      <c r="X163" s="22"/>
      <c r="AB163" s="150">
        <v>33</v>
      </c>
      <c r="AC163" s="126"/>
      <c r="AD163" s="9"/>
      <c r="AE163" s="9"/>
      <c r="AF163" s="9"/>
      <c r="AG163" s="50"/>
      <c r="AI163" s="5" t="s">
        <v>81</v>
      </c>
      <c r="AJ163" s="320">
        <f>AN99/(AJ162*AJ152)</f>
        <v>7.1508300638615268</v>
      </c>
      <c r="AK163" s="91"/>
      <c r="AL163" s="1" t="s">
        <v>43</v>
      </c>
      <c r="AM163" s="321">
        <f>AJ163*0.3048^2</f>
        <v>0.66433385145613</v>
      </c>
      <c r="AN163" s="42" t="s">
        <v>31</v>
      </c>
      <c r="AP163" s="9"/>
      <c r="AQ163" s="83"/>
      <c r="AR163" s="83"/>
      <c r="AS163" s="50"/>
      <c r="AT163" s="50"/>
      <c r="AU163" s="80"/>
      <c r="AV163" s="9"/>
      <c r="AW163" s="9"/>
      <c r="AX163" s="22"/>
    </row>
    <row r="164" spans="2:50" s="1" customFormat="1" ht="15" customHeight="1" thickBot="1">
      <c r="B164" s="150">
        <v>34</v>
      </c>
      <c r="C164" s="126"/>
      <c r="D164" s="9"/>
      <c r="E164" s="9"/>
      <c r="F164" s="9"/>
      <c r="G164" s="50"/>
      <c r="I164" s="77" t="s">
        <v>32</v>
      </c>
      <c r="J164" s="86">
        <f>IF($T$11="British",AJ164,AM164)</f>
        <v>11.50069846103945</v>
      </c>
      <c r="K164" s="86"/>
      <c r="L164" s="78" t="str">
        <f>IF($T$11="British","ft              (","m             (")</f>
        <v>ft              (</v>
      </c>
      <c r="M164" s="86">
        <f>IF(T11="British",AM164,AJ164)</f>
        <v>3.5054128909248243</v>
      </c>
      <c r="N164" s="79" t="str">
        <f>IF($T$11="British","m )","ft )")</f>
        <v>m )</v>
      </c>
      <c r="V164" s="80"/>
      <c r="W164" s="80"/>
      <c r="X164" s="22"/>
      <c r="AB164" s="150">
        <v>34</v>
      </c>
      <c r="AC164" s="126"/>
      <c r="AD164" s="9"/>
      <c r="AE164" s="9"/>
      <c r="AF164" s="9"/>
      <c r="AG164" s="50"/>
      <c r="AI164" s="77" t="s">
        <v>32</v>
      </c>
      <c r="AJ164" s="86">
        <f>AJ163/PI()/(AS117)</f>
        <v>11.50069846103945</v>
      </c>
      <c r="AK164" s="86"/>
      <c r="AL164" s="78" t="s">
        <v>199</v>
      </c>
      <c r="AM164" s="86">
        <f>AJ164*0.3048</f>
        <v>3.5054128909248243</v>
      </c>
      <c r="AN164" s="79" t="s">
        <v>33</v>
      </c>
      <c r="AV164" s="80"/>
      <c r="AW164" s="80"/>
      <c r="AX164" s="22"/>
    </row>
    <row r="165" spans="2:50" s="1" customFormat="1" ht="15" customHeight="1">
      <c r="B165" s="150">
        <v>35</v>
      </c>
      <c r="C165" s="126"/>
      <c r="D165" s="9"/>
      <c r="P165" s="98"/>
      <c r="U165" s="81"/>
      <c r="V165" s="80"/>
      <c r="W165" s="80"/>
      <c r="X165" s="22"/>
      <c r="AB165" s="150">
        <v>35</v>
      </c>
      <c r="AC165" s="126"/>
      <c r="AD165" s="9"/>
      <c r="AP165" s="98"/>
      <c r="AU165" s="81"/>
      <c r="AV165" s="80"/>
      <c r="AW165" s="80"/>
      <c r="AX165" s="22"/>
    </row>
    <row r="166" spans="2:50" s="1" customFormat="1" ht="15" customHeight="1">
      <c r="B166" s="150">
        <v>36</v>
      </c>
      <c r="C166" s="126"/>
      <c r="D166" s="9"/>
      <c r="P166" s="42"/>
      <c r="Q166" s="35"/>
      <c r="R166" s="35"/>
      <c r="S166" s="50"/>
      <c r="T166" s="50"/>
      <c r="U166" s="81"/>
      <c r="X166" s="22"/>
      <c r="AB166" s="150">
        <v>36</v>
      </c>
      <c r="AC166" s="126"/>
      <c r="AD166" s="9"/>
      <c r="AP166" s="42"/>
      <c r="AQ166" s="35"/>
      <c r="AR166" s="35"/>
      <c r="AS166" s="50"/>
      <c r="AT166" s="50"/>
      <c r="AU166" s="81"/>
      <c r="AX166" s="22"/>
    </row>
    <row r="167" spans="2:50" s="1" customFormat="1" ht="15" customHeight="1">
      <c r="B167" s="150">
        <v>37</v>
      </c>
      <c r="C167" s="126"/>
      <c r="D167" s="9"/>
      <c r="P167" s="45"/>
      <c r="Q167" s="82"/>
      <c r="R167" s="82"/>
      <c r="S167" s="50"/>
      <c r="T167" s="50"/>
      <c r="U167" s="80"/>
      <c r="V167" s="81"/>
      <c r="W167" s="81"/>
      <c r="X167" s="22"/>
      <c r="AB167" s="150">
        <v>37</v>
      </c>
      <c r="AC167" s="126"/>
      <c r="AD167" s="9"/>
      <c r="AP167" s="45"/>
      <c r="AQ167" s="82"/>
      <c r="AR167" s="82"/>
      <c r="AS167" s="50"/>
      <c r="AT167" s="50"/>
      <c r="AU167" s="80"/>
      <c r="AV167" s="81"/>
      <c r="AW167" s="81"/>
      <c r="AX167" s="22"/>
    </row>
    <row r="168" spans="2:50" s="1" customFormat="1" ht="15" customHeight="1" thickBot="1">
      <c r="B168" s="150">
        <v>38</v>
      </c>
      <c r="C168" s="126"/>
      <c r="D168" s="9"/>
      <c r="E168" s="9"/>
      <c r="F168" s="9"/>
      <c r="G168" s="50"/>
      <c r="H168" s="43"/>
      <c r="I168" s="44"/>
      <c r="J168" s="45"/>
      <c r="K168" s="45"/>
      <c r="L168" s="46"/>
      <c r="M168" s="44"/>
      <c r="N168" s="44"/>
      <c r="O168" s="45"/>
      <c r="P168" s="45"/>
      <c r="Q168" s="83"/>
      <c r="R168" s="83"/>
      <c r="S168" s="50"/>
      <c r="T168" s="50"/>
      <c r="U168" s="80"/>
      <c r="V168" s="81"/>
      <c r="W168" s="81"/>
      <c r="X168" s="22"/>
      <c r="AB168" s="150">
        <v>38</v>
      </c>
      <c r="AC168" s="242"/>
      <c r="AD168" s="31"/>
      <c r="AE168" s="31"/>
      <c r="AF168" s="31"/>
      <c r="AG168" s="49"/>
      <c r="AH168" s="335"/>
      <c r="AI168" s="336"/>
      <c r="AJ168" s="337"/>
      <c r="AK168" s="337"/>
      <c r="AL168" s="338"/>
      <c r="AM168" s="336"/>
      <c r="AN168" s="336"/>
      <c r="AO168" s="337"/>
      <c r="AP168" s="337"/>
      <c r="AQ168" s="339"/>
      <c r="AR168" s="339"/>
      <c r="AS168" s="49"/>
      <c r="AT168" s="49"/>
      <c r="AU168" s="340"/>
      <c r="AV168" s="341"/>
      <c r="AW168" s="341"/>
      <c r="AX168" s="32"/>
    </row>
    <row r="169" spans="2:50" s="1" customFormat="1" ht="15" customHeight="1">
      <c r="B169" s="150">
        <v>39</v>
      </c>
      <c r="C169" s="126"/>
      <c r="D169" s="293" t="s">
        <v>192</v>
      </c>
      <c r="E169" s="154"/>
      <c r="F169" s="154"/>
      <c r="G169" s="154"/>
      <c r="H169" s="154"/>
      <c r="I169" s="154"/>
      <c r="J169" s="154"/>
      <c r="K169" s="154"/>
      <c r="L169" s="154"/>
      <c r="M169" s="154"/>
      <c r="N169" s="154"/>
      <c r="O169" s="154"/>
      <c r="P169" s="154"/>
      <c r="Q169" s="154"/>
      <c r="R169" s="154"/>
      <c r="S169" s="154"/>
      <c r="T169" s="154"/>
      <c r="U169" s="154"/>
      <c r="V169" s="294"/>
      <c r="W169" s="294"/>
      <c r="X169" s="157"/>
    </row>
    <row r="170" spans="2:50" s="1" customFormat="1" ht="15" customHeight="1">
      <c r="B170" s="150">
        <v>40</v>
      </c>
      <c r="C170" s="126"/>
      <c r="D170" s="313"/>
      <c r="E170" s="314"/>
      <c r="F170" s="314"/>
      <c r="G170" s="314"/>
      <c r="H170" s="314"/>
      <c r="I170" s="314"/>
      <c r="J170" s="314"/>
      <c r="K170" s="314"/>
      <c r="L170" s="314"/>
      <c r="M170" s="314"/>
      <c r="N170" s="314"/>
      <c r="O170" s="314"/>
      <c r="P170" s="314"/>
      <c r="Q170" s="314"/>
      <c r="R170" s="314"/>
      <c r="S170" s="314"/>
      <c r="T170" s="314"/>
      <c r="U170" s="314"/>
      <c r="V170" s="315"/>
      <c r="W170" s="315"/>
      <c r="X170" s="316"/>
    </row>
    <row r="171" spans="2:50" s="1" customFormat="1" ht="15" customHeight="1">
      <c r="B171" s="150">
        <v>41</v>
      </c>
      <c r="C171" s="126"/>
      <c r="D171" s="295"/>
      <c r="E171" s="170"/>
      <c r="F171" s="170"/>
      <c r="G171" s="170"/>
      <c r="H171" s="170"/>
      <c r="I171" s="170"/>
      <c r="J171" s="170"/>
      <c r="K171" s="170"/>
      <c r="L171" s="170"/>
      <c r="M171" s="170"/>
      <c r="N171" s="170"/>
      <c r="O171" s="170"/>
      <c r="P171" s="170"/>
      <c r="Q171" s="170"/>
      <c r="R171" s="170"/>
      <c r="S171" s="170"/>
      <c r="T171" s="170"/>
      <c r="U171" s="170"/>
      <c r="V171" s="170"/>
      <c r="W171" s="170"/>
      <c r="X171" s="173"/>
    </row>
    <row r="172" spans="2:50" s="1" customFormat="1" ht="15" customHeight="1">
      <c r="B172" s="150">
        <v>42</v>
      </c>
      <c r="C172" s="126"/>
      <c r="D172" s="295"/>
      <c r="E172" s="170"/>
      <c r="F172" s="170"/>
      <c r="G172" s="170"/>
      <c r="H172" s="170"/>
      <c r="I172" s="170"/>
      <c r="J172" s="170"/>
      <c r="K172" s="170"/>
      <c r="L172" s="170"/>
      <c r="M172" s="170"/>
      <c r="N172" s="170"/>
      <c r="O172" s="170"/>
      <c r="P172" s="170"/>
      <c r="Q172" s="170"/>
      <c r="R172" s="170"/>
      <c r="S172" s="170"/>
      <c r="T172" s="170"/>
      <c r="U172" s="170"/>
      <c r="V172" s="170"/>
      <c r="W172" s="170"/>
      <c r="X172" s="173"/>
    </row>
    <row r="173" spans="2:50" s="1" customFormat="1" ht="15" customHeight="1">
      <c r="B173" s="150">
        <v>43</v>
      </c>
      <c r="C173" s="126"/>
      <c r="D173" s="295"/>
      <c r="E173" s="170"/>
      <c r="F173" s="170"/>
      <c r="G173" s="170"/>
      <c r="H173" s="170"/>
      <c r="I173" s="170"/>
      <c r="J173" s="170"/>
      <c r="K173" s="170"/>
      <c r="L173" s="170"/>
      <c r="M173" s="170"/>
      <c r="N173" s="170"/>
      <c r="O173" s="170"/>
      <c r="P173" s="170"/>
      <c r="Q173" s="170"/>
      <c r="R173" s="170"/>
      <c r="S173" s="170"/>
      <c r="T173" s="170"/>
      <c r="U173" s="170"/>
      <c r="V173" s="170"/>
      <c r="W173" s="170"/>
      <c r="X173" s="173"/>
    </row>
    <row r="174" spans="2:50" s="1" customFormat="1" ht="15" customHeight="1">
      <c r="B174" s="150">
        <v>44</v>
      </c>
      <c r="C174" s="126"/>
      <c r="D174" s="296"/>
      <c r="E174" s="297"/>
      <c r="F174" s="297"/>
      <c r="G174" s="298"/>
      <c r="H174" s="299"/>
      <c r="I174" s="300"/>
      <c r="J174" s="301"/>
      <c r="K174" s="301"/>
      <c r="L174" s="299"/>
      <c r="M174" s="300"/>
      <c r="N174" s="300"/>
      <c r="O174" s="301"/>
      <c r="P174" s="301"/>
      <c r="Q174" s="297"/>
      <c r="R174" s="297"/>
      <c r="S174" s="298"/>
      <c r="T174" s="298"/>
      <c r="U174" s="297"/>
      <c r="V174" s="170"/>
      <c r="W174" s="170"/>
      <c r="X174" s="173"/>
    </row>
    <row r="175" spans="2:50" s="1" customFormat="1" ht="15" customHeight="1">
      <c r="B175" s="150">
        <v>45</v>
      </c>
      <c r="C175" s="126"/>
      <c r="D175" s="296"/>
      <c r="E175" s="170"/>
      <c r="F175" s="170"/>
      <c r="G175" s="171"/>
      <c r="H175" s="302"/>
      <c r="I175" s="303"/>
      <c r="J175" s="304"/>
      <c r="K175" s="304"/>
      <c r="L175" s="305"/>
      <c r="M175" s="303"/>
      <c r="N175" s="303"/>
      <c r="O175" s="304"/>
      <c r="P175" s="304"/>
      <c r="Q175" s="170"/>
      <c r="R175" s="170"/>
      <c r="S175" s="171"/>
      <c r="T175" s="171"/>
      <c r="U175" s="170"/>
      <c r="V175" s="170"/>
      <c r="W175" s="170"/>
      <c r="X175" s="173"/>
    </row>
    <row r="176" spans="2:50" s="1" customFormat="1" ht="15" customHeight="1">
      <c r="B176" s="150">
        <v>46</v>
      </c>
      <c r="C176" s="126"/>
      <c r="D176" s="296"/>
      <c r="E176" s="306"/>
      <c r="F176" s="306"/>
      <c r="G176" s="307"/>
      <c r="H176" s="308"/>
      <c r="I176" s="308"/>
      <c r="J176" s="308"/>
      <c r="K176" s="308"/>
      <c r="L176" s="308"/>
      <c r="M176" s="308"/>
      <c r="N176" s="308"/>
      <c r="O176" s="308"/>
      <c r="P176" s="308"/>
      <c r="Q176" s="308"/>
      <c r="R176" s="308"/>
      <c r="S176" s="307"/>
      <c r="T176" s="307"/>
      <c r="U176" s="308"/>
      <c r="V176" s="297"/>
      <c r="W176" s="297"/>
      <c r="X176" s="173"/>
    </row>
    <row r="177" spans="1:52" s="1" customFormat="1" ht="15" customHeight="1">
      <c r="B177" s="150">
        <v>47</v>
      </c>
      <c r="C177" s="126"/>
      <c r="D177" s="296"/>
      <c r="E177" s="306"/>
      <c r="F177" s="306"/>
      <c r="G177" s="307"/>
      <c r="H177" s="308"/>
      <c r="I177" s="308"/>
      <c r="J177" s="308"/>
      <c r="K177" s="308"/>
      <c r="L177" s="308"/>
      <c r="M177" s="308"/>
      <c r="N177" s="308"/>
      <c r="O177" s="308"/>
      <c r="P177" s="308"/>
      <c r="Q177" s="308"/>
      <c r="R177" s="308"/>
      <c r="S177" s="307"/>
      <c r="T177" s="307"/>
      <c r="U177" s="308"/>
      <c r="V177" s="170"/>
      <c r="W177" s="170"/>
      <c r="X177" s="309"/>
    </row>
    <row r="178" spans="1:52" s="1" customFormat="1" ht="15" customHeight="1">
      <c r="B178" s="150">
        <v>48</v>
      </c>
      <c r="C178" s="126"/>
      <c r="D178" s="296"/>
      <c r="E178" s="306"/>
      <c r="F178" s="306"/>
      <c r="G178" s="307"/>
      <c r="H178" s="308"/>
      <c r="I178" s="308"/>
      <c r="J178" s="308"/>
      <c r="K178" s="308"/>
      <c r="L178" s="308"/>
      <c r="M178" s="308"/>
      <c r="N178" s="308"/>
      <c r="O178" s="308"/>
      <c r="P178" s="308"/>
      <c r="Q178" s="308"/>
      <c r="R178" s="308"/>
      <c r="S178" s="307"/>
      <c r="T178" s="307"/>
      <c r="U178" s="308"/>
      <c r="V178" s="308"/>
      <c r="W178" s="308"/>
      <c r="X178" s="310"/>
    </row>
    <row r="179" spans="1:52" s="1" customFormat="1" ht="15" customHeight="1">
      <c r="B179" s="150">
        <v>49</v>
      </c>
      <c r="C179" s="126"/>
      <c r="D179" s="296"/>
      <c r="E179" s="308"/>
      <c r="F179" s="308"/>
      <c r="G179" s="307"/>
      <c r="H179" s="308"/>
      <c r="I179" s="308"/>
      <c r="J179" s="308"/>
      <c r="K179" s="308"/>
      <c r="L179" s="308"/>
      <c r="M179" s="308"/>
      <c r="N179" s="308"/>
      <c r="O179" s="308"/>
      <c r="P179" s="308"/>
      <c r="Q179" s="308"/>
      <c r="R179" s="308"/>
      <c r="S179" s="307"/>
      <c r="T179" s="307"/>
      <c r="U179" s="308"/>
      <c r="V179" s="308"/>
      <c r="W179" s="308"/>
      <c r="X179" s="310"/>
    </row>
    <row r="180" spans="1:52" s="1" customFormat="1" ht="15" customHeight="1">
      <c r="B180" s="150">
        <v>50</v>
      </c>
      <c r="C180" s="126"/>
      <c r="D180" s="295"/>
      <c r="E180" s="308"/>
      <c r="F180" s="308"/>
      <c r="G180" s="307"/>
      <c r="H180" s="308"/>
      <c r="I180" s="308"/>
      <c r="J180" s="308"/>
      <c r="K180" s="308"/>
      <c r="L180" s="308"/>
      <c r="M180" s="308"/>
      <c r="N180" s="308"/>
      <c r="O180" s="308"/>
      <c r="P180" s="308"/>
      <c r="Q180" s="308"/>
      <c r="R180" s="308"/>
      <c r="S180" s="307"/>
      <c r="T180" s="307"/>
      <c r="U180" s="308"/>
      <c r="V180" s="308"/>
      <c r="W180" s="308"/>
      <c r="X180" s="310"/>
    </row>
    <row r="181" spans="1:52" s="1" customFormat="1" ht="15" customHeight="1">
      <c r="B181" s="150">
        <v>51</v>
      </c>
      <c r="C181" s="126"/>
      <c r="D181" s="311"/>
      <c r="E181" s="308"/>
      <c r="F181" s="308"/>
      <c r="G181" s="170"/>
      <c r="H181" s="312"/>
      <c r="I181" s="170"/>
      <c r="J181" s="170"/>
      <c r="K181" s="170"/>
      <c r="L181" s="170"/>
      <c r="M181" s="170"/>
      <c r="N181" s="170"/>
      <c r="O181" s="170"/>
      <c r="P181" s="170"/>
      <c r="Q181" s="170"/>
      <c r="R181" s="170"/>
      <c r="S181" s="170"/>
      <c r="T181" s="170"/>
      <c r="U181" s="308"/>
      <c r="V181" s="308"/>
      <c r="W181" s="308"/>
      <c r="X181" s="310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</row>
    <row r="182" spans="1:52" s="1" customFormat="1" ht="15" customHeight="1" thickBot="1">
      <c r="B182" s="150">
        <v>52</v>
      </c>
      <c r="C182" s="128"/>
      <c r="D182" s="288"/>
      <c r="E182" s="146"/>
      <c r="F182" s="146"/>
      <c r="G182" s="31"/>
      <c r="H182" s="289"/>
      <c r="I182" s="290"/>
      <c r="J182" s="31"/>
      <c r="K182" s="31"/>
      <c r="L182" s="291"/>
      <c r="M182" s="31"/>
      <c r="N182" s="31"/>
      <c r="O182" s="31"/>
      <c r="P182" s="31"/>
      <c r="Q182" s="31"/>
      <c r="R182" s="31"/>
      <c r="S182" s="31"/>
      <c r="T182" s="31"/>
      <c r="U182" s="146"/>
      <c r="V182" s="146"/>
      <c r="W182" s="146"/>
      <c r="X182" s="29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</row>
    <row r="183" spans="1:52" s="1" customFormat="1" ht="15" customHeight="1">
      <c r="C183"/>
      <c r="D183"/>
      <c r="E183"/>
      <c r="F183"/>
      <c r="H183" s="36"/>
      <c r="S183" s="9"/>
      <c r="T183" s="9"/>
      <c r="U183"/>
      <c r="V183"/>
      <c r="W183"/>
      <c r="X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</row>
    <row r="184" spans="1:52" s="1" customFormat="1" ht="15" customHeight="1">
      <c r="C184"/>
      <c r="D184"/>
      <c r="E184"/>
      <c r="F184"/>
      <c r="H184" s="36"/>
      <c r="I184" s="41"/>
      <c r="L184" s="38"/>
      <c r="Q184" s="9"/>
      <c r="R184" s="9"/>
      <c r="S184" s="9"/>
      <c r="T184" s="9"/>
      <c r="U184"/>
      <c r="V184"/>
      <c r="W184"/>
      <c r="X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</row>
    <row r="185" spans="1:52" s="1" customFormat="1" ht="15" customHeight="1">
      <c r="C185"/>
      <c r="D185"/>
      <c r="E185"/>
      <c r="F185"/>
      <c r="G185" s="47"/>
      <c r="H185"/>
      <c r="I185"/>
      <c r="J185"/>
      <c r="K185"/>
      <c r="L185"/>
      <c r="M185"/>
      <c r="N185"/>
      <c r="O185"/>
      <c r="P185"/>
      <c r="Q185"/>
      <c r="R185"/>
      <c r="S185" s="47"/>
      <c r="T185" s="47"/>
      <c r="U185"/>
      <c r="V185"/>
      <c r="W185"/>
      <c r="X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</row>
    <row r="186" spans="1:52" s="1" customFormat="1" ht="15" customHeight="1">
      <c r="C186"/>
      <c r="D186"/>
      <c r="E186"/>
      <c r="F186"/>
      <c r="G186" s="47"/>
      <c r="H186"/>
      <c r="I186"/>
      <c r="J186"/>
      <c r="K186"/>
      <c r="L186"/>
      <c r="M186"/>
      <c r="N186"/>
      <c r="O186"/>
      <c r="P186"/>
      <c r="Q186"/>
      <c r="R186"/>
      <c r="S186" s="47"/>
      <c r="T186" s="47"/>
      <c r="U186"/>
      <c r="V186"/>
      <c r="W186"/>
      <c r="X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</row>
    <row r="187" spans="1:52" s="1" customFormat="1" ht="15" customHeight="1">
      <c r="C187"/>
      <c r="D187"/>
      <c r="E187"/>
      <c r="F187"/>
      <c r="G187" s="103"/>
      <c r="H187" s="104"/>
      <c r="I187" s="105"/>
      <c r="J187" s="106"/>
      <c r="K187" s="106"/>
      <c r="L187" s="104"/>
      <c r="M187" s="105"/>
      <c r="N187" s="105"/>
      <c r="O187" s="106"/>
      <c r="P187" s="106"/>
      <c r="Q187" s="107"/>
      <c r="R187" s="107"/>
      <c r="S187" s="103"/>
      <c r="T187" s="103"/>
      <c r="U187" s="107"/>
      <c r="V187"/>
      <c r="W187"/>
      <c r="X187"/>
    </row>
    <row r="188" spans="1:52" s="1" customFormat="1" ht="15" customHeight="1">
      <c r="C188"/>
      <c r="D188"/>
      <c r="E188"/>
      <c r="F188"/>
      <c r="G188" s="103"/>
      <c r="H188" s="104"/>
      <c r="I188" s="105"/>
      <c r="J188" s="106"/>
      <c r="K188" s="106"/>
      <c r="L188" s="104"/>
      <c r="M188" s="105"/>
      <c r="N188" s="105"/>
      <c r="O188" s="106"/>
      <c r="P188" s="106"/>
      <c r="Q188" s="107"/>
      <c r="R188" s="107"/>
      <c r="S188" s="103"/>
      <c r="T188" s="103"/>
      <c r="U188" s="107"/>
      <c r="V188"/>
      <c r="W188"/>
      <c r="X188"/>
    </row>
    <row r="189" spans="1:52" s="1" customFormat="1" ht="15" customHeight="1">
      <c r="C189"/>
      <c r="D189"/>
      <c r="E189"/>
      <c r="F189"/>
      <c r="G189" s="103"/>
      <c r="H189" s="104"/>
      <c r="I189" s="105"/>
      <c r="J189" s="106"/>
      <c r="K189" s="106"/>
      <c r="L189" s="104"/>
      <c r="M189" s="105"/>
      <c r="N189" s="105"/>
      <c r="O189" s="106"/>
      <c r="P189" s="106"/>
      <c r="Q189" s="107"/>
      <c r="R189" s="107"/>
      <c r="S189" s="103"/>
      <c r="T189" s="103"/>
      <c r="U189" s="107"/>
      <c r="V189" s="107"/>
      <c r="W189" s="107"/>
      <c r="X189"/>
    </row>
    <row r="190" spans="1:52" s="1" customFormat="1" ht="15" customHeight="1">
      <c r="A190"/>
      <c r="B190"/>
      <c r="C190"/>
      <c r="D190"/>
      <c r="E190"/>
      <c r="F190"/>
      <c r="G190" s="103"/>
      <c r="H190" s="104"/>
      <c r="I190" s="105"/>
      <c r="J190" s="106"/>
      <c r="K190" s="106"/>
      <c r="L190" s="104"/>
      <c r="M190" s="105"/>
      <c r="N190" s="105"/>
      <c r="O190" s="106"/>
      <c r="P190" s="106"/>
      <c r="Q190" s="107"/>
      <c r="R190" s="107"/>
      <c r="S190" s="103"/>
      <c r="T190" s="103"/>
      <c r="U190" s="107"/>
      <c r="V190" s="107"/>
      <c r="W190" s="107"/>
      <c r="X190"/>
    </row>
    <row r="191" spans="1:52" s="1" customFormat="1" ht="15" customHeight="1">
      <c r="A191"/>
      <c r="B191"/>
      <c r="C191"/>
      <c r="D191"/>
      <c r="E191"/>
      <c r="F191"/>
      <c r="G191" s="103"/>
      <c r="H191" s="104"/>
      <c r="I191" s="105"/>
      <c r="J191" s="106"/>
      <c r="K191" s="106"/>
      <c r="L191" s="104"/>
      <c r="M191" s="105"/>
      <c r="N191" s="105"/>
      <c r="O191" s="106"/>
      <c r="P191" s="106"/>
      <c r="Q191" s="107"/>
      <c r="R191" s="107"/>
      <c r="S191" s="103"/>
      <c r="T191" s="103"/>
      <c r="U191" s="107"/>
      <c r="V191" s="107"/>
      <c r="W191" s="107"/>
      <c r="X191"/>
    </row>
    <row r="192" spans="1:52" ht="15.75">
      <c r="G192" s="103"/>
      <c r="H192" s="104"/>
      <c r="I192" s="105"/>
      <c r="J192" s="106"/>
      <c r="K192" s="106"/>
      <c r="L192" s="104"/>
      <c r="M192" s="105"/>
      <c r="N192" s="105"/>
      <c r="O192" s="106"/>
      <c r="P192" s="106"/>
      <c r="Q192" s="107"/>
      <c r="R192" s="107"/>
      <c r="S192" s="103"/>
      <c r="T192" s="103"/>
      <c r="U192" s="107"/>
      <c r="V192" s="107"/>
      <c r="W192" s="107"/>
    </row>
    <row r="193" spans="5:23" ht="15.75">
      <c r="E193" s="67"/>
      <c r="F193" s="67"/>
      <c r="G193" s="108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108"/>
      <c r="T193" s="108"/>
      <c r="U193" s="67"/>
      <c r="V193" s="107"/>
      <c r="W193" s="107"/>
    </row>
    <row r="194" spans="5:23" ht="15.75">
      <c r="V194" s="107"/>
      <c r="W194" s="107"/>
    </row>
    <row r="195" spans="5:23">
      <c r="V195" s="67"/>
      <c r="W195" s="67"/>
    </row>
  </sheetData>
  <scenarios current="0">
    <scenario name="ts solve" count="1" user="송 희선" comment="만든 사람 송 희선 날짜 5/2/2019">
      <inputCells r="E34" undone="1" val="12.433611997971" numFmtId="2"/>
    </scenario>
  </scenarios>
  <mergeCells count="284">
    <mergeCell ref="AF54:AH54"/>
    <mergeCell ref="AK54:AL54"/>
    <mergeCell ref="AO54:AP54"/>
    <mergeCell ref="AQ54:AR54"/>
    <mergeCell ref="AS54:AV54"/>
    <mergeCell ref="AF53:AH53"/>
    <mergeCell ref="AK53:AL53"/>
    <mergeCell ref="AO53:AP53"/>
    <mergeCell ref="AQ53:AR53"/>
    <mergeCell ref="AS53:AV53"/>
    <mergeCell ref="AS50:AV51"/>
    <mergeCell ref="AO51:AP51"/>
    <mergeCell ref="AK52:AL52"/>
    <mergeCell ref="AM52:AN52"/>
    <mergeCell ref="AO52:AP52"/>
    <mergeCell ref="AQ52:AR52"/>
    <mergeCell ref="AS52:AV52"/>
    <mergeCell ref="AQ44:AR44"/>
    <mergeCell ref="AQ45:AR45"/>
    <mergeCell ref="AQ46:AR46"/>
    <mergeCell ref="AI50:AI51"/>
    <mergeCell ref="AJ50:AJ51"/>
    <mergeCell ref="AK50:AL51"/>
    <mergeCell ref="AM50:AN50"/>
    <mergeCell ref="AO50:AP50"/>
    <mergeCell ref="AQ50:AR51"/>
    <mergeCell ref="AQ37:AR37"/>
    <mergeCell ref="AQ38:AR38"/>
    <mergeCell ref="AQ40:AR40"/>
    <mergeCell ref="AQ41:AR41"/>
    <mergeCell ref="AJ43:AK43"/>
    <mergeCell ref="AQ43:AR43"/>
    <mergeCell ref="AQ31:AR31"/>
    <mergeCell ref="AQ33:AR33"/>
    <mergeCell ref="AQ34:AR34"/>
    <mergeCell ref="AQ35:AR35"/>
    <mergeCell ref="AQ36:AR36"/>
    <mergeCell ref="AQ26:AR26"/>
    <mergeCell ref="AQ27:AR27"/>
    <mergeCell ref="AQ28:AR28"/>
    <mergeCell ref="AQ29:AR29"/>
    <mergeCell ref="AQ30:AR30"/>
    <mergeCell ref="AQ18:AR18"/>
    <mergeCell ref="AQ20:AR20"/>
    <mergeCell ref="AQ21:AR21"/>
    <mergeCell ref="AQ22:AR22"/>
    <mergeCell ref="AJ15:AL15"/>
    <mergeCell ref="AQ15:AV15"/>
    <mergeCell ref="AJ16:AL16"/>
    <mergeCell ref="AQ16:AR16"/>
    <mergeCell ref="AJ17:AL17"/>
    <mergeCell ref="AQ17:AR17"/>
    <mergeCell ref="AJ21:AL21"/>
    <mergeCell ref="AJ18:AL18"/>
    <mergeCell ref="M52:N52"/>
    <mergeCell ref="Q31:R31"/>
    <mergeCell ref="Q26:R26"/>
    <mergeCell ref="Q33:R33"/>
    <mergeCell ref="Q34:R34"/>
    <mergeCell ref="Q35:R35"/>
    <mergeCell ref="Q36:R36"/>
    <mergeCell ref="Q37:R37"/>
    <mergeCell ref="Q38:R38"/>
    <mergeCell ref="Q40:R40"/>
    <mergeCell ref="Q41:R41"/>
    <mergeCell ref="Q43:R43"/>
    <mergeCell ref="Q44:R44"/>
    <mergeCell ref="Q45:R45"/>
    <mergeCell ref="O54:P54"/>
    <mergeCell ref="Q54:R54"/>
    <mergeCell ref="S54:V54"/>
    <mergeCell ref="S50:V51"/>
    <mergeCell ref="Q50:R51"/>
    <mergeCell ref="Q52:R52"/>
    <mergeCell ref="S52:V52"/>
    <mergeCell ref="Q46:R46"/>
    <mergeCell ref="O52:P52"/>
    <mergeCell ref="O53:P53"/>
    <mergeCell ref="O51:P51"/>
    <mergeCell ref="Q53:R53"/>
    <mergeCell ref="S53:V53"/>
    <mergeCell ref="O3:W3"/>
    <mergeCell ref="O4:W4"/>
    <mergeCell ref="O5:W5"/>
    <mergeCell ref="O6:W6"/>
    <mergeCell ref="O7:W7"/>
    <mergeCell ref="M50:N50"/>
    <mergeCell ref="Q16:R16"/>
    <mergeCell ref="Q17:R17"/>
    <mergeCell ref="Q18:R18"/>
    <mergeCell ref="Q20:R20"/>
    <mergeCell ref="Q21:R21"/>
    <mergeCell ref="Q27:R27"/>
    <mergeCell ref="Q28:R28"/>
    <mergeCell ref="Q15:V15"/>
    <mergeCell ref="Q29:R29"/>
    <mergeCell ref="Q30:R30"/>
    <mergeCell ref="O50:P50"/>
    <mergeCell ref="Q22:R22"/>
    <mergeCell ref="C2:L4"/>
    <mergeCell ref="C6:L7"/>
    <mergeCell ref="J15:L15"/>
    <mergeCell ref="J16:L16"/>
    <mergeCell ref="J17:L17"/>
    <mergeCell ref="J43:K43"/>
    <mergeCell ref="C63:L65"/>
    <mergeCell ref="C67:L68"/>
    <mergeCell ref="K52:L52"/>
    <mergeCell ref="K50:L51"/>
    <mergeCell ref="K53:L53"/>
    <mergeCell ref="J21:L21"/>
    <mergeCell ref="F54:H54"/>
    <mergeCell ref="I50:I51"/>
    <mergeCell ref="J50:J51"/>
    <mergeCell ref="K54:L54"/>
    <mergeCell ref="J18:L18"/>
    <mergeCell ref="H150:I150"/>
    <mergeCell ref="J97:L97"/>
    <mergeCell ref="H97:I97"/>
    <mergeCell ref="F53:H53"/>
    <mergeCell ref="C124:L126"/>
    <mergeCell ref="C128:L129"/>
    <mergeCell ref="K74:L74"/>
    <mergeCell ref="K75:L75"/>
    <mergeCell ref="M75:N75"/>
    <mergeCell ref="F76:H76"/>
    <mergeCell ref="K76:L76"/>
    <mergeCell ref="F86:H86"/>
    <mergeCell ref="I83:I84"/>
    <mergeCell ref="J83:J84"/>
    <mergeCell ref="K83:L84"/>
    <mergeCell ref="H140:I141"/>
    <mergeCell ref="K108:L108"/>
    <mergeCell ref="K109:L109"/>
    <mergeCell ref="H106:I107"/>
    <mergeCell ref="J106:L106"/>
    <mergeCell ref="K107:L107"/>
    <mergeCell ref="K87:L87"/>
    <mergeCell ref="J150:O150"/>
    <mergeCell ref="J140:J141"/>
    <mergeCell ref="O125:W125"/>
    <mergeCell ref="O126:W126"/>
    <mergeCell ref="O127:W127"/>
    <mergeCell ref="O128:W128"/>
    <mergeCell ref="O129:W129"/>
    <mergeCell ref="O74:P74"/>
    <mergeCell ref="M74:N74"/>
    <mergeCell ref="M76:N76"/>
    <mergeCell ref="Q74:R74"/>
    <mergeCell ref="M109:N109"/>
    <mergeCell ref="O107:Q107"/>
    <mergeCell ref="M106:N106"/>
    <mergeCell ref="O106:Q106"/>
    <mergeCell ref="M108:N108"/>
    <mergeCell ref="O108:Q108"/>
    <mergeCell ref="M107:N107"/>
    <mergeCell ref="N97:P97"/>
    <mergeCell ref="O87:P87"/>
    <mergeCell ref="Q87:R87"/>
    <mergeCell ref="S116:U116"/>
    <mergeCell ref="S117:U117"/>
    <mergeCell ref="O109:Q109"/>
    <mergeCell ref="AE63:AF63"/>
    <mergeCell ref="AK63:AL63"/>
    <mergeCell ref="AK64:AL64"/>
    <mergeCell ref="AK65:AL65"/>
    <mergeCell ref="AK66:AL66"/>
    <mergeCell ref="AK67:AL67"/>
    <mergeCell ref="Q75:R75"/>
    <mergeCell ref="Q76:R76"/>
    <mergeCell ref="O64:W64"/>
    <mergeCell ref="O65:W65"/>
    <mergeCell ref="O66:W66"/>
    <mergeCell ref="O67:W67"/>
    <mergeCell ref="O68:W68"/>
    <mergeCell ref="AS75:AV75"/>
    <mergeCell ref="AF76:AH76"/>
    <mergeCell ref="AK76:AL76"/>
    <mergeCell ref="AM76:AN76"/>
    <mergeCell ref="AQ76:AR76"/>
    <mergeCell ref="AS76:AV76"/>
    <mergeCell ref="AQ74:AR74"/>
    <mergeCell ref="AK74:AL74"/>
    <mergeCell ref="AM74:AN74"/>
    <mergeCell ref="AS74:AV74"/>
    <mergeCell ref="AO74:AP74"/>
    <mergeCell ref="AK75:AL75"/>
    <mergeCell ref="AM75:AN75"/>
    <mergeCell ref="AQ75:AR75"/>
    <mergeCell ref="AK83:AL84"/>
    <mergeCell ref="AM83:AN83"/>
    <mergeCell ref="S87:V87"/>
    <mergeCell ref="F83:H85"/>
    <mergeCell ref="O75:P75"/>
    <mergeCell ref="O76:P76"/>
    <mergeCell ref="AO75:AP75"/>
    <mergeCell ref="AO76:AP76"/>
    <mergeCell ref="K86:L86"/>
    <mergeCell ref="O86:P86"/>
    <mergeCell ref="Q86:R86"/>
    <mergeCell ref="S86:V86"/>
    <mergeCell ref="AO83:AP83"/>
    <mergeCell ref="M83:N83"/>
    <mergeCell ref="O83:P83"/>
    <mergeCell ref="Q83:R84"/>
    <mergeCell ref="S83:V84"/>
    <mergeCell ref="O84:P84"/>
    <mergeCell ref="K85:L85"/>
    <mergeCell ref="M85:N85"/>
    <mergeCell ref="O85:P85"/>
    <mergeCell ref="Q85:R85"/>
    <mergeCell ref="S85:V85"/>
    <mergeCell ref="F87:H87"/>
    <mergeCell ref="AS83:AV84"/>
    <mergeCell ref="AS85:AV85"/>
    <mergeCell ref="AS86:AV86"/>
    <mergeCell ref="AS87:AV87"/>
    <mergeCell ref="AH97:AI97"/>
    <mergeCell ref="AJ97:AL97"/>
    <mergeCell ref="AN97:AP97"/>
    <mergeCell ref="AF87:AH87"/>
    <mergeCell ref="AK87:AL87"/>
    <mergeCell ref="AO87:AP87"/>
    <mergeCell ref="AQ87:AR87"/>
    <mergeCell ref="AQ83:AR84"/>
    <mergeCell ref="AO84:AP84"/>
    <mergeCell ref="AK85:AL85"/>
    <mergeCell ref="AM85:AN85"/>
    <mergeCell ref="AO85:AP85"/>
    <mergeCell ref="AQ85:AR85"/>
    <mergeCell ref="AF86:AH86"/>
    <mergeCell ref="AK86:AL86"/>
    <mergeCell ref="AO86:AP86"/>
    <mergeCell ref="AQ86:AR86"/>
    <mergeCell ref="AF83:AH85"/>
    <mergeCell ref="AI83:AI84"/>
    <mergeCell ref="AJ83:AJ84"/>
    <mergeCell ref="AH106:AI107"/>
    <mergeCell ref="AJ106:AL106"/>
    <mergeCell ref="AM106:AN106"/>
    <mergeCell ref="AO106:AQ106"/>
    <mergeCell ref="AK107:AL107"/>
    <mergeCell ref="AM107:AN107"/>
    <mergeCell ref="AO107:AQ107"/>
    <mergeCell ref="AK108:AL108"/>
    <mergeCell ref="AM108:AN108"/>
    <mergeCell ref="AO108:AQ108"/>
    <mergeCell ref="AS116:AU116"/>
    <mergeCell ref="AS117:AU117"/>
    <mergeCell ref="AO109:AQ109"/>
    <mergeCell ref="AH140:AI141"/>
    <mergeCell ref="AH150:AI150"/>
    <mergeCell ref="AO140:AP140"/>
    <mergeCell ref="AQ140:AS140"/>
    <mergeCell ref="AO141:AP141"/>
    <mergeCell ref="AQ141:AS141"/>
    <mergeCell ref="AK142:AL142"/>
    <mergeCell ref="AM142:AN142"/>
    <mergeCell ref="AO142:AP142"/>
    <mergeCell ref="AQ142:AS142"/>
    <mergeCell ref="AK143:AL143"/>
    <mergeCell ref="AM143:AN143"/>
    <mergeCell ref="AK109:AL109"/>
    <mergeCell ref="AM109:AN109"/>
    <mergeCell ref="AJ150:AO150"/>
    <mergeCell ref="AO143:AP143"/>
    <mergeCell ref="AQ143:AS143"/>
    <mergeCell ref="K140:L141"/>
    <mergeCell ref="M140:N141"/>
    <mergeCell ref="AJ140:AJ141"/>
    <mergeCell ref="AK140:AL141"/>
    <mergeCell ref="AM140:AN141"/>
    <mergeCell ref="K142:L142"/>
    <mergeCell ref="K143:L143"/>
    <mergeCell ref="M142:N142"/>
    <mergeCell ref="M143:N143"/>
    <mergeCell ref="O141:P141"/>
    <mergeCell ref="O140:P140"/>
    <mergeCell ref="O142:P142"/>
    <mergeCell ref="O143:P143"/>
    <mergeCell ref="Q140:S140"/>
    <mergeCell ref="Q141:S141"/>
    <mergeCell ref="Q142:S142"/>
    <mergeCell ref="Q143:S143"/>
  </mergeCells>
  <phoneticPr fontId="17" type="noConversion"/>
  <conditionalFormatting sqref="Q45:S46">
    <cfRule type="expression" dxfId="1" priority="1">
      <formula>$J$43&lt;&gt;"STEAM"</formula>
    </cfRule>
    <cfRule type="expression" dxfId="0" priority="2">
      <formula>$J$43="STEAM"</formula>
    </cfRule>
  </conditionalFormatting>
  <dataValidations disablePrompts="1" count="8">
    <dataValidation type="list" allowBlank="1" showInputMessage="1" showErrorMessage="1" sqref="J43" xr:uid="{601385A8-6947-46F2-BFB9-A9C0C357A367}">
      <formula1>"HOT WATER,COLD WATER, STEAM"</formula1>
    </dataValidation>
    <dataValidation type="list" allowBlank="1" showInputMessage="1" showErrorMessage="1" sqref="J15" xr:uid="{94079B40-7BA2-4F9D-B64F-D5A9E78C4C61}">
      <formula1>"TANK,VESSEL"</formula1>
    </dataValidation>
    <dataValidation type="list" allowBlank="1" showInputMessage="1" showErrorMessage="1" sqref="J16" xr:uid="{2C000F49-BF30-47B8-81BD-EF54486E1C2F}">
      <formula1>"Vertical plate, Vertical Cyclinder,  Horizontal Cylinder,  Sphere"</formula1>
    </dataValidation>
    <dataValidation type="list" allowBlank="1" showInputMessage="1" showErrorMessage="1" sqref="J17" xr:uid="{801E50E5-E892-48E5-A7E8-E590BA6840EA}">
      <formula1>"PLATE,ROOF,2:1 ELLIPS, 3:1 ELLIPS"</formula1>
    </dataValidation>
    <dataValidation type="list" allowBlank="1" showInputMessage="1" showErrorMessage="1" sqref="Q15:V15" xr:uid="{8614FFE3-2F99-4C65-8E98-76BF61216F16}">
      <formula1>"Commonly used , Aluminum, Steel, Oxidized, Asbestos cloth or paper, Porcelain enamel, white, Wood, Paints: Black, shiny, Paints: Black, flat, Paints: Oil paints, various colors, Paints: Aluminum, Paints: Bronze "</formula1>
    </dataValidation>
    <dataValidation type="list" allowBlank="1" showInputMessage="1" showErrorMessage="1" sqref="J18:L18" xr:uid="{E2068D73-0C97-4815-AD34-90D5EAA0AF9C}">
      <formula1>"Yes,No"</formula1>
    </dataValidation>
    <dataValidation type="list" allowBlank="1" showInputMessage="1" showErrorMessage="1" sqref="J46" xr:uid="{A8144735-B24C-4003-9D3B-4A34863C9742}">
      <formula1>"Sch 40, Sch 80"</formula1>
    </dataValidation>
    <dataValidation type="list" allowBlank="1" showInputMessage="1" showErrorMessage="1" sqref="J45" xr:uid="{205AAB56-2950-4327-8D35-3AF60BB0CD55}">
      <formula1>"0.125,0.25,0.375,0.5,0.75,1,1.25,1.5,2,2.5,3,3.5,4,5,6,8,10,12"</formula1>
    </dataValidation>
  </dataValidations>
  <printOptions horizontalCentered="1" gridLinesSet="0"/>
  <pageMargins left="0.31496062992125984" right="0.31496062992125984" top="0.59055118110236227" bottom="0.51181102362204722" header="0.6692913385826772" footer="0.51181102362204722"/>
  <pageSetup paperSize="9" scale="74" fitToHeight="0" orientation="portrait" r:id="rId1"/>
  <headerFooter alignWithMargins="0"/>
  <rowBreaks count="2" manualBreakCount="2">
    <brk id="61" max="24" man="1"/>
    <brk id="122" max="24" man="1"/>
  </rowBreaks>
  <ignoredErrors>
    <ignoredError sqref="AJ24:AV25 AK29:AP29 AS26:AV30 AK31:AP31 AS31:AV31 AK39:AV39 AK33:AP33 AS33:AV38 AK41:AP41 AK40:AP40 AR40:AV41 AQ42:AR42 AK34:AP38 AJ15:AV15 AM19:AP19 AM17:AP17 J26 AK26:AP26 AK17:AL17 AJ18:AL18 AJ17 AK27:AP27 AK28:AP28 AJ29:AJ30 AJ16:AP16 AS16:AV16 AS17:AV17 AM18:AP18 AS18:AV18 AM22:AP22 AM20:AP20 AS20:AV20 AM21:AP21 AS21:AV21 AS22:AV22 AS19:AV19 AR22 AR21 AR20 AR18 AR17 AR16 AQ19:AR19 AR26 AQ29:AR30 AR33 AR38 AR43 AJ21:AL21 AK19:AL19 AK20:AL20 AK23:AL23 AK22:AL22 AR27 AR31 AK30:AL30 AN30:AP30 AR28 AR34 AR35 AR36 AR37" unlockedFormula="1"/>
  </ignoredErrors>
  <drawing r:id="rId2"/>
  <legacyDrawing r:id="rId3"/>
  <legacyDrawingHF r:id="rId4"/>
  <controls>
    <mc:AlternateContent xmlns:mc="http://schemas.openxmlformats.org/markup-compatibility/2006">
      <mc:Choice Requires="x14">
        <control shapeId="1046" r:id="rId5" name="ComboBox1">
          <controlPr defaultSize="0" autoLine="0" linkedCell="T11" listFillRange="Z11:Z12" r:id="rId6">
            <anchor moveWithCells="1">
              <from>
                <xdr:col>17</xdr:col>
                <xdr:colOff>0</xdr:colOff>
                <xdr:row>9</xdr:row>
                <xdr:rowOff>161925</xdr:rowOff>
              </from>
              <to>
                <xdr:col>20</xdr:col>
                <xdr:colOff>142875</xdr:colOff>
                <xdr:row>11</xdr:row>
                <xdr:rowOff>47625</xdr:rowOff>
              </to>
            </anchor>
          </controlPr>
        </control>
      </mc:Choice>
      <mc:Fallback>
        <control shapeId="1046" r:id="rId5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423BB-DABA-481B-BEBD-36CD0604E701}">
  <sheetPr codeName="Sheet2"/>
  <dimension ref="D13:U14"/>
  <sheetViews>
    <sheetView workbookViewId="0">
      <selection activeCell="Q19" sqref="Q19"/>
    </sheetView>
  </sheetViews>
  <sheetFormatPr defaultRowHeight="14.25"/>
  <sheetData>
    <row r="13" spans="4:21">
      <c r="D13" t="s">
        <v>221</v>
      </c>
      <c r="E13" t="s">
        <v>222</v>
      </c>
      <c r="F13" t="s">
        <v>223</v>
      </c>
      <c r="G13" t="s">
        <v>224</v>
      </c>
      <c r="H13" t="s">
        <v>225</v>
      </c>
      <c r="I13" t="s">
        <v>226</v>
      </c>
      <c r="J13" t="s">
        <v>227</v>
      </c>
      <c r="K13" t="s">
        <v>228</v>
      </c>
      <c r="L13" t="s">
        <v>229</v>
      </c>
      <c r="M13" t="s">
        <v>230</v>
      </c>
      <c r="N13" t="s">
        <v>231</v>
      </c>
      <c r="O13" t="s">
        <v>232</v>
      </c>
      <c r="P13" t="s">
        <v>233</v>
      </c>
      <c r="Q13" t="s">
        <v>234</v>
      </c>
      <c r="R13" t="s">
        <v>235</v>
      </c>
      <c r="S13" t="s">
        <v>236</v>
      </c>
      <c r="T13" t="s">
        <v>237</v>
      </c>
      <c r="U13">
        <v>12</v>
      </c>
    </row>
    <row r="14" spans="4:21">
      <c r="D14" t="s">
        <v>238</v>
      </c>
      <c r="E14" t="s">
        <v>239</v>
      </c>
      <c r="F14" t="s">
        <v>240</v>
      </c>
      <c r="G14" t="s">
        <v>241</v>
      </c>
      <c r="H14" t="s">
        <v>242</v>
      </c>
      <c r="I14" t="s">
        <v>243</v>
      </c>
      <c r="J14" t="s">
        <v>244</v>
      </c>
      <c r="K14" t="s">
        <v>245</v>
      </c>
      <c r="L14" t="s">
        <v>246</v>
      </c>
      <c r="M14" t="s">
        <v>247</v>
      </c>
      <c r="N14" t="s">
        <v>248</v>
      </c>
      <c r="O14" t="s">
        <v>249</v>
      </c>
      <c r="P14" t="s">
        <v>250</v>
      </c>
      <c r="Q14" t="s">
        <v>251</v>
      </c>
      <c r="R14" t="s">
        <v>252</v>
      </c>
      <c r="S14" t="s">
        <v>253</v>
      </c>
      <c r="T14" t="s">
        <v>254</v>
      </c>
      <c r="U14">
        <v>11.938000000000001</v>
      </c>
    </row>
  </sheetData>
  <phoneticPr fontId="1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Heating Coil Cal.</vt:lpstr>
      <vt:lpstr>Sheet1</vt:lpstr>
      <vt:lpstr>Emissivity_0</vt:lpstr>
      <vt:lpstr>'Heating Coil Cal.'!Print_Area</vt:lpstr>
      <vt:lpstr>'Heating Coil Cal.'!Print_Area_MI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TANK HEAT LOSS</dc:title>
  <dc:subject/>
  <dc:creator>YMK</dc:creator>
  <cp:keywords/>
  <dc:description/>
  <cp:lastModifiedBy>정우철</cp:lastModifiedBy>
  <cp:lastPrinted>2019-06-03T04:57:54Z</cp:lastPrinted>
  <dcterms:created xsi:type="dcterms:W3CDTF">2019-04-29T08:49:43Z</dcterms:created>
  <dcterms:modified xsi:type="dcterms:W3CDTF">2019-06-10T23:54:05Z</dcterms:modified>
</cp:coreProperties>
</file>